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9440" windowHeight="9795"/>
  </bookViews>
  <sheets>
    <sheet name="Text Mining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AK5" i="1" l="1"/>
  <c r="AK9" i="1"/>
  <c r="AK10" i="1"/>
  <c r="AK11" i="1"/>
  <c r="AK12" i="1"/>
  <c r="AK13" i="1"/>
  <c r="AK14" i="1"/>
  <c r="AK15" i="1"/>
  <c r="AK7" i="1"/>
  <c r="AK6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5" i="1"/>
  <c r="AI6" i="1"/>
  <c r="AI7" i="1"/>
  <c r="AJ6" i="1"/>
  <c r="AJ7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5" i="1"/>
  <c r="AH7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5" i="1"/>
  <c r="AH6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5" i="1"/>
  <c r="T5" i="1"/>
  <c r="V5" i="1"/>
  <c r="T6" i="1"/>
  <c r="V6" i="1"/>
  <c r="T7" i="1"/>
  <c r="V7" i="1"/>
  <c r="T8" i="1"/>
  <c r="V8" i="1"/>
  <c r="T9" i="1"/>
  <c r="V9" i="1"/>
  <c r="T10" i="1"/>
  <c r="V10" i="1"/>
  <c r="T11" i="1"/>
  <c r="V11" i="1"/>
  <c r="T12" i="1"/>
  <c r="V12" i="1"/>
  <c r="T13" i="1"/>
  <c r="V13" i="1"/>
  <c r="T14" i="1"/>
  <c r="V14" i="1"/>
  <c r="T15" i="1"/>
  <c r="V15" i="1"/>
  <c r="T16" i="1"/>
  <c r="V16" i="1"/>
  <c r="T17" i="1"/>
  <c r="V17" i="1"/>
  <c r="T18" i="1"/>
  <c r="V18" i="1"/>
  <c r="T19" i="1"/>
  <c r="V19" i="1"/>
  <c r="T20" i="1"/>
  <c r="V20" i="1"/>
  <c r="T21" i="1"/>
  <c r="V21" i="1"/>
  <c r="T22" i="1"/>
  <c r="V22" i="1"/>
  <c r="T23" i="1"/>
  <c r="V23" i="1"/>
  <c r="T24" i="1"/>
  <c r="V24" i="1"/>
  <c r="T25" i="1"/>
  <c r="V25" i="1"/>
  <c r="T26" i="1"/>
  <c r="V26" i="1"/>
  <c r="T27" i="1"/>
  <c r="V27" i="1"/>
  <c r="T28" i="1"/>
  <c r="V28" i="1"/>
  <c r="T29" i="1"/>
  <c r="V29" i="1"/>
  <c r="T30" i="1"/>
  <c r="V30" i="1"/>
  <c r="T31" i="1"/>
  <c r="V31" i="1"/>
  <c r="T32" i="1"/>
  <c r="V32" i="1"/>
  <c r="T33" i="1"/>
  <c r="V33" i="1"/>
  <c r="T34" i="1"/>
  <c r="V34" i="1"/>
  <c r="T35" i="1"/>
  <c r="V35" i="1"/>
  <c r="T36" i="1"/>
  <c r="V36" i="1"/>
  <c r="T37" i="1"/>
  <c r="V37" i="1"/>
  <c r="T38" i="1"/>
  <c r="V38" i="1"/>
  <c r="T39" i="1"/>
  <c r="V39" i="1"/>
  <c r="T40" i="1"/>
  <c r="V40" i="1"/>
  <c r="T41" i="1"/>
  <c r="V41" i="1"/>
  <c r="T42" i="1"/>
  <c r="V42" i="1"/>
  <c r="T43" i="1"/>
  <c r="V43" i="1"/>
  <c r="T44" i="1"/>
  <c r="V44" i="1"/>
  <c r="T45" i="1"/>
  <c r="V45" i="1"/>
  <c r="T46" i="1"/>
  <c r="V46" i="1"/>
  <c r="T47" i="1"/>
  <c r="V47" i="1"/>
  <c r="T48" i="1"/>
  <c r="V48" i="1"/>
  <c r="S12" i="1"/>
  <c r="W12" i="1" s="1"/>
  <c r="S13" i="1"/>
  <c r="S14" i="1"/>
  <c r="W14" i="1" s="1"/>
  <c r="S15" i="1"/>
  <c r="S16" i="1"/>
  <c r="W16" i="1" s="1"/>
  <c r="S17" i="1"/>
  <c r="S18" i="1"/>
  <c r="S19" i="1"/>
  <c r="S20" i="1"/>
  <c r="S21" i="1"/>
  <c r="S22" i="1"/>
  <c r="W22" i="1" s="1"/>
  <c r="S23" i="1"/>
  <c r="S24" i="1"/>
  <c r="W24" i="1" s="1"/>
  <c r="S25" i="1"/>
  <c r="W25" i="1" s="1"/>
  <c r="S26" i="1"/>
  <c r="W26" i="1" s="1"/>
  <c r="S27" i="1"/>
  <c r="W27" i="1" s="1"/>
  <c r="S28" i="1"/>
  <c r="W28" i="1" s="1"/>
  <c r="S29" i="1"/>
  <c r="W29" i="1" s="1"/>
  <c r="S30" i="1"/>
  <c r="W30" i="1" s="1"/>
  <c r="S31" i="1"/>
  <c r="S32" i="1"/>
  <c r="W32" i="1" s="1"/>
  <c r="S33" i="1"/>
  <c r="S34" i="1"/>
  <c r="W34" i="1" s="1"/>
  <c r="S35" i="1"/>
  <c r="S36" i="1"/>
  <c r="W36" i="1" s="1"/>
  <c r="S37" i="1"/>
  <c r="S38" i="1"/>
  <c r="W38" i="1" s="1"/>
  <c r="S39" i="1"/>
  <c r="S40" i="1"/>
  <c r="W40" i="1" s="1"/>
  <c r="S41" i="1"/>
  <c r="W41" i="1" s="1"/>
  <c r="S42" i="1"/>
  <c r="W42" i="1" s="1"/>
  <c r="S43" i="1"/>
  <c r="W43" i="1" s="1"/>
  <c r="S44" i="1"/>
  <c r="W44" i="1" s="1"/>
  <c r="S45" i="1"/>
  <c r="S46" i="1"/>
  <c r="W46" i="1" s="1"/>
  <c r="S47" i="1"/>
  <c r="S48" i="1"/>
  <c r="W48" i="1" s="1"/>
  <c r="S9" i="1"/>
  <c r="S10" i="1"/>
  <c r="W10" i="1" s="1"/>
  <c r="S11" i="1"/>
  <c r="S5" i="1"/>
  <c r="W5" i="1" s="1"/>
  <c r="S6" i="1"/>
  <c r="W6" i="1" s="1"/>
  <c r="S7" i="1"/>
  <c r="W7" i="1" s="1"/>
  <c r="S8" i="1"/>
  <c r="Q6" i="1"/>
  <c r="Q7" i="1"/>
  <c r="Q8" i="1"/>
  <c r="AR5" i="1" s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" i="1"/>
  <c r="M11" i="1"/>
  <c r="R6" i="1"/>
  <c r="R7" i="1"/>
  <c r="AD7" i="1" s="1"/>
  <c r="R8" i="1"/>
  <c r="AJ8" i="1" s="1"/>
  <c r="AK8" i="1" s="1"/>
  <c r="R9" i="1"/>
  <c r="AD9" i="1" s="1"/>
  <c r="R10" i="1"/>
  <c r="R11" i="1"/>
  <c r="AD11" i="1" s="1"/>
  <c r="R12" i="1"/>
  <c r="R13" i="1"/>
  <c r="AD13" i="1" s="1"/>
  <c r="R14" i="1"/>
  <c r="R15" i="1"/>
  <c r="AD15" i="1" s="1"/>
  <c r="R16" i="1"/>
  <c r="R17" i="1"/>
  <c r="AD17" i="1" s="1"/>
  <c r="R18" i="1"/>
  <c r="R19" i="1"/>
  <c r="AD19" i="1" s="1"/>
  <c r="R20" i="1"/>
  <c r="R21" i="1"/>
  <c r="AD21" i="1" s="1"/>
  <c r="R22" i="1"/>
  <c r="R23" i="1"/>
  <c r="AD23" i="1" s="1"/>
  <c r="R24" i="1"/>
  <c r="R25" i="1"/>
  <c r="AD25" i="1" s="1"/>
  <c r="R26" i="1"/>
  <c r="R27" i="1"/>
  <c r="AD27" i="1" s="1"/>
  <c r="R28" i="1"/>
  <c r="R29" i="1"/>
  <c r="AD29" i="1" s="1"/>
  <c r="R30" i="1"/>
  <c r="R31" i="1"/>
  <c r="AD31" i="1" s="1"/>
  <c r="R32" i="1"/>
  <c r="R33" i="1"/>
  <c r="AD33" i="1" s="1"/>
  <c r="R34" i="1"/>
  <c r="R35" i="1"/>
  <c r="AD35" i="1" s="1"/>
  <c r="R36" i="1"/>
  <c r="R37" i="1"/>
  <c r="AD37" i="1" s="1"/>
  <c r="R38" i="1"/>
  <c r="R39" i="1"/>
  <c r="AD39" i="1" s="1"/>
  <c r="R40" i="1"/>
  <c r="R41" i="1"/>
  <c r="AD41" i="1" s="1"/>
  <c r="R42" i="1"/>
  <c r="R43" i="1"/>
  <c r="R44" i="1"/>
  <c r="R45" i="1"/>
  <c r="AC45" i="1" s="1"/>
  <c r="R46" i="1"/>
  <c r="R47" i="1"/>
  <c r="R48" i="1"/>
  <c r="R5" i="1"/>
  <c r="AC5" i="1" s="1"/>
  <c r="K9" i="1"/>
  <c r="L5" i="1"/>
  <c r="M5" i="1"/>
  <c r="L6" i="1"/>
  <c r="M6" i="1"/>
  <c r="L7" i="1"/>
  <c r="M7" i="1"/>
  <c r="K6" i="1"/>
  <c r="N6" i="1" s="1"/>
  <c r="K7" i="1"/>
  <c r="K5" i="1"/>
  <c r="N5" i="1" s="1"/>
  <c r="J10" i="1"/>
  <c r="AH8" i="1" l="1"/>
  <c r="AQ5" i="1"/>
  <c r="AI8" i="1"/>
  <c r="Y47" i="1"/>
  <c r="Z47" i="1"/>
  <c r="AA47" i="1"/>
  <c r="AB47" i="1"/>
  <c r="Y43" i="1"/>
  <c r="AG43" i="1" s="1"/>
  <c r="Z43" i="1"/>
  <c r="AA43" i="1"/>
  <c r="AB43" i="1"/>
  <c r="AC43" i="1"/>
  <c r="Y48" i="1"/>
  <c r="Z48" i="1"/>
  <c r="AA48" i="1"/>
  <c r="AB48" i="1"/>
  <c r="Z46" i="1"/>
  <c r="AA46" i="1"/>
  <c r="AB46" i="1"/>
  <c r="Y44" i="1"/>
  <c r="Z44" i="1"/>
  <c r="AA44" i="1"/>
  <c r="AB44" i="1"/>
  <c r="Z42" i="1"/>
  <c r="AA42" i="1"/>
  <c r="AB42" i="1"/>
  <c r="Z40" i="1"/>
  <c r="AA40" i="1"/>
  <c r="AB40" i="1"/>
  <c r="Z38" i="1"/>
  <c r="AA38" i="1"/>
  <c r="AB38" i="1"/>
  <c r="Z36" i="1"/>
  <c r="AA36" i="1"/>
  <c r="AB36" i="1"/>
  <c r="Z34" i="1"/>
  <c r="AA34" i="1"/>
  <c r="AB34" i="1"/>
  <c r="Z32" i="1"/>
  <c r="AA32" i="1"/>
  <c r="AB32" i="1"/>
  <c r="Z30" i="1"/>
  <c r="AA30" i="1"/>
  <c r="AB30" i="1"/>
  <c r="Z28" i="1"/>
  <c r="AA28" i="1"/>
  <c r="AB28" i="1"/>
  <c r="Z26" i="1"/>
  <c r="AA26" i="1"/>
  <c r="AB26" i="1"/>
  <c r="Z24" i="1"/>
  <c r="AA24" i="1"/>
  <c r="AB24" i="1"/>
  <c r="Z22" i="1"/>
  <c r="AA22" i="1"/>
  <c r="AB22" i="1"/>
  <c r="Z20" i="1"/>
  <c r="AA20" i="1"/>
  <c r="AB20" i="1"/>
  <c r="Z18" i="1"/>
  <c r="AA18" i="1"/>
  <c r="AB18" i="1"/>
  <c r="Z16" i="1"/>
  <c r="AA16" i="1"/>
  <c r="AB16" i="1"/>
  <c r="Z14" i="1"/>
  <c r="AA14" i="1"/>
  <c r="AB14" i="1"/>
  <c r="AC14" i="1"/>
  <c r="Z12" i="1"/>
  <c r="AA12" i="1"/>
  <c r="AB12" i="1"/>
  <c r="AC12" i="1"/>
  <c r="Z10" i="1"/>
  <c r="AA10" i="1"/>
  <c r="AB10" i="1"/>
  <c r="AC10" i="1"/>
  <c r="Z8" i="1"/>
  <c r="AA8" i="1"/>
  <c r="AB8" i="1"/>
  <c r="AC8" i="1"/>
  <c r="Z6" i="1"/>
  <c r="AA6" i="1"/>
  <c r="AB6" i="1"/>
  <c r="AC6" i="1"/>
  <c r="AE5" i="1"/>
  <c r="AE47" i="1"/>
  <c r="AE45" i="1"/>
  <c r="AE43" i="1"/>
  <c r="AE41" i="1"/>
  <c r="AE39" i="1"/>
  <c r="AE37" i="1"/>
  <c r="AE35" i="1"/>
  <c r="AE33" i="1"/>
  <c r="AE31" i="1"/>
  <c r="AE29" i="1"/>
  <c r="AE27" i="1"/>
  <c r="AE25" i="1"/>
  <c r="AE23" i="1"/>
  <c r="AE21" i="1"/>
  <c r="AE19" i="1"/>
  <c r="AE17" i="1"/>
  <c r="AE15" i="1"/>
  <c r="AE13" i="1"/>
  <c r="AE11" i="1"/>
  <c r="AE9" i="1"/>
  <c r="AE7" i="1"/>
  <c r="AD5" i="1"/>
  <c r="AD47" i="1"/>
  <c r="AD45" i="1"/>
  <c r="AD43" i="1"/>
  <c r="AC47" i="1"/>
  <c r="AC42" i="1"/>
  <c r="AC38" i="1"/>
  <c r="AC34" i="1"/>
  <c r="AC30" i="1"/>
  <c r="AC26" i="1"/>
  <c r="AC22" i="1"/>
  <c r="AC18" i="1"/>
  <c r="AF5" i="1"/>
  <c r="Z5" i="1"/>
  <c r="AA5" i="1"/>
  <c r="AB5" i="1"/>
  <c r="Y45" i="1"/>
  <c r="Z45" i="1"/>
  <c r="AA45" i="1"/>
  <c r="AB45" i="1"/>
  <c r="Y41" i="1"/>
  <c r="Z41" i="1"/>
  <c r="AA41" i="1"/>
  <c r="AB41" i="1"/>
  <c r="AC41" i="1"/>
  <c r="Y39" i="1"/>
  <c r="Z39" i="1"/>
  <c r="AG39" i="1" s="1"/>
  <c r="AA39" i="1"/>
  <c r="AB39" i="1"/>
  <c r="AC39" i="1"/>
  <c r="Y37" i="1"/>
  <c r="Z37" i="1"/>
  <c r="AA37" i="1"/>
  <c r="AB37" i="1"/>
  <c r="AC37" i="1"/>
  <c r="Y35" i="1"/>
  <c r="Z35" i="1"/>
  <c r="AG35" i="1" s="1"/>
  <c r="AA35" i="1"/>
  <c r="AB35" i="1"/>
  <c r="AC35" i="1"/>
  <c r="Y33" i="1"/>
  <c r="Z33" i="1"/>
  <c r="AA33" i="1"/>
  <c r="AB33" i="1"/>
  <c r="AC33" i="1"/>
  <c r="Y31" i="1"/>
  <c r="Z31" i="1"/>
  <c r="AG31" i="1" s="1"/>
  <c r="AA31" i="1"/>
  <c r="AB31" i="1"/>
  <c r="AC31" i="1"/>
  <c r="Y29" i="1"/>
  <c r="Z29" i="1"/>
  <c r="AA29" i="1"/>
  <c r="AB29" i="1"/>
  <c r="AC29" i="1"/>
  <c r="Y27" i="1"/>
  <c r="Z27" i="1"/>
  <c r="AA27" i="1"/>
  <c r="AB27" i="1"/>
  <c r="AC27" i="1"/>
  <c r="Y25" i="1"/>
  <c r="Z25" i="1"/>
  <c r="AA25" i="1"/>
  <c r="AB25" i="1"/>
  <c r="AC25" i="1"/>
  <c r="Y23" i="1"/>
  <c r="Z23" i="1"/>
  <c r="AG23" i="1" s="1"/>
  <c r="AA23" i="1"/>
  <c r="AB23" i="1"/>
  <c r="AC23" i="1"/>
  <c r="Y21" i="1"/>
  <c r="Z21" i="1"/>
  <c r="AA21" i="1"/>
  <c r="AB21" i="1"/>
  <c r="AC21" i="1"/>
  <c r="Y19" i="1"/>
  <c r="Z19" i="1"/>
  <c r="AA19" i="1"/>
  <c r="AB19" i="1"/>
  <c r="AC19" i="1"/>
  <c r="Y17" i="1"/>
  <c r="Z17" i="1"/>
  <c r="AA17" i="1"/>
  <c r="AB17" i="1"/>
  <c r="AC17" i="1"/>
  <c r="Y15" i="1"/>
  <c r="Z15" i="1"/>
  <c r="AA15" i="1"/>
  <c r="AB15" i="1"/>
  <c r="AC15" i="1"/>
  <c r="Y13" i="1"/>
  <c r="Z13" i="1"/>
  <c r="AA13" i="1"/>
  <c r="AB13" i="1"/>
  <c r="AC13" i="1"/>
  <c r="Y11" i="1"/>
  <c r="Z11" i="1"/>
  <c r="AA11" i="1"/>
  <c r="AB11" i="1"/>
  <c r="AC11" i="1"/>
  <c r="Y9" i="1"/>
  <c r="Z9" i="1"/>
  <c r="AA9" i="1"/>
  <c r="AB9" i="1"/>
  <c r="AC9" i="1"/>
  <c r="Y7" i="1"/>
  <c r="Z7" i="1"/>
  <c r="AA7" i="1"/>
  <c r="AB7" i="1"/>
  <c r="AC7" i="1"/>
  <c r="AE48" i="1"/>
  <c r="AE46" i="1"/>
  <c r="AE44" i="1"/>
  <c r="AE42" i="1"/>
  <c r="AE40" i="1"/>
  <c r="AE38" i="1"/>
  <c r="AE36" i="1"/>
  <c r="AE34" i="1"/>
  <c r="AE32" i="1"/>
  <c r="AE30" i="1"/>
  <c r="AE28" i="1"/>
  <c r="AE26" i="1"/>
  <c r="AE24" i="1"/>
  <c r="AE22" i="1"/>
  <c r="AE20" i="1"/>
  <c r="AE18" i="1"/>
  <c r="AE16" i="1"/>
  <c r="AE14" i="1"/>
  <c r="AE12" i="1"/>
  <c r="AE10" i="1"/>
  <c r="AE8" i="1"/>
  <c r="AE6" i="1"/>
  <c r="AD48" i="1"/>
  <c r="AD46" i="1"/>
  <c r="AD44" i="1"/>
  <c r="AD42" i="1"/>
  <c r="AD40" i="1"/>
  <c r="AD38" i="1"/>
  <c r="AD36" i="1"/>
  <c r="AD34" i="1"/>
  <c r="AD32" i="1"/>
  <c r="AD30" i="1"/>
  <c r="AD28" i="1"/>
  <c r="AD26" i="1"/>
  <c r="AD24" i="1"/>
  <c r="AD22" i="1"/>
  <c r="AD20" i="1"/>
  <c r="AD18" i="1"/>
  <c r="AD16" i="1"/>
  <c r="AD14" i="1"/>
  <c r="AD12" i="1"/>
  <c r="AD10" i="1"/>
  <c r="AD8" i="1"/>
  <c r="AD6" i="1"/>
  <c r="AC48" i="1"/>
  <c r="AC46" i="1"/>
  <c r="AC44" i="1"/>
  <c r="AC40" i="1"/>
  <c r="AC36" i="1"/>
  <c r="AC32" i="1"/>
  <c r="AC28" i="1"/>
  <c r="AC24" i="1"/>
  <c r="AC20" i="1"/>
  <c r="AC16" i="1"/>
  <c r="Y5" i="1"/>
  <c r="X47" i="1"/>
  <c r="X45" i="1"/>
  <c r="X43" i="1"/>
  <c r="X41" i="1"/>
  <c r="X39" i="1"/>
  <c r="X37" i="1"/>
  <c r="X35" i="1"/>
  <c r="X33" i="1"/>
  <c r="X31" i="1"/>
  <c r="X29" i="1"/>
  <c r="X27" i="1"/>
  <c r="X25" i="1"/>
  <c r="AG25" i="1" s="1"/>
  <c r="X23" i="1"/>
  <c r="X21" i="1"/>
  <c r="X19" i="1"/>
  <c r="X17" i="1"/>
  <c r="AG17" i="1" s="1"/>
  <c r="X15" i="1"/>
  <c r="X13" i="1"/>
  <c r="AG13" i="1" s="1"/>
  <c r="X11" i="1"/>
  <c r="X9" i="1"/>
  <c r="AG9" i="1" s="1"/>
  <c r="X7" i="1"/>
  <c r="W11" i="1"/>
  <c r="W9" i="1"/>
  <c r="W47" i="1"/>
  <c r="W45" i="1"/>
  <c r="W39" i="1"/>
  <c r="W37" i="1"/>
  <c r="W35" i="1"/>
  <c r="W33" i="1"/>
  <c r="W31" i="1"/>
  <c r="W23" i="1"/>
  <c r="W21" i="1"/>
  <c r="W19" i="1"/>
  <c r="W17" i="1"/>
  <c r="W15" i="1"/>
  <c r="W13" i="1"/>
  <c r="X5" i="1"/>
  <c r="AG5" i="1" s="1"/>
  <c r="AF47" i="1"/>
  <c r="AG47" i="1" s="1"/>
  <c r="AF45" i="1"/>
  <c r="AF43" i="1"/>
  <c r="AF41" i="1"/>
  <c r="AF39" i="1"/>
  <c r="AF37" i="1"/>
  <c r="AF35" i="1"/>
  <c r="AF33" i="1"/>
  <c r="AF31" i="1"/>
  <c r="AF29" i="1"/>
  <c r="AF27" i="1"/>
  <c r="AF25" i="1"/>
  <c r="AF23" i="1"/>
  <c r="AF21" i="1"/>
  <c r="AF19" i="1"/>
  <c r="AF17" i="1"/>
  <c r="AF15" i="1"/>
  <c r="AF13" i="1"/>
  <c r="AF11" i="1"/>
  <c r="AF9" i="1"/>
  <c r="AF7" i="1"/>
  <c r="N7" i="1"/>
  <c r="X46" i="1"/>
  <c r="AF46" i="1"/>
  <c r="X42" i="1"/>
  <c r="AF42" i="1"/>
  <c r="X40" i="1"/>
  <c r="AF40" i="1"/>
  <c r="X36" i="1"/>
  <c r="AF36" i="1"/>
  <c r="X32" i="1"/>
  <c r="AF32" i="1"/>
  <c r="X28" i="1"/>
  <c r="AF28" i="1"/>
  <c r="X22" i="1"/>
  <c r="AF22" i="1"/>
  <c r="Y22" i="1"/>
  <c r="X18" i="1"/>
  <c r="AG18" i="1" s="1"/>
  <c r="AF18" i="1"/>
  <c r="Y18" i="1"/>
  <c r="X14" i="1"/>
  <c r="AF14" i="1"/>
  <c r="Y14" i="1"/>
  <c r="X10" i="1"/>
  <c r="AF10" i="1"/>
  <c r="Y10" i="1"/>
  <c r="X6" i="1"/>
  <c r="AF6" i="1"/>
  <c r="Y6" i="1"/>
  <c r="Y40" i="1"/>
  <c r="Y36" i="1"/>
  <c r="Y32" i="1"/>
  <c r="Y28" i="1"/>
  <c r="AG27" i="1"/>
  <c r="X48" i="1"/>
  <c r="AF48" i="1"/>
  <c r="X44" i="1"/>
  <c r="AF44" i="1"/>
  <c r="X38" i="1"/>
  <c r="AF38" i="1"/>
  <c r="X34" i="1"/>
  <c r="AF34" i="1"/>
  <c r="X30" i="1"/>
  <c r="AG30" i="1" s="1"/>
  <c r="AF30" i="1"/>
  <c r="X26" i="1"/>
  <c r="AF26" i="1"/>
  <c r="X24" i="1"/>
  <c r="AG24" i="1" s="1"/>
  <c r="AF24" i="1"/>
  <c r="Y24" i="1"/>
  <c r="X20" i="1"/>
  <c r="AF20" i="1"/>
  <c r="Y20" i="1"/>
  <c r="X16" i="1"/>
  <c r="AF16" i="1"/>
  <c r="Y16" i="1"/>
  <c r="X12" i="1"/>
  <c r="AG12" i="1" s="1"/>
  <c r="AF12" i="1"/>
  <c r="Y12" i="1"/>
  <c r="X8" i="1"/>
  <c r="AG8" i="1" s="1"/>
  <c r="AF8" i="1"/>
  <c r="Y8" i="1"/>
  <c r="Y46" i="1"/>
  <c r="Y42" i="1"/>
  <c r="Y38" i="1"/>
  <c r="Y34" i="1"/>
  <c r="Y30" i="1"/>
  <c r="Y26" i="1"/>
  <c r="AG21" i="1"/>
  <c r="AG19" i="1"/>
  <c r="AG15" i="1"/>
  <c r="AG11" i="1"/>
  <c r="AG7" i="1"/>
  <c r="W20" i="1"/>
  <c r="W18" i="1"/>
  <c r="W8" i="1"/>
  <c r="C11" i="1"/>
  <c r="B12" i="1"/>
  <c r="C12" i="1" s="1"/>
  <c r="F6" i="1"/>
  <c r="C6" i="1" s="1"/>
  <c r="F7" i="1"/>
  <c r="F5" i="1"/>
  <c r="C5" i="1" s="1"/>
  <c r="AG29" i="1" l="1"/>
  <c r="AG33" i="1"/>
  <c r="AG37" i="1"/>
  <c r="AG41" i="1"/>
  <c r="AG45" i="1"/>
  <c r="AG28" i="1"/>
  <c r="AG16" i="1"/>
  <c r="AG26" i="1"/>
  <c r="AG34" i="1"/>
  <c r="AG38" i="1"/>
  <c r="AG44" i="1"/>
  <c r="AG48" i="1"/>
  <c r="AG10" i="1"/>
  <c r="AG20" i="1"/>
  <c r="AG6" i="1"/>
  <c r="AG14" i="1"/>
  <c r="AG22" i="1"/>
  <c r="AG32" i="1"/>
  <c r="AG36" i="1"/>
  <c r="AG40" i="1"/>
  <c r="AG42" i="1"/>
  <c r="AG46" i="1"/>
  <c r="G6" i="1"/>
  <c r="D6" i="1" s="1"/>
  <c r="G5" i="1"/>
  <c r="E5" i="1" s="1"/>
  <c r="C7" i="1"/>
  <c r="D5" i="1"/>
  <c r="G7" i="1"/>
  <c r="E7" i="1" s="1"/>
  <c r="B13" i="1"/>
  <c r="AG2" i="1" l="1"/>
  <c r="E6" i="1"/>
  <c r="D7" i="1"/>
  <c r="B14" i="1"/>
  <c r="C13" i="1"/>
  <c r="B15" i="1" l="1"/>
  <c r="C15" i="1" s="1"/>
  <c r="C14" i="1"/>
</calcChain>
</file>

<file path=xl/sharedStrings.xml><?xml version="1.0" encoding="utf-8"?>
<sst xmlns="http://schemas.openxmlformats.org/spreadsheetml/2006/main" count="107" uniqueCount="94">
  <si>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호가든캔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</si>
  <si>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호가든캔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</si>
  <si>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버드와이저캔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</si>
  <si>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버드와이저캔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</si>
  <si>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호가든병</t>
    </r>
    <r>
      <rPr>
        <sz val="9"/>
        <color indexed="8"/>
        <rFont val="Trebuchet MS"/>
        <family val="2"/>
      </rPr>
      <t>_330ML+</t>
    </r>
    <r>
      <rPr>
        <sz val="9"/>
        <color indexed="8"/>
        <rFont val="굴림체"/>
        <family val="3"/>
        <charset val="129"/>
      </rPr>
      <t>포카리스웨트</t>
    </r>
    <phoneticPr fontId="3" type="noConversion"/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</si>
  <si>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버드와이저병</t>
    </r>
    <r>
      <rPr>
        <sz val="9"/>
        <color indexed="8"/>
        <rFont val="Trebuchet MS"/>
        <family val="2"/>
      </rPr>
      <t>_330ML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</si>
  <si>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카프리캔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</si>
  <si>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카프리병</t>
    </r>
    <r>
      <rPr>
        <sz val="9"/>
        <color indexed="8"/>
        <rFont val="Trebuchet MS"/>
        <family val="2"/>
      </rPr>
      <t>_330ML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</si>
  <si>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카프리큐팩</t>
    </r>
    <r>
      <rPr>
        <sz val="9"/>
        <color indexed="8"/>
        <rFont val="Trebuchet MS"/>
        <family val="2"/>
      </rPr>
      <t>_1L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</si>
  <si>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카스라이트큐팩</t>
    </r>
    <r>
      <rPr>
        <sz val="9"/>
        <color indexed="8"/>
        <rFont val="Trebuchet MS"/>
        <family val="2"/>
      </rPr>
      <t>_1.6L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</si>
  <si>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골든라거큐팩</t>
    </r>
    <r>
      <rPr>
        <sz val="9"/>
        <color indexed="8"/>
        <rFont val="Trebuchet MS"/>
        <family val="2"/>
      </rPr>
      <t>_1L+</t>
    </r>
    <r>
      <rPr>
        <sz val="9"/>
        <color indexed="8"/>
        <rFont val="굴림체"/>
        <family val="3"/>
        <charset val="129"/>
      </rPr>
      <t>포카리스웨트</t>
    </r>
    <phoneticPr fontId="3" type="noConversion"/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</si>
  <si>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카스큐팩</t>
    </r>
    <r>
      <rPr>
        <sz val="9"/>
        <color indexed="8"/>
        <rFont val="Trebuchet MS"/>
        <family val="2"/>
      </rPr>
      <t>_1L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</si>
  <si>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카스큐팩</t>
    </r>
    <r>
      <rPr>
        <sz val="9"/>
        <color indexed="8"/>
        <rFont val="Trebuchet MS"/>
        <family val="2"/>
      </rPr>
      <t>_1.6L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</si>
  <si>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골든라거큐팩</t>
    </r>
    <r>
      <rPr>
        <sz val="9"/>
        <color indexed="8"/>
        <rFont val="Trebuchet MS"/>
        <family val="2"/>
      </rPr>
      <t>_1.6L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</si>
  <si>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카스라이트캔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</si>
  <si>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카스캔</t>
    </r>
    <r>
      <rPr>
        <sz val="9"/>
        <color indexed="8"/>
        <rFont val="Trebuchet MS"/>
        <family val="2"/>
      </rPr>
      <t>_500ML+</t>
    </r>
    <r>
      <rPr>
        <sz val="9"/>
        <color indexed="8"/>
        <rFont val="굴림체"/>
        <family val="3"/>
        <charset val="129"/>
      </rPr>
      <t>신라면</t>
    </r>
    <phoneticPr fontId="3" type="noConversion"/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</si>
  <si>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카스라이트캔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</si>
  <si>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오비맥주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골든라거캔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</si>
  <si>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</si>
  <si>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드라이피니시</t>
    </r>
    <r>
      <rPr>
        <sz val="9"/>
        <color indexed="8"/>
        <rFont val="Trebuchet MS"/>
        <family val="2"/>
      </rPr>
      <t>d</t>
    </r>
    <r>
      <rPr>
        <sz val="9"/>
        <color indexed="8"/>
        <rFont val="굴림체"/>
        <family val="3"/>
        <charset val="129"/>
      </rPr>
      <t>병</t>
    </r>
    <r>
      <rPr>
        <sz val="9"/>
        <color indexed="8"/>
        <rFont val="Trebuchet MS"/>
        <family val="2"/>
      </rPr>
      <t>_330ML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</si>
  <si>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드라이피니시</t>
    </r>
    <r>
      <rPr>
        <sz val="9"/>
        <color indexed="8"/>
        <rFont val="Trebuchet MS"/>
        <family val="2"/>
      </rPr>
      <t>d</t>
    </r>
    <r>
      <rPr>
        <sz val="9"/>
        <color indexed="8"/>
        <rFont val="굴림체"/>
        <family val="3"/>
        <charset val="129"/>
      </rPr>
      <t>병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</si>
  <si>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맥스병</t>
    </r>
    <r>
      <rPr>
        <sz val="9"/>
        <color indexed="8"/>
        <rFont val="Trebuchet MS"/>
        <family val="2"/>
      </rPr>
      <t>_330ML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</si>
  <si>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맥스병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</si>
  <si>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하이트병</t>
    </r>
    <r>
      <rPr>
        <sz val="9"/>
        <color indexed="8"/>
        <rFont val="Trebuchet MS"/>
        <family val="2"/>
      </rPr>
      <t>_640ML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</si>
  <si>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하이트병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</si>
  <si>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스타우트캔</t>
    </r>
    <r>
      <rPr>
        <sz val="9"/>
        <color indexed="8"/>
        <rFont val="Trebuchet MS"/>
        <family val="2"/>
      </rPr>
      <t>_355ML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</si>
  <si>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스타우트병</t>
    </r>
    <r>
      <rPr>
        <sz val="9"/>
        <color indexed="8"/>
        <rFont val="Trebuchet MS"/>
        <family val="2"/>
      </rPr>
      <t>_330ML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</si>
  <si>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스타우트피쳐</t>
    </r>
    <r>
      <rPr>
        <sz val="9"/>
        <color indexed="8"/>
        <rFont val="Trebuchet MS"/>
        <family val="2"/>
      </rPr>
      <t>_1.6L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</si>
  <si>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맥스피쳐</t>
    </r>
    <r>
      <rPr>
        <sz val="9"/>
        <color indexed="8"/>
        <rFont val="Trebuchet MS"/>
        <family val="2"/>
      </rPr>
      <t>_1L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</si>
  <si>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맥스피쳐</t>
    </r>
    <r>
      <rPr>
        <sz val="9"/>
        <color indexed="8"/>
        <rFont val="Trebuchet MS"/>
        <family val="2"/>
      </rPr>
      <t>_1.6L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</si>
  <si>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하이트피쳐</t>
    </r>
    <r>
      <rPr>
        <sz val="9"/>
        <color indexed="8"/>
        <rFont val="Trebuchet MS"/>
        <family val="2"/>
      </rPr>
      <t>_1L+</t>
    </r>
    <r>
      <rPr>
        <sz val="9"/>
        <color indexed="8"/>
        <rFont val="굴림체"/>
        <family val="3"/>
        <charset val="129"/>
      </rPr>
      <t>포카리스웨트</t>
    </r>
    <phoneticPr fontId="3" type="noConversion"/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</si>
  <si>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하이트피쳐</t>
    </r>
    <r>
      <rPr>
        <sz val="9"/>
        <color indexed="8"/>
        <rFont val="Trebuchet MS"/>
        <family val="2"/>
      </rPr>
      <t>_1.6L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</si>
  <si>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드라이피니시</t>
    </r>
    <r>
      <rPr>
        <sz val="9"/>
        <color indexed="8"/>
        <rFont val="Trebuchet MS"/>
        <family val="2"/>
      </rPr>
      <t>d</t>
    </r>
    <r>
      <rPr>
        <sz val="9"/>
        <color indexed="8"/>
        <rFont val="굴림체"/>
        <family val="3"/>
        <charset val="129"/>
      </rPr>
      <t>캔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</si>
  <si>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드라이피니시</t>
    </r>
    <r>
      <rPr>
        <sz val="9"/>
        <color indexed="8"/>
        <rFont val="Trebuchet MS"/>
        <family val="2"/>
      </rPr>
      <t>d</t>
    </r>
    <r>
      <rPr>
        <sz val="9"/>
        <color indexed="8"/>
        <rFont val="굴림체"/>
        <family val="3"/>
        <charset val="129"/>
      </rPr>
      <t>캔</t>
    </r>
    <r>
      <rPr>
        <sz val="9"/>
        <color indexed="8"/>
        <rFont val="Trebuchet MS"/>
        <family val="2"/>
      </rPr>
      <t>_355ML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</si>
  <si>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맥스캔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</si>
  <si>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하이트캔</t>
    </r>
    <r>
      <rPr>
        <sz val="9"/>
        <color indexed="8"/>
        <rFont val="Trebuchet MS"/>
        <family val="2"/>
      </rPr>
      <t>_500ML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</si>
  <si>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하이트미니캔</t>
    </r>
    <r>
      <rPr>
        <sz val="9"/>
        <color indexed="8"/>
        <rFont val="Trebuchet MS"/>
        <family val="2"/>
      </rPr>
      <t>_250ML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</si>
  <si>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맥스캔</t>
    </r>
    <r>
      <rPr>
        <sz val="9"/>
        <color indexed="8"/>
        <rFont val="Trebuchet MS"/>
        <family val="2"/>
      </rPr>
      <t>_355ML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</si>
  <si>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맥스캔</t>
    </r>
    <r>
      <rPr>
        <sz val="9"/>
        <color indexed="8"/>
        <rFont val="Trebuchet MS"/>
        <family val="2"/>
      </rPr>
      <t>_355ML*6</t>
    </r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</si>
  <si>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하이트캔</t>
    </r>
    <r>
      <rPr>
        <sz val="9"/>
        <color indexed="8"/>
        <rFont val="Trebuchet MS"/>
        <family val="2"/>
      </rPr>
      <t>_355ML+</t>
    </r>
    <r>
      <rPr>
        <sz val="9"/>
        <color indexed="8"/>
        <rFont val="굴림체"/>
        <family val="3"/>
        <charset val="129"/>
      </rPr>
      <t>신라면</t>
    </r>
    <phoneticPr fontId="3" type="noConversion"/>
  </si>
  <si>
    <r>
      <rPr>
        <sz val="10"/>
        <color theme="1"/>
        <rFont val="돋움"/>
        <family val="3"/>
        <charset val="129"/>
      </rPr>
      <t>경기도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용인시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수지구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신봉동</t>
    </r>
    <r>
      <rPr>
        <sz val="10"/>
        <color theme="1"/>
        <rFont val="Trebuchet MS"/>
        <family val="2"/>
      </rPr>
      <t xml:space="preserve"> LG</t>
    </r>
    <r>
      <rPr>
        <sz val="10"/>
        <color theme="1"/>
        <rFont val="돋움"/>
        <family val="3"/>
        <charset val="129"/>
      </rPr>
      <t>자이</t>
    </r>
    <r>
      <rPr>
        <sz val="10"/>
        <color theme="1"/>
        <rFont val="Trebuchet MS"/>
        <family val="2"/>
      </rPr>
      <t>2</t>
    </r>
    <r>
      <rPr>
        <sz val="10"/>
        <color theme="1"/>
        <rFont val="돋움"/>
        <family val="3"/>
        <charset val="129"/>
      </rPr>
      <t>차</t>
    </r>
    <r>
      <rPr>
        <sz val="10"/>
        <color theme="1"/>
        <rFont val="Trebuchet MS"/>
        <family val="2"/>
      </rPr>
      <t xml:space="preserve"> 202</t>
    </r>
    <r>
      <rPr>
        <sz val="10"/>
        <color theme="1"/>
        <rFont val="돋움"/>
        <family val="3"/>
        <charset val="129"/>
      </rPr>
      <t>동</t>
    </r>
    <r>
      <rPr>
        <sz val="10"/>
        <color theme="1"/>
        <rFont val="Trebuchet MS"/>
        <family val="2"/>
      </rPr>
      <t xml:space="preserve"> 301</t>
    </r>
    <r>
      <rPr>
        <sz val="10"/>
        <color theme="1"/>
        <rFont val="돋움"/>
        <family val="3"/>
        <charset val="129"/>
      </rPr>
      <t>호</t>
    </r>
    <phoneticPr fontId="3" type="noConversion"/>
  </si>
  <si>
    <t>ABC_AB_A</t>
    <phoneticPr fontId="3" type="noConversion"/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</si>
  <si>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맥스병</t>
    </r>
    <r>
      <rPr>
        <sz val="9"/>
        <color indexed="8"/>
        <rFont val="Trebuchet MS"/>
        <family val="2"/>
      </rPr>
      <t>_640ML</t>
    </r>
  </si>
  <si>
    <r>
      <rPr>
        <sz val="10"/>
        <color theme="1"/>
        <rFont val="돋움"/>
        <family val="3"/>
        <charset val="129"/>
      </rPr>
      <t>경기도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용인시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수지구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동천동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삼성래미안아파트</t>
    </r>
    <r>
      <rPr>
        <sz val="10"/>
        <color theme="1"/>
        <rFont val="Trebuchet MS"/>
        <family val="2"/>
      </rPr>
      <t xml:space="preserve"> 201</t>
    </r>
    <r>
      <rPr>
        <sz val="10"/>
        <color theme="1"/>
        <rFont val="돋움"/>
        <family val="3"/>
        <charset val="129"/>
      </rPr>
      <t>동</t>
    </r>
    <r>
      <rPr>
        <sz val="10"/>
        <color theme="1"/>
        <rFont val="Trebuchet MS"/>
        <family val="2"/>
      </rPr>
      <t xml:space="preserve"> 1001</t>
    </r>
    <r>
      <rPr>
        <sz val="10"/>
        <color theme="1"/>
        <rFont val="돋움"/>
        <family val="3"/>
        <charset val="129"/>
      </rPr>
      <t>호</t>
    </r>
    <phoneticPr fontId="3" type="noConversion"/>
  </si>
  <si>
    <t>AB_A_ABC</t>
    <phoneticPr fontId="3" type="noConversion"/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</si>
  <si>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하이트병</t>
    </r>
    <r>
      <rPr>
        <sz val="9"/>
        <color indexed="8"/>
        <rFont val="Trebuchet MS"/>
        <family val="2"/>
      </rPr>
      <t>_640ML</t>
    </r>
    <phoneticPr fontId="7" type="noConversion"/>
  </si>
  <si>
    <r>
      <rPr>
        <sz val="10"/>
        <color theme="1"/>
        <rFont val="돋움"/>
        <family val="3"/>
        <charset val="129"/>
      </rPr>
      <t>경기도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용인시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수지구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성복동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현대힐스테이트</t>
    </r>
    <r>
      <rPr>
        <sz val="10"/>
        <color theme="1"/>
        <rFont val="Trebuchet MS"/>
        <family val="2"/>
      </rPr>
      <t>1</t>
    </r>
    <r>
      <rPr>
        <sz val="10"/>
        <color theme="1"/>
        <rFont val="돋움"/>
        <family val="3"/>
        <charset val="129"/>
      </rPr>
      <t>차아파트</t>
    </r>
    <r>
      <rPr>
        <sz val="10"/>
        <color theme="1"/>
        <rFont val="Trebuchet MS"/>
        <family val="2"/>
      </rPr>
      <t xml:space="preserve"> 105</t>
    </r>
    <r>
      <rPr>
        <sz val="10"/>
        <color theme="1"/>
        <rFont val="돋움"/>
        <family val="3"/>
        <charset val="129"/>
      </rPr>
      <t>동</t>
    </r>
    <r>
      <rPr>
        <sz val="10"/>
        <color theme="1"/>
        <rFont val="Trebuchet MS"/>
        <family val="2"/>
      </rPr>
      <t xml:space="preserve"> 2001</t>
    </r>
    <r>
      <rPr>
        <sz val="10"/>
        <color theme="1"/>
        <rFont val="돋움"/>
        <family val="3"/>
        <charset val="129"/>
      </rPr>
      <t>호</t>
    </r>
    <phoneticPr fontId="3" type="noConversion"/>
  </si>
  <si>
    <t>A_AAA_AAAA</t>
    <phoneticPr fontId="3" type="noConversion"/>
  </si>
  <si>
    <r>
      <rPr>
        <sz val="9"/>
        <color indexed="8"/>
        <rFont val="돋움"/>
        <family val="3"/>
        <charset val="129"/>
      </rPr>
      <t>매출액</t>
    </r>
    <phoneticPr fontId="9" type="noConversion"/>
  </si>
  <si>
    <r>
      <rPr>
        <sz val="9"/>
        <color indexed="8"/>
        <rFont val="돋움"/>
        <family val="3"/>
        <charset val="129"/>
      </rPr>
      <t>매출수량</t>
    </r>
    <phoneticPr fontId="9" type="noConversion"/>
  </si>
  <si>
    <t>사은품내역</t>
    <phoneticPr fontId="7" type="noConversion"/>
  </si>
  <si>
    <t>사은품_YN</t>
    <phoneticPr fontId="7" type="noConversion"/>
  </si>
  <si>
    <t>묶음개수</t>
    <phoneticPr fontId="7" type="noConversion"/>
  </si>
  <si>
    <t>묶음_YN</t>
    <phoneticPr fontId="7" type="noConversion"/>
  </si>
  <si>
    <t>브랜드</t>
    <phoneticPr fontId="7" type="noConversion"/>
  </si>
  <si>
    <t>제품포장</t>
    <phoneticPr fontId="7" type="noConversion"/>
  </si>
  <si>
    <t>제품명</t>
    <phoneticPr fontId="7" type="noConversion"/>
  </si>
  <si>
    <t>회사</t>
    <phoneticPr fontId="7" type="noConversion"/>
  </si>
  <si>
    <t>상품명</t>
    <phoneticPr fontId="9" type="noConversion"/>
  </si>
  <si>
    <t>APT_BRAND</t>
    <phoneticPr fontId="3" type="noConversion"/>
  </si>
  <si>
    <t>Address</t>
    <phoneticPr fontId="3" type="noConversion"/>
  </si>
  <si>
    <t>CID</t>
    <phoneticPr fontId="3" type="noConversion"/>
  </si>
  <si>
    <t>3rd_Category</t>
    <phoneticPr fontId="3" type="noConversion"/>
  </si>
  <si>
    <t>2nd_Category</t>
    <phoneticPr fontId="3" type="noConversion"/>
  </si>
  <si>
    <t>1st_Category</t>
    <phoneticPr fontId="3" type="noConversion"/>
  </si>
  <si>
    <t>Product Code</t>
    <phoneticPr fontId="3" type="noConversion"/>
  </si>
  <si>
    <t>TEXT MINING - Advanced Case</t>
    <phoneticPr fontId="3" type="noConversion"/>
  </si>
  <si>
    <t>TEXT MINING CASE B</t>
    <phoneticPr fontId="3" type="noConversion"/>
  </si>
  <si>
    <t>TEXT MINING CASE A</t>
    <phoneticPr fontId="3" type="noConversion"/>
  </si>
  <si>
    <t>LEFT / RIGHT / MID / FIND / LEN</t>
    <phoneticPr fontId="3" type="noConversion"/>
  </si>
  <si>
    <t>1ST_LOC</t>
    <phoneticPr fontId="3" type="noConversion"/>
  </si>
  <si>
    <t>2ND_LOC</t>
    <phoneticPr fontId="3" type="noConversion"/>
  </si>
  <si>
    <t>A_FEF_DFE_SSE_EFGAE_FE</t>
    <phoneticPr fontId="3" type="noConversion"/>
  </si>
  <si>
    <r>
      <t>X</t>
    </r>
    <r>
      <rPr>
        <sz val="10"/>
        <color theme="1"/>
        <rFont val="돋움"/>
        <family val="3"/>
        <charset val="129"/>
      </rPr>
      <t>차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아파트에서</t>
    </r>
    <r>
      <rPr>
        <sz val="10"/>
        <color theme="1"/>
        <rFont val="Trebuchet MS"/>
        <family val="2"/>
      </rPr>
      <t xml:space="preserve"> </t>
    </r>
    <r>
      <rPr>
        <sz val="10"/>
        <color theme="1"/>
        <rFont val="돋움"/>
        <family val="3"/>
        <charset val="129"/>
      </rPr>
      <t>날리자</t>
    </r>
    <phoneticPr fontId="3" type="noConversion"/>
  </si>
  <si>
    <t>힐스테이트</t>
    <phoneticPr fontId="3" type="noConversion"/>
  </si>
  <si>
    <t>래미안</t>
    <phoneticPr fontId="3" type="noConversion"/>
  </si>
  <si>
    <t>자이</t>
    <phoneticPr fontId="3" type="noConversion"/>
  </si>
  <si>
    <t>병</t>
    <phoneticPr fontId="3" type="noConversion"/>
  </si>
  <si>
    <t>캔</t>
    <phoneticPr fontId="3" type="noConversion"/>
  </si>
  <si>
    <t>피쳐</t>
    <phoneticPr fontId="3" type="noConversion"/>
  </si>
  <si>
    <t>하이트</t>
    <phoneticPr fontId="3" type="noConversion"/>
  </si>
  <si>
    <t>맥스</t>
    <phoneticPr fontId="3" type="noConversion"/>
  </si>
  <si>
    <t>큐팩</t>
    <phoneticPr fontId="3" type="noConversion"/>
  </si>
  <si>
    <t>d</t>
    <phoneticPr fontId="3" type="noConversion"/>
  </si>
  <si>
    <t>스타우트</t>
    <phoneticPr fontId="3" type="noConversion"/>
  </si>
  <si>
    <t>골든라거</t>
    <phoneticPr fontId="3" type="noConversion"/>
  </si>
  <si>
    <t>카스</t>
    <phoneticPr fontId="3" type="noConversion"/>
  </si>
  <si>
    <t>카프리</t>
    <phoneticPr fontId="3" type="noConversion"/>
  </si>
  <si>
    <t>버드와이저</t>
    <phoneticPr fontId="3" type="noConversion"/>
  </si>
  <si>
    <t>호가든</t>
    <phoneticPr fontId="3" type="noConversion"/>
  </si>
  <si>
    <r>
      <t xml:space="preserve">* </t>
    </r>
    <r>
      <rPr>
        <sz val="10"/>
        <color theme="1"/>
        <rFont val="돋움"/>
        <family val="3"/>
        <charset val="129"/>
      </rPr>
      <t>위치</t>
    </r>
    <phoneticPr fontId="3" type="noConversion"/>
  </si>
  <si>
    <t>오비</t>
    <phoneticPr fontId="3" type="noConversion"/>
  </si>
  <si>
    <t>호가든</t>
    <phoneticPr fontId="7" type="noConversion"/>
  </si>
  <si>
    <r>
      <rPr>
        <sz val="9"/>
        <color indexed="8"/>
        <rFont val="굴림체"/>
        <family val="3"/>
        <charset val="129"/>
      </rPr>
      <t>하이트맥주</t>
    </r>
    <r>
      <rPr>
        <sz val="9"/>
        <color indexed="8"/>
        <rFont val="Trebuchet MS"/>
        <family val="2"/>
      </rPr>
      <t>_</t>
    </r>
    <r>
      <rPr>
        <sz val="9"/>
        <color indexed="8"/>
        <rFont val="굴림체"/>
        <family val="3"/>
        <charset val="129"/>
      </rPr>
      <t>하이트캔</t>
    </r>
    <r>
      <rPr>
        <sz val="9"/>
        <color indexed="8"/>
        <rFont val="Trebuchet MS"/>
        <family val="2"/>
      </rPr>
      <t>_355ML*6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</si>
</sst>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Trebuchet MS"/>
      <family val="2"/>
    </font>
    <font>
      <sz val="8"/>
      <name val="맑은 고딕"/>
      <family val="2"/>
      <charset val="129"/>
      <scheme val="minor"/>
    </font>
    <font>
      <sz val="9"/>
      <color indexed="8"/>
      <name val="Trebuchet MS"/>
      <family val="2"/>
    </font>
    <font>
      <sz val="9"/>
      <color indexed="8"/>
      <name val="굴림체"/>
      <family val="3"/>
      <charset val="129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name val="맑은 고딕"/>
      <family val="2"/>
    </font>
    <font>
      <sz val="9"/>
      <name val="돋움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41" fontId="4" fillId="2" borderId="1" xfId="1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4" fillId="5" borderId="1" xfId="1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10" fillId="6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6" fillId="6" borderId="1" xfId="0" applyFont="1" applyFill="1" applyBorder="1" applyAlignment="1">
      <alignment horizontal="center" vertical="center"/>
    </xf>
    <xf numFmtId="0" fontId="8" fillId="8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2" fillId="0" borderId="0" xfId="1" applyFont="1">
      <alignment vertical="center"/>
    </xf>
  </cellXfs>
  <cellStyles count="5">
    <cellStyle name="쉼표 [0]" xfId="1" builtinId="6"/>
    <cellStyle name="표준" xfId="0" builtinId="0"/>
    <cellStyle name="표준 2" xfId="2"/>
    <cellStyle name="표준 3" xfId="3"/>
    <cellStyle name="표준 4" xfId="4"/>
  </cellStyles>
  <dxfs count="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48"/>
  <sheetViews>
    <sheetView showGridLines="0" tabSelected="1" topLeftCell="S1" workbookViewId="0">
      <selection activeCell="AK8" sqref="AK8"/>
    </sheetView>
  </sheetViews>
  <sheetFormatPr defaultRowHeight="15" x14ac:dyDescent="0.3"/>
  <cols>
    <col min="1" max="1" width="9" style="1"/>
    <col min="2" max="2" width="20.875" style="1" customWidth="1"/>
    <col min="3" max="3" width="17.75" style="1" bestFit="1" customWidth="1"/>
    <col min="4" max="5" width="10.875" style="1" bestFit="1" customWidth="1"/>
    <col min="6" max="7" width="10.875" style="1" customWidth="1"/>
    <col min="8" max="9" width="9" style="1"/>
    <col min="10" max="10" width="52" style="1" customWidth="1"/>
    <col min="11" max="11" width="10.25" style="1" customWidth="1"/>
    <col min="12" max="12" width="8" style="1" customWidth="1"/>
    <col min="13" max="13" width="8.125" style="1" customWidth="1"/>
    <col min="14" max="14" width="11.875" style="1" customWidth="1"/>
    <col min="15" max="15" width="9" style="1"/>
    <col min="16" max="16" width="31.375" style="1" customWidth="1"/>
    <col min="17" max="17" width="14.125" style="1" customWidth="1"/>
    <col min="18" max="18" width="19.25" style="1" customWidth="1"/>
    <col min="19" max="22" width="6.25" style="1" customWidth="1"/>
    <col min="23" max="23" width="9" style="1"/>
    <col min="24" max="24" width="6" style="1" bestFit="1" customWidth="1"/>
    <col min="25" max="25" width="4.5" style="1" bestFit="1" customWidth="1"/>
    <col min="26" max="26" width="6" style="1" bestFit="1" customWidth="1"/>
    <col min="27" max="27" width="9" style="1"/>
    <col min="28" max="28" width="6" style="1" bestFit="1" customWidth="1"/>
    <col min="29" max="29" width="4.5" style="1" bestFit="1" customWidth="1"/>
    <col min="30" max="31" width="7.5" style="1" bestFit="1" customWidth="1"/>
    <col min="32" max="32" width="2.375" style="1" bestFit="1" customWidth="1"/>
    <col min="33" max="34" width="9" style="1"/>
    <col min="35" max="35" width="11.5" style="1" customWidth="1"/>
    <col min="36" max="42" width="9" style="1"/>
    <col min="43" max="43" width="9.125" style="1" bestFit="1" customWidth="1"/>
    <col min="44" max="44" width="10.125" style="1" bestFit="1" customWidth="1"/>
    <col min="45" max="16384" width="9" style="1"/>
  </cols>
  <sheetData>
    <row r="2" spans="2:44" x14ac:dyDescent="0.3">
      <c r="B2" s="1" t="s">
        <v>68</v>
      </c>
      <c r="I2" s="1" t="s">
        <v>67</v>
      </c>
      <c r="P2" s="1" t="s">
        <v>66</v>
      </c>
      <c r="AG2" s="1" t="str">
        <f>IFERROR(INDEX(R5:R48,MATCH(-1,$AG$5:$AG$48,0)),"ALL FOUND")</f>
        <v>ALL FOUND</v>
      </c>
      <c r="AH2" s="1" t="s">
        <v>90</v>
      </c>
    </row>
    <row r="3" spans="2:44" ht="4.5" customHeight="1" x14ac:dyDescent="0.3"/>
    <row r="4" spans="2:44" x14ac:dyDescent="0.3">
      <c r="B4" s="14" t="s">
        <v>65</v>
      </c>
      <c r="C4" s="14" t="s">
        <v>64</v>
      </c>
      <c r="D4" s="14" t="s">
        <v>63</v>
      </c>
      <c r="E4" s="14" t="s">
        <v>62</v>
      </c>
      <c r="F4" s="14" t="s">
        <v>70</v>
      </c>
      <c r="G4" s="14" t="s">
        <v>71</v>
      </c>
      <c r="I4" s="13" t="s">
        <v>61</v>
      </c>
      <c r="J4" s="13" t="s">
        <v>60</v>
      </c>
      <c r="K4" s="16" t="s">
        <v>74</v>
      </c>
      <c r="L4" s="16" t="s">
        <v>75</v>
      </c>
      <c r="M4" s="16" t="s">
        <v>76</v>
      </c>
      <c r="N4" s="12" t="s">
        <v>59</v>
      </c>
      <c r="P4" s="11" t="s">
        <v>58</v>
      </c>
      <c r="Q4" s="10" t="s">
        <v>57</v>
      </c>
      <c r="R4" s="10" t="s">
        <v>56</v>
      </c>
      <c r="S4" s="17" t="s">
        <v>77</v>
      </c>
      <c r="T4" s="17" t="s">
        <v>78</v>
      </c>
      <c r="U4" s="17" t="s">
        <v>82</v>
      </c>
      <c r="V4" s="17" t="s">
        <v>79</v>
      </c>
      <c r="W4" s="10" t="s">
        <v>55</v>
      </c>
      <c r="X4" s="17" t="s">
        <v>80</v>
      </c>
      <c r="Y4" s="17" t="s">
        <v>81</v>
      </c>
      <c r="Z4" s="17" t="s">
        <v>89</v>
      </c>
      <c r="AA4" s="17" t="s">
        <v>88</v>
      </c>
      <c r="AB4" s="17" t="s">
        <v>87</v>
      </c>
      <c r="AC4" s="17" t="s">
        <v>86</v>
      </c>
      <c r="AD4" s="17" t="s">
        <v>85</v>
      </c>
      <c r="AE4" s="17" t="s">
        <v>84</v>
      </c>
      <c r="AF4" s="17" t="s">
        <v>83</v>
      </c>
      <c r="AG4" s="10" t="s">
        <v>54</v>
      </c>
      <c r="AH4" s="10" t="s">
        <v>53</v>
      </c>
      <c r="AI4" s="10" t="s">
        <v>52</v>
      </c>
      <c r="AJ4" s="10" t="s">
        <v>51</v>
      </c>
      <c r="AK4" s="10" t="s">
        <v>50</v>
      </c>
      <c r="AL4" s="9" t="s">
        <v>49</v>
      </c>
      <c r="AM4" s="9" t="s">
        <v>48</v>
      </c>
      <c r="AO4" s="10" t="s">
        <v>57</v>
      </c>
      <c r="AP4" s="10" t="s">
        <v>92</v>
      </c>
      <c r="AQ4" s="9" t="s">
        <v>49</v>
      </c>
      <c r="AR4" s="9" t="s">
        <v>48</v>
      </c>
    </row>
    <row r="5" spans="2:44" x14ac:dyDescent="0.3">
      <c r="B5" s="8" t="s">
        <v>47</v>
      </c>
      <c r="C5" s="5" t="str">
        <f>LEFT(B5,F5-1)</f>
        <v>A</v>
      </c>
      <c r="D5" s="5" t="str">
        <f>MID(B5,F5+1,G5-F5-1)</f>
        <v>AAA</v>
      </c>
      <c r="E5" s="5" t="str">
        <f>RIGHT(B5,LEN(B5)-G5)</f>
        <v>AAAA</v>
      </c>
      <c r="F5" s="1">
        <f>FIND("_",B5)</f>
        <v>2</v>
      </c>
      <c r="G5" s="1">
        <f>FIND("_",B5,F5+1)</f>
        <v>6</v>
      </c>
      <c r="I5" s="7">
        <v>1</v>
      </c>
      <c r="J5" s="6" t="s">
        <v>46</v>
      </c>
      <c r="K5" s="6">
        <f>IF(ISERROR(FIND(K$4,$J5)),0,1)</f>
        <v>1</v>
      </c>
      <c r="L5" s="6">
        <f t="shared" ref="L5:M5" si="0">IF(ISERROR(FIND(L$4,$J5)),0,1)</f>
        <v>0</v>
      </c>
      <c r="M5" s="6">
        <f t="shared" si="0"/>
        <v>0</v>
      </c>
      <c r="N5" s="5" t="str">
        <f>INDEX($K$4:$M$4,MATCH(1,K5:M5,0))</f>
        <v>힐스테이트</v>
      </c>
      <c r="P5" s="4" t="s">
        <v>45</v>
      </c>
      <c r="Q5" s="3" t="str">
        <f>LEFT(P5,FIND("_",P5)-1)</f>
        <v>하이트맥주</v>
      </c>
      <c r="R5" s="3" t="str">
        <f>RIGHT(P5,LEN(P5)-FIND("_",P5))</f>
        <v>하이트병_640ML</v>
      </c>
      <c r="S5" s="3">
        <f t="shared" ref="S5:V48" si="1">IF(ISERROR(FIND(S$4,$P5)),0,1)</f>
        <v>1</v>
      </c>
      <c r="T5" s="3">
        <f t="shared" si="1"/>
        <v>0</v>
      </c>
      <c r="U5" s="3">
        <f t="shared" ref="U5:U48" si="2">IF(ISERROR(FIND(U$4,$P5)),0,1)</f>
        <v>0</v>
      </c>
      <c r="V5" s="3">
        <f t="shared" si="1"/>
        <v>0</v>
      </c>
      <c r="W5" s="3" t="str">
        <f>INDEX($S$4:$V$4,MATCH(1,S5:V5,0))</f>
        <v>병</v>
      </c>
      <c r="X5" s="3">
        <f>IF(ISERROR(FIND(X$4,$R5)),0,1)</f>
        <v>1</v>
      </c>
      <c r="Y5" s="3">
        <f t="shared" ref="Y5:AF20" si="3">IF(ISERROR(FIND(Y$4,$R5)),0,1)</f>
        <v>0</v>
      </c>
      <c r="Z5" s="3">
        <f t="shared" si="3"/>
        <v>0</v>
      </c>
      <c r="AA5" s="3">
        <f t="shared" si="3"/>
        <v>0</v>
      </c>
      <c r="AB5" s="3">
        <f t="shared" si="3"/>
        <v>0</v>
      </c>
      <c r="AC5" s="3">
        <f t="shared" si="3"/>
        <v>0</v>
      </c>
      <c r="AD5" s="3">
        <f t="shared" si="3"/>
        <v>0</v>
      </c>
      <c r="AE5" s="3">
        <f t="shared" si="3"/>
        <v>0</v>
      </c>
      <c r="AF5" s="3">
        <f t="shared" si="3"/>
        <v>0</v>
      </c>
      <c r="AG5" s="3" t="str">
        <f>IFERROR(INDEX($X$4:$AF$4,MATCH(1,X5:AF5,0)),-1)</f>
        <v>하이트</v>
      </c>
      <c r="AH5" s="18" t="str">
        <f t="shared" ref="AH5:AJ48" si="4">IF(ISERROR(FIND("*",R5)),"N","Y")</f>
        <v>N</v>
      </c>
      <c r="AI5" s="18">
        <f t="shared" ref="AI5:AK48" si="5">IF(ISERROR(RIGHT(R5,LEN(R5)-FIND("*",R5))),0,RIGHT(R5,LEN(R5)-FIND("*",R5)))</f>
        <v>0</v>
      </c>
      <c r="AJ5" s="18" t="str">
        <f>IF(ISERROR(FIND("+",R5)),"N","Y")</f>
        <v>N</v>
      </c>
      <c r="AK5" s="18">
        <f>IF(AJ5="Y",RIGHT(R5,LEN(R5)-FIND("+",R5)),0)</f>
        <v>0</v>
      </c>
      <c r="AL5" s="2">
        <v>76</v>
      </c>
      <c r="AM5" s="2">
        <v>108680</v>
      </c>
      <c r="AO5" s="19" t="s">
        <v>91</v>
      </c>
      <c r="AP5" s="19">
        <v>1</v>
      </c>
      <c r="AQ5" s="20">
        <f>DSUM($P$4:$AM$48,AQ4,AO4:AP5)</f>
        <v>530</v>
      </c>
      <c r="AR5" s="20">
        <f>DSUM($P$4:$AM$48,AR4,AO4:AP5)</f>
        <v>1042964</v>
      </c>
    </row>
    <row r="6" spans="2:44" x14ac:dyDescent="0.3">
      <c r="B6" s="8" t="s">
        <v>44</v>
      </c>
      <c r="C6" s="5" t="str">
        <f t="shared" ref="C6:C7" si="6">LEFT(B6,F6-1)</f>
        <v>AB</v>
      </c>
      <c r="D6" s="5" t="str">
        <f t="shared" ref="D6:D7" si="7">MID(B6,F6+1,G6-F6-1)</f>
        <v>A</v>
      </c>
      <c r="E6" s="5" t="str">
        <f t="shared" ref="E6:E7" si="8">RIGHT(B6,LEN(B6)-G6)</f>
        <v>ABC</v>
      </c>
      <c r="F6" s="1">
        <f t="shared" ref="F6:F7" si="9">FIND("_",B6)</f>
        <v>3</v>
      </c>
      <c r="G6" s="1">
        <f t="shared" ref="G6:G7" si="10">FIND("_",B6,F6+1)</f>
        <v>5</v>
      </c>
      <c r="I6" s="7">
        <v>2</v>
      </c>
      <c r="J6" s="6" t="s">
        <v>43</v>
      </c>
      <c r="K6" s="6">
        <f t="shared" ref="K6:M7" si="11">IF(ISERROR(FIND(K$4,$J6)),0,1)</f>
        <v>0</v>
      </c>
      <c r="L6" s="6">
        <f t="shared" si="11"/>
        <v>1</v>
      </c>
      <c r="M6" s="6">
        <f t="shared" si="11"/>
        <v>0</v>
      </c>
      <c r="N6" s="5" t="str">
        <f>INDEX($K$4:$M$4,MATCH(1,K6:M6,0))</f>
        <v>래미안</v>
      </c>
      <c r="P6" s="4" t="s">
        <v>42</v>
      </c>
      <c r="Q6" s="3" t="str">
        <f t="shared" ref="Q6:Q48" si="12">LEFT(P6,FIND("_",P6)-1)</f>
        <v>하이트맥주</v>
      </c>
      <c r="R6" s="3" t="str">
        <f t="shared" ref="R6:R48" si="13">RIGHT(P6,LEN(P6)-FIND("_",P6))</f>
        <v>맥스병_640ML</v>
      </c>
      <c r="S6" s="3">
        <f t="shared" si="1"/>
        <v>1</v>
      </c>
      <c r="T6" s="3">
        <f t="shared" si="1"/>
        <v>0</v>
      </c>
      <c r="U6" s="3">
        <f t="shared" si="2"/>
        <v>0</v>
      </c>
      <c r="V6" s="3">
        <f t="shared" si="1"/>
        <v>0</v>
      </c>
      <c r="W6" s="3" t="str">
        <f>INDEX($S$4:$V$4,MATCH(1,S6:V6,0))</f>
        <v>병</v>
      </c>
      <c r="X6" s="3">
        <f t="shared" ref="X6:AF48" si="14">IF(ISERROR(FIND(X$4,$R6)),0,1)</f>
        <v>0</v>
      </c>
      <c r="Y6" s="3">
        <f t="shared" si="3"/>
        <v>1</v>
      </c>
      <c r="Z6" s="3">
        <f t="shared" si="3"/>
        <v>0</v>
      </c>
      <c r="AA6" s="3">
        <f t="shared" si="3"/>
        <v>0</v>
      </c>
      <c r="AB6" s="3">
        <f t="shared" si="3"/>
        <v>0</v>
      </c>
      <c r="AC6" s="3">
        <f t="shared" si="3"/>
        <v>0</v>
      </c>
      <c r="AD6" s="3">
        <f t="shared" si="3"/>
        <v>0</v>
      </c>
      <c r="AE6" s="3">
        <f t="shared" si="3"/>
        <v>0</v>
      </c>
      <c r="AF6" s="3">
        <f t="shared" si="3"/>
        <v>0</v>
      </c>
      <c r="AG6" s="3" t="str">
        <f>IFERROR(INDEX($X$4:$AF$4,MATCH(1,X6:AF6,0)),-1)</f>
        <v>맥스</v>
      </c>
      <c r="AH6" s="18" t="str">
        <f t="shared" si="4"/>
        <v>N</v>
      </c>
      <c r="AI6" s="18">
        <f t="shared" si="5"/>
        <v>0</v>
      </c>
      <c r="AJ6" s="18" t="str">
        <f t="shared" ref="AJ6:AJ48" si="15">IF(ISERROR(FIND("+",R6)),"N","Y")</f>
        <v>N</v>
      </c>
      <c r="AK6" s="18">
        <f t="shared" ref="AK6:AK48" si="16">IF(AJ6="Y",RIGHT(R6,LEN(R6)-FIND("+",R6)),0)</f>
        <v>0</v>
      </c>
      <c r="AL6" s="2">
        <v>141</v>
      </c>
      <c r="AM6" s="2">
        <v>201630</v>
      </c>
    </row>
    <row r="7" spans="2:44" x14ac:dyDescent="0.3">
      <c r="B7" s="8" t="s">
        <v>41</v>
      </c>
      <c r="C7" s="5" t="str">
        <f t="shared" si="6"/>
        <v>ABC</v>
      </c>
      <c r="D7" s="5" t="str">
        <f t="shared" si="7"/>
        <v>AB</v>
      </c>
      <c r="E7" s="5" t="str">
        <f t="shared" si="8"/>
        <v>A</v>
      </c>
      <c r="F7" s="1">
        <f t="shared" si="9"/>
        <v>4</v>
      </c>
      <c r="G7" s="1">
        <f t="shared" si="10"/>
        <v>7</v>
      </c>
      <c r="I7" s="7">
        <v>3</v>
      </c>
      <c r="J7" s="6" t="s">
        <v>40</v>
      </c>
      <c r="K7" s="6">
        <f t="shared" si="11"/>
        <v>0</v>
      </c>
      <c r="L7" s="6">
        <f t="shared" si="11"/>
        <v>0</v>
      </c>
      <c r="M7" s="6">
        <f t="shared" si="11"/>
        <v>1</v>
      </c>
      <c r="N7" s="5" t="str">
        <f t="shared" ref="N7" si="17">INDEX($K$4:$M$4,MATCH(1,K7:M7,0))</f>
        <v>자이</v>
      </c>
      <c r="P7" s="4" t="s">
        <v>20</v>
      </c>
      <c r="Q7" s="3" t="str">
        <f t="shared" si="12"/>
        <v>하이트맥주</v>
      </c>
      <c r="R7" s="3" t="str">
        <f t="shared" si="13"/>
        <v>드라이피니시d병_500ML</v>
      </c>
      <c r="S7" s="3">
        <f t="shared" si="1"/>
        <v>1</v>
      </c>
      <c r="T7" s="3">
        <f t="shared" si="1"/>
        <v>0</v>
      </c>
      <c r="U7" s="3">
        <f t="shared" si="2"/>
        <v>0</v>
      </c>
      <c r="V7" s="3">
        <f t="shared" si="1"/>
        <v>0</v>
      </c>
      <c r="W7" s="3" t="str">
        <f>INDEX($S$4:$V$4,MATCH(1,S7:V7,0))</f>
        <v>병</v>
      </c>
      <c r="X7" s="3">
        <f t="shared" si="14"/>
        <v>0</v>
      </c>
      <c r="Y7" s="3">
        <f t="shared" si="3"/>
        <v>0</v>
      </c>
      <c r="Z7" s="3">
        <f t="shared" si="3"/>
        <v>0</v>
      </c>
      <c r="AA7" s="3">
        <f t="shared" si="3"/>
        <v>0</v>
      </c>
      <c r="AB7" s="3">
        <f t="shared" si="3"/>
        <v>0</v>
      </c>
      <c r="AC7" s="3">
        <f t="shared" si="3"/>
        <v>0</v>
      </c>
      <c r="AD7" s="3">
        <f t="shared" si="3"/>
        <v>0</v>
      </c>
      <c r="AE7" s="3">
        <f t="shared" si="3"/>
        <v>0</v>
      </c>
      <c r="AF7" s="3">
        <f t="shared" si="3"/>
        <v>1</v>
      </c>
      <c r="AG7" s="3" t="str">
        <f>IFERROR(INDEX($X$4:$AF$4,MATCH(1,X7:AF7,0)),-1)</f>
        <v>d</v>
      </c>
      <c r="AH7" s="18" t="str">
        <f t="shared" si="4"/>
        <v>N</v>
      </c>
      <c r="AI7" s="18">
        <f t="shared" si="5"/>
        <v>0</v>
      </c>
      <c r="AJ7" s="18" t="str">
        <f t="shared" si="15"/>
        <v>N</v>
      </c>
      <c r="AK7" s="18">
        <f t="shared" si="16"/>
        <v>0</v>
      </c>
      <c r="AL7" s="2">
        <v>333</v>
      </c>
      <c r="AM7" s="2">
        <v>379620</v>
      </c>
    </row>
    <row r="8" spans="2:44" x14ac:dyDescent="0.3">
      <c r="P8" s="4" t="s">
        <v>93</v>
      </c>
      <c r="Q8" s="3" t="str">
        <f t="shared" si="12"/>
        <v>하이트맥주</v>
      </c>
      <c r="R8" s="3" t="str">
        <f t="shared" si="13"/>
        <v>하이트캔_355ML*6</v>
      </c>
      <c r="S8" s="3">
        <f>IF(ISERROR(FIND(S$4,$P8)),0,1)</f>
        <v>0</v>
      </c>
      <c r="T8" s="3">
        <f t="shared" si="1"/>
        <v>1</v>
      </c>
      <c r="U8" s="3">
        <f t="shared" si="2"/>
        <v>0</v>
      </c>
      <c r="V8" s="3">
        <f t="shared" si="1"/>
        <v>0</v>
      </c>
      <c r="W8" s="3" t="str">
        <f>INDEX($S$4:$V$4,MATCH(1,S8:V8,0))</f>
        <v>캔</v>
      </c>
      <c r="X8" s="3">
        <f t="shared" si="14"/>
        <v>1</v>
      </c>
      <c r="Y8" s="3">
        <f t="shared" si="3"/>
        <v>0</v>
      </c>
      <c r="Z8" s="3">
        <f t="shared" si="3"/>
        <v>0</v>
      </c>
      <c r="AA8" s="3">
        <f t="shared" si="3"/>
        <v>0</v>
      </c>
      <c r="AB8" s="3">
        <f t="shared" si="3"/>
        <v>0</v>
      </c>
      <c r="AC8" s="3">
        <f t="shared" si="3"/>
        <v>0</v>
      </c>
      <c r="AD8" s="3">
        <f t="shared" si="3"/>
        <v>0</v>
      </c>
      <c r="AE8" s="3">
        <f t="shared" si="3"/>
        <v>0</v>
      </c>
      <c r="AF8" s="3">
        <f t="shared" si="3"/>
        <v>0</v>
      </c>
      <c r="AG8" s="3" t="str">
        <f>IFERROR(INDEX($X$4:$AF$4,MATCH(1,X8:AF8,0)),-1)</f>
        <v>하이트</v>
      </c>
      <c r="AH8" s="18" t="str">
        <f t="shared" si="4"/>
        <v>Y</v>
      </c>
      <c r="AI8" s="18" t="str">
        <f>IF(ISERROR(RIGHT(R8,LEN(R8)-FIND("*",R8))),0,RIGHT(R8,LEN(R8)-FIND("*",R8)))</f>
        <v>6</v>
      </c>
      <c r="AJ8" s="18" t="str">
        <f t="shared" si="15"/>
        <v>N</v>
      </c>
      <c r="AK8" s="18">
        <f t="shared" si="16"/>
        <v>0</v>
      </c>
      <c r="AL8" s="2">
        <v>4</v>
      </c>
      <c r="AM8" s="2">
        <v>30000</v>
      </c>
    </row>
    <row r="9" spans="2:44" x14ac:dyDescent="0.3">
      <c r="C9" s="1" t="s">
        <v>69</v>
      </c>
      <c r="K9" s="1">
        <f>IF(ISERROR(FIND(K4,J5)),0,1)</f>
        <v>1</v>
      </c>
      <c r="P9" s="4" t="s">
        <v>39</v>
      </c>
      <c r="Q9" s="3" t="str">
        <f t="shared" si="12"/>
        <v>하이트맥주</v>
      </c>
      <c r="R9" s="3" t="str">
        <f t="shared" si="13"/>
        <v>하이트캔_355ML+신라면</v>
      </c>
      <c r="S9" s="3">
        <f t="shared" si="1"/>
        <v>0</v>
      </c>
      <c r="T9" s="3">
        <f t="shared" si="1"/>
        <v>1</v>
      </c>
      <c r="U9" s="3">
        <f t="shared" si="2"/>
        <v>0</v>
      </c>
      <c r="V9" s="3">
        <f t="shared" si="1"/>
        <v>0</v>
      </c>
      <c r="W9" s="3" t="str">
        <f>INDEX($S$4:$V$4,MATCH(1,S9:V9,0))</f>
        <v>캔</v>
      </c>
      <c r="X9" s="3">
        <f t="shared" si="14"/>
        <v>1</v>
      </c>
      <c r="Y9" s="3">
        <f t="shared" si="3"/>
        <v>0</v>
      </c>
      <c r="Z9" s="3">
        <f t="shared" si="3"/>
        <v>0</v>
      </c>
      <c r="AA9" s="3">
        <f t="shared" si="3"/>
        <v>0</v>
      </c>
      <c r="AB9" s="3">
        <f t="shared" si="3"/>
        <v>0</v>
      </c>
      <c r="AC9" s="3">
        <f t="shared" si="3"/>
        <v>0</v>
      </c>
      <c r="AD9" s="3">
        <f t="shared" si="3"/>
        <v>0</v>
      </c>
      <c r="AE9" s="3">
        <f t="shared" si="3"/>
        <v>0</v>
      </c>
      <c r="AF9" s="3">
        <f t="shared" si="3"/>
        <v>0</v>
      </c>
      <c r="AG9" s="3" t="str">
        <f>IFERROR(INDEX($X$4:$AF$4,MATCH(1,X9:AF9,0)),-1)</f>
        <v>하이트</v>
      </c>
      <c r="AH9" s="18" t="str">
        <f t="shared" si="4"/>
        <v>N</v>
      </c>
      <c r="AI9" s="18">
        <f t="shared" si="5"/>
        <v>0</v>
      </c>
      <c r="AJ9" s="18" t="str">
        <f t="shared" si="15"/>
        <v>Y</v>
      </c>
      <c r="AK9" s="18" t="str">
        <f t="shared" si="16"/>
        <v>신라면</v>
      </c>
      <c r="AL9" s="2">
        <v>82</v>
      </c>
      <c r="AM9" s="2">
        <v>102500</v>
      </c>
    </row>
    <row r="10" spans="2:44" x14ac:dyDescent="0.3">
      <c r="J10" s="1">
        <f>FIND("힐스테이트",J5)</f>
        <v>19</v>
      </c>
      <c r="P10" s="4" t="s">
        <v>38</v>
      </c>
      <c r="Q10" s="3" t="str">
        <f t="shared" si="12"/>
        <v>하이트맥주</v>
      </c>
      <c r="R10" s="3" t="str">
        <f t="shared" si="13"/>
        <v>맥스캔_355ML*6</v>
      </c>
      <c r="S10" s="3">
        <f t="shared" si="1"/>
        <v>0</v>
      </c>
      <c r="T10" s="3">
        <f t="shared" si="1"/>
        <v>1</v>
      </c>
      <c r="U10" s="3">
        <f t="shared" si="2"/>
        <v>0</v>
      </c>
      <c r="V10" s="3">
        <f t="shared" si="1"/>
        <v>0</v>
      </c>
      <c r="W10" s="3" t="str">
        <f>INDEX($S$4:$V$4,MATCH(1,S10:V10,0))</f>
        <v>캔</v>
      </c>
      <c r="X10" s="3">
        <f t="shared" si="14"/>
        <v>0</v>
      </c>
      <c r="Y10" s="3">
        <f t="shared" si="3"/>
        <v>1</v>
      </c>
      <c r="Z10" s="3">
        <f t="shared" si="3"/>
        <v>0</v>
      </c>
      <c r="AA10" s="3">
        <f t="shared" si="3"/>
        <v>0</v>
      </c>
      <c r="AB10" s="3">
        <f t="shared" si="3"/>
        <v>0</v>
      </c>
      <c r="AC10" s="3">
        <f t="shared" si="3"/>
        <v>0</v>
      </c>
      <c r="AD10" s="3">
        <f t="shared" si="3"/>
        <v>0</v>
      </c>
      <c r="AE10" s="3">
        <f t="shared" si="3"/>
        <v>0</v>
      </c>
      <c r="AF10" s="3">
        <f t="shared" si="3"/>
        <v>0</v>
      </c>
      <c r="AG10" s="3" t="str">
        <f>IFERROR(INDEX($X$4:$AF$4,MATCH(1,X10:AF10,0)),-1)</f>
        <v>맥스</v>
      </c>
      <c r="AH10" s="18" t="str">
        <f t="shared" si="4"/>
        <v>Y</v>
      </c>
      <c r="AI10" s="18" t="str">
        <f t="shared" si="5"/>
        <v>6</v>
      </c>
      <c r="AJ10" s="18" t="str">
        <f t="shared" si="15"/>
        <v>N</v>
      </c>
      <c r="AK10" s="18">
        <f t="shared" si="16"/>
        <v>0</v>
      </c>
      <c r="AL10" s="2">
        <v>20</v>
      </c>
      <c r="AM10" s="2">
        <v>150000</v>
      </c>
    </row>
    <row r="11" spans="2:44" x14ac:dyDescent="0.3">
      <c r="B11" s="1" t="s">
        <v>72</v>
      </c>
      <c r="C11" s="1" t="str">
        <f t="shared" ref="C11:C14" si="18">IFERROR(LEFT(B11,FIND("_",B11)-1),B11)</f>
        <v>A</v>
      </c>
      <c r="M11" s="1">
        <f>FIND("_",P5)</f>
        <v>6</v>
      </c>
      <c r="P11" s="4" t="s">
        <v>37</v>
      </c>
      <c r="Q11" s="3" t="str">
        <f t="shared" si="12"/>
        <v>하이트맥주</v>
      </c>
      <c r="R11" s="3" t="str">
        <f t="shared" si="13"/>
        <v>맥스캔_355ML</v>
      </c>
      <c r="S11" s="3">
        <f t="shared" si="1"/>
        <v>0</v>
      </c>
      <c r="T11" s="3">
        <f t="shared" si="1"/>
        <v>1</v>
      </c>
      <c r="U11" s="3">
        <f t="shared" si="2"/>
        <v>0</v>
      </c>
      <c r="V11" s="3">
        <f t="shared" si="1"/>
        <v>0</v>
      </c>
      <c r="W11" s="3" t="str">
        <f>INDEX($S$4:$V$4,MATCH(1,S11:V11,0))</f>
        <v>캔</v>
      </c>
      <c r="X11" s="3">
        <f t="shared" si="14"/>
        <v>0</v>
      </c>
      <c r="Y11" s="3">
        <f t="shared" si="3"/>
        <v>1</v>
      </c>
      <c r="Z11" s="3">
        <f t="shared" si="3"/>
        <v>0</v>
      </c>
      <c r="AA11" s="3">
        <f t="shared" si="3"/>
        <v>0</v>
      </c>
      <c r="AB11" s="3">
        <f t="shared" si="3"/>
        <v>0</v>
      </c>
      <c r="AC11" s="3">
        <f t="shared" si="3"/>
        <v>0</v>
      </c>
      <c r="AD11" s="3">
        <f t="shared" si="3"/>
        <v>0</v>
      </c>
      <c r="AE11" s="3">
        <f t="shared" si="3"/>
        <v>0</v>
      </c>
      <c r="AF11" s="3">
        <f t="shared" si="3"/>
        <v>0</v>
      </c>
      <c r="AG11" s="3" t="str">
        <f>IFERROR(INDEX($X$4:$AF$4,MATCH(1,X11:AF11,0)),-1)</f>
        <v>맥스</v>
      </c>
      <c r="AH11" s="18" t="str">
        <f t="shared" si="4"/>
        <v>N</v>
      </c>
      <c r="AI11" s="18">
        <f t="shared" si="5"/>
        <v>0</v>
      </c>
      <c r="AJ11" s="18" t="str">
        <f t="shared" si="15"/>
        <v>N</v>
      </c>
      <c r="AK11" s="18">
        <f t="shared" si="16"/>
        <v>0</v>
      </c>
      <c r="AL11" s="2">
        <v>109</v>
      </c>
      <c r="AM11" s="2">
        <v>136250</v>
      </c>
    </row>
    <row r="12" spans="2:44" x14ac:dyDescent="0.3">
      <c r="B12" s="1" t="str">
        <f>RIGHT(B11,LEN(B11)-FIND("_",B11))</f>
        <v>FEF_DFE_SSE_EFGAE_FE</v>
      </c>
      <c r="C12" s="1" t="str">
        <f t="shared" si="18"/>
        <v>FEF</v>
      </c>
      <c r="J12" s="1" t="s">
        <v>73</v>
      </c>
      <c r="P12" s="4" t="s">
        <v>36</v>
      </c>
      <c r="Q12" s="3" t="str">
        <f t="shared" si="12"/>
        <v>하이트맥주</v>
      </c>
      <c r="R12" s="3" t="str">
        <f t="shared" si="13"/>
        <v>하이트미니캔_250ML</v>
      </c>
      <c r="S12" s="3">
        <f t="shared" si="1"/>
        <v>0</v>
      </c>
      <c r="T12" s="3">
        <f t="shared" si="1"/>
        <v>1</v>
      </c>
      <c r="U12" s="3">
        <f t="shared" si="2"/>
        <v>0</v>
      </c>
      <c r="V12" s="3">
        <f t="shared" si="1"/>
        <v>0</v>
      </c>
      <c r="W12" s="3" t="str">
        <f>INDEX($S$4:$V$4,MATCH(1,S12:V12,0))</f>
        <v>캔</v>
      </c>
      <c r="X12" s="3">
        <f t="shared" si="14"/>
        <v>1</v>
      </c>
      <c r="Y12" s="3">
        <f t="shared" si="3"/>
        <v>0</v>
      </c>
      <c r="Z12" s="3">
        <f t="shared" si="3"/>
        <v>0</v>
      </c>
      <c r="AA12" s="3">
        <f t="shared" si="3"/>
        <v>0</v>
      </c>
      <c r="AB12" s="3">
        <f t="shared" si="3"/>
        <v>0</v>
      </c>
      <c r="AC12" s="3">
        <f t="shared" si="3"/>
        <v>0</v>
      </c>
      <c r="AD12" s="3">
        <f t="shared" si="3"/>
        <v>0</v>
      </c>
      <c r="AE12" s="3">
        <f t="shared" si="3"/>
        <v>0</v>
      </c>
      <c r="AF12" s="3">
        <f t="shared" si="3"/>
        <v>0</v>
      </c>
      <c r="AG12" s="3" t="str">
        <f>IFERROR(INDEX($X$4:$AF$4,MATCH(1,X12:AF12,0)),-1)</f>
        <v>하이트</v>
      </c>
      <c r="AH12" s="18" t="str">
        <f t="shared" si="4"/>
        <v>N</v>
      </c>
      <c r="AI12" s="18">
        <f t="shared" si="5"/>
        <v>0</v>
      </c>
      <c r="AJ12" s="18" t="str">
        <f t="shared" si="15"/>
        <v>N</v>
      </c>
      <c r="AK12" s="18">
        <f t="shared" si="16"/>
        <v>0</v>
      </c>
      <c r="AL12" s="2">
        <v>88</v>
      </c>
      <c r="AM12" s="2">
        <v>79200</v>
      </c>
    </row>
    <row r="13" spans="2:44" x14ac:dyDescent="0.3">
      <c r="B13" s="1" t="str">
        <f t="shared" ref="B13:B15" si="19">RIGHT(B12,LEN(B12)-FIND("_",B12))</f>
        <v>DFE_SSE_EFGAE_FE</v>
      </c>
      <c r="C13" s="1" t="str">
        <f t="shared" si="18"/>
        <v>DFE</v>
      </c>
      <c r="P13" s="4" t="s">
        <v>35</v>
      </c>
      <c r="Q13" s="3" t="str">
        <f t="shared" si="12"/>
        <v>하이트맥주</v>
      </c>
      <c r="R13" s="3" t="str">
        <f t="shared" si="13"/>
        <v>하이트캔_500ML</v>
      </c>
      <c r="S13" s="3">
        <f t="shared" si="1"/>
        <v>0</v>
      </c>
      <c r="T13" s="3">
        <f t="shared" si="1"/>
        <v>1</v>
      </c>
      <c r="U13" s="3">
        <f t="shared" si="2"/>
        <v>0</v>
      </c>
      <c r="V13" s="3">
        <f t="shared" si="1"/>
        <v>0</v>
      </c>
      <c r="W13" s="3" t="str">
        <f>INDEX($S$4:$V$4,MATCH(1,S13:V13,0))</f>
        <v>캔</v>
      </c>
      <c r="X13" s="3">
        <f t="shared" si="14"/>
        <v>1</v>
      </c>
      <c r="Y13" s="3">
        <f t="shared" si="3"/>
        <v>0</v>
      </c>
      <c r="Z13" s="3">
        <f t="shared" si="3"/>
        <v>0</v>
      </c>
      <c r="AA13" s="3">
        <f t="shared" si="3"/>
        <v>0</v>
      </c>
      <c r="AB13" s="3">
        <f t="shared" si="3"/>
        <v>0</v>
      </c>
      <c r="AC13" s="3">
        <f t="shared" si="3"/>
        <v>0</v>
      </c>
      <c r="AD13" s="3">
        <f t="shared" si="3"/>
        <v>0</v>
      </c>
      <c r="AE13" s="3">
        <f t="shared" si="3"/>
        <v>0</v>
      </c>
      <c r="AF13" s="3">
        <f t="shared" si="3"/>
        <v>0</v>
      </c>
      <c r="AG13" s="3" t="str">
        <f>IFERROR(INDEX($X$4:$AF$4,MATCH(1,X13:AF13,0)),-1)</f>
        <v>하이트</v>
      </c>
      <c r="AH13" s="18" t="str">
        <f t="shared" si="4"/>
        <v>N</v>
      </c>
      <c r="AI13" s="18">
        <f t="shared" si="5"/>
        <v>0</v>
      </c>
      <c r="AJ13" s="18" t="str">
        <f t="shared" si="15"/>
        <v>N</v>
      </c>
      <c r="AK13" s="18">
        <f t="shared" si="16"/>
        <v>0</v>
      </c>
      <c r="AL13" s="2">
        <v>88</v>
      </c>
      <c r="AM13" s="2">
        <v>151360</v>
      </c>
    </row>
    <row r="14" spans="2:44" x14ac:dyDescent="0.3">
      <c r="B14" s="1" t="str">
        <f t="shared" si="19"/>
        <v>SSE_EFGAE_FE</v>
      </c>
      <c r="C14" s="1" t="str">
        <f t="shared" si="18"/>
        <v>SSE</v>
      </c>
      <c r="H14" s="1">
        <v>1</v>
      </c>
      <c r="I14" s="1">
        <v>1</v>
      </c>
      <c r="P14" s="4" t="s">
        <v>34</v>
      </c>
      <c r="Q14" s="3" t="str">
        <f t="shared" si="12"/>
        <v>하이트맥주</v>
      </c>
      <c r="R14" s="3" t="str">
        <f t="shared" si="13"/>
        <v>맥스캔_500ML</v>
      </c>
      <c r="S14" s="3">
        <f t="shared" si="1"/>
        <v>0</v>
      </c>
      <c r="T14" s="3">
        <f t="shared" si="1"/>
        <v>1</v>
      </c>
      <c r="U14" s="3">
        <f t="shared" si="2"/>
        <v>0</v>
      </c>
      <c r="V14" s="3">
        <f t="shared" si="1"/>
        <v>0</v>
      </c>
      <c r="W14" s="3" t="str">
        <f>INDEX($S$4:$V$4,MATCH(1,S14:V14,0))</f>
        <v>캔</v>
      </c>
      <c r="X14" s="3">
        <f t="shared" si="14"/>
        <v>0</v>
      </c>
      <c r="Y14" s="3">
        <f t="shared" si="3"/>
        <v>1</v>
      </c>
      <c r="Z14" s="3">
        <f t="shared" si="3"/>
        <v>0</v>
      </c>
      <c r="AA14" s="3">
        <f t="shared" si="3"/>
        <v>0</v>
      </c>
      <c r="AB14" s="3">
        <f t="shared" si="3"/>
        <v>0</v>
      </c>
      <c r="AC14" s="3">
        <f t="shared" si="3"/>
        <v>0</v>
      </c>
      <c r="AD14" s="3">
        <f t="shared" si="3"/>
        <v>0</v>
      </c>
      <c r="AE14" s="3">
        <f t="shared" si="3"/>
        <v>0</v>
      </c>
      <c r="AF14" s="3">
        <f t="shared" si="3"/>
        <v>0</v>
      </c>
      <c r="AG14" s="3" t="str">
        <f>IFERROR(INDEX($X$4:$AF$4,MATCH(1,X14:AF14,0)),-1)</f>
        <v>맥스</v>
      </c>
      <c r="AH14" s="18" t="str">
        <f t="shared" si="4"/>
        <v>N</v>
      </c>
      <c r="AI14" s="18">
        <f t="shared" si="5"/>
        <v>0</v>
      </c>
      <c r="AJ14" s="18" t="str">
        <f t="shared" si="15"/>
        <v>N</v>
      </c>
      <c r="AK14" s="18">
        <f t="shared" si="16"/>
        <v>0</v>
      </c>
      <c r="AL14" s="2">
        <v>107</v>
      </c>
      <c r="AM14" s="2">
        <v>184040</v>
      </c>
    </row>
    <row r="15" spans="2:44" x14ac:dyDescent="0.3">
      <c r="B15" s="1" t="str">
        <f t="shared" si="19"/>
        <v>EFGAE_FE</v>
      </c>
      <c r="C15" s="1" t="str">
        <f>IFERROR(LEFT(B15,FIND("_",B15)-1),B15)</f>
        <v>EFGAE</v>
      </c>
      <c r="D15" s="15"/>
      <c r="E15" s="15"/>
      <c r="F15" s="15"/>
      <c r="H15" s="1">
        <v>2</v>
      </c>
      <c r="I15" s="1">
        <v>2</v>
      </c>
      <c r="P15" s="4" t="s">
        <v>33</v>
      </c>
      <c r="Q15" s="3" t="str">
        <f t="shared" si="12"/>
        <v>하이트맥주</v>
      </c>
      <c r="R15" s="3" t="str">
        <f t="shared" si="13"/>
        <v>드라이피니시d캔_355ML</v>
      </c>
      <c r="S15" s="3">
        <f t="shared" si="1"/>
        <v>0</v>
      </c>
      <c r="T15" s="3">
        <f t="shared" si="1"/>
        <v>1</v>
      </c>
      <c r="U15" s="3">
        <f t="shared" si="2"/>
        <v>0</v>
      </c>
      <c r="V15" s="3">
        <f t="shared" si="1"/>
        <v>0</v>
      </c>
      <c r="W15" s="3" t="str">
        <f>INDEX($S$4:$V$4,MATCH(1,S15:V15,0))</f>
        <v>캔</v>
      </c>
      <c r="X15" s="3">
        <f t="shared" si="14"/>
        <v>0</v>
      </c>
      <c r="Y15" s="3">
        <f t="shared" si="3"/>
        <v>0</v>
      </c>
      <c r="Z15" s="3">
        <f t="shared" si="3"/>
        <v>0</v>
      </c>
      <c r="AA15" s="3">
        <f t="shared" si="3"/>
        <v>0</v>
      </c>
      <c r="AB15" s="3">
        <f t="shared" si="3"/>
        <v>0</v>
      </c>
      <c r="AC15" s="3">
        <f t="shared" si="3"/>
        <v>0</v>
      </c>
      <c r="AD15" s="3">
        <f t="shared" si="3"/>
        <v>0</v>
      </c>
      <c r="AE15" s="3">
        <f t="shared" si="3"/>
        <v>0</v>
      </c>
      <c r="AF15" s="3">
        <f t="shared" si="3"/>
        <v>1</v>
      </c>
      <c r="AG15" s="3" t="str">
        <f>IFERROR(INDEX($X$4:$AF$4,MATCH(1,X15:AF15,0)),-1)</f>
        <v>d</v>
      </c>
      <c r="AH15" s="18" t="str">
        <f t="shared" si="4"/>
        <v>N</v>
      </c>
      <c r="AI15" s="18">
        <f t="shared" si="5"/>
        <v>0</v>
      </c>
      <c r="AJ15" s="18" t="str">
        <f t="shared" si="15"/>
        <v>N</v>
      </c>
      <c r="AK15" s="18">
        <f t="shared" si="16"/>
        <v>0</v>
      </c>
      <c r="AL15" s="2">
        <v>62</v>
      </c>
      <c r="AM15" s="2">
        <v>79980</v>
      </c>
    </row>
    <row r="16" spans="2:44" x14ac:dyDescent="0.3">
      <c r="D16" s="15"/>
      <c r="E16" s="15"/>
      <c r="F16" s="15"/>
      <c r="H16" s="1">
        <v>3</v>
      </c>
      <c r="I16" s="1">
        <v>3</v>
      </c>
      <c r="P16" s="4" t="s">
        <v>32</v>
      </c>
      <c r="Q16" s="3" t="str">
        <f t="shared" si="12"/>
        <v>하이트맥주</v>
      </c>
      <c r="R16" s="3" t="str">
        <f t="shared" si="13"/>
        <v>드라이피니시d캔_500ML</v>
      </c>
      <c r="S16" s="3">
        <f t="shared" si="1"/>
        <v>0</v>
      </c>
      <c r="T16" s="3">
        <f t="shared" si="1"/>
        <v>1</v>
      </c>
      <c r="U16" s="3">
        <f t="shared" si="2"/>
        <v>0</v>
      </c>
      <c r="V16" s="3">
        <f t="shared" si="1"/>
        <v>0</v>
      </c>
      <c r="W16" s="3" t="str">
        <f>INDEX($S$4:$V$4,MATCH(1,S16:V16,0))</f>
        <v>캔</v>
      </c>
      <c r="X16" s="3">
        <f t="shared" si="14"/>
        <v>0</v>
      </c>
      <c r="Y16" s="3">
        <f t="shared" si="3"/>
        <v>0</v>
      </c>
      <c r="Z16" s="3">
        <f t="shared" si="3"/>
        <v>0</v>
      </c>
      <c r="AA16" s="3">
        <f t="shared" si="3"/>
        <v>0</v>
      </c>
      <c r="AB16" s="3">
        <f t="shared" si="3"/>
        <v>0</v>
      </c>
      <c r="AC16" s="3">
        <f t="shared" si="3"/>
        <v>0</v>
      </c>
      <c r="AD16" s="3">
        <f t="shared" si="3"/>
        <v>0</v>
      </c>
      <c r="AE16" s="3">
        <f t="shared" si="3"/>
        <v>0</v>
      </c>
      <c r="AF16" s="3">
        <f t="shared" si="3"/>
        <v>1</v>
      </c>
      <c r="AG16" s="3" t="str">
        <f>IFERROR(INDEX($X$4:$AF$4,MATCH(1,X16:AF16,0)),-1)</f>
        <v>d</v>
      </c>
      <c r="AH16" s="18" t="str">
        <f t="shared" si="4"/>
        <v>N</v>
      </c>
      <c r="AI16" s="18">
        <f t="shared" si="5"/>
        <v>0</v>
      </c>
      <c r="AJ16" s="18" t="str">
        <f t="shared" si="15"/>
        <v>N</v>
      </c>
      <c r="AK16" s="18">
        <f t="shared" si="16"/>
        <v>0</v>
      </c>
      <c r="AL16" s="2">
        <v>74</v>
      </c>
      <c r="AM16" s="2">
        <v>127280</v>
      </c>
    </row>
    <row r="17" spans="8:39" x14ac:dyDescent="0.3">
      <c r="H17" s="1">
        <v>4</v>
      </c>
      <c r="I17" s="1">
        <v>4</v>
      </c>
      <c r="P17" s="4" t="s">
        <v>31</v>
      </c>
      <c r="Q17" s="3" t="str">
        <f t="shared" si="12"/>
        <v>하이트맥주</v>
      </c>
      <c r="R17" s="3" t="str">
        <f t="shared" si="13"/>
        <v>하이트피쳐_1.6L</v>
      </c>
      <c r="S17" s="3">
        <f t="shared" si="1"/>
        <v>0</v>
      </c>
      <c r="T17" s="3">
        <f t="shared" si="1"/>
        <v>0</v>
      </c>
      <c r="U17" s="3">
        <f t="shared" si="2"/>
        <v>0</v>
      </c>
      <c r="V17" s="3">
        <f t="shared" si="1"/>
        <v>1</v>
      </c>
      <c r="W17" s="3" t="str">
        <f>INDEX($S$4:$V$4,MATCH(1,S17:V17,0))</f>
        <v>피쳐</v>
      </c>
      <c r="X17" s="3">
        <f t="shared" si="14"/>
        <v>1</v>
      </c>
      <c r="Y17" s="3">
        <f t="shared" si="3"/>
        <v>0</v>
      </c>
      <c r="Z17" s="3">
        <f t="shared" si="3"/>
        <v>0</v>
      </c>
      <c r="AA17" s="3">
        <f t="shared" si="3"/>
        <v>0</v>
      </c>
      <c r="AB17" s="3">
        <f t="shared" si="3"/>
        <v>0</v>
      </c>
      <c r="AC17" s="3">
        <f t="shared" si="3"/>
        <v>0</v>
      </c>
      <c r="AD17" s="3">
        <f t="shared" si="3"/>
        <v>0</v>
      </c>
      <c r="AE17" s="3">
        <f t="shared" si="3"/>
        <v>0</v>
      </c>
      <c r="AF17" s="3">
        <f t="shared" si="3"/>
        <v>0</v>
      </c>
      <c r="AG17" s="3" t="str">
        <f>IFERROR(INDEX($X$4:$AF$4,MATCH(1,X17:AF17,0)),-1)</f>
        <v>하이트</v>
      </c>
      <c r="AH17" s="18" t="str">
        <f t="shared" si="4"/>
        <v>N</v>
      </c>
      <c r="AI17" s="18">
        <f t="shared" si="5"/>
        <v>0</v>
      </c>
      <c r="AJ17" s="18" t="str">
        <f t="shared" si="15"/>
        <v>N</v>
      </c>
      <c r="AK17" s="18">
        <f t="shared" si="16"/>
        <v>0</v>
      </c>
      <c r="AL17" s="2">
        <v>109</v>
      </c>
      <c r="AM17" s="2">
        <v>414200</v>
      </c>
    </row>
    <row r="18" spans="8:39" x14ac:dyDescent="0.3">
      <c r="H18" s="1">
        <v>5</v>
      </c>
      <c r="P18" s="4" t="s">
        <v>30</v>
      </c>
      <c r="Q18" s="3" t="str">
        <f t="shared" si="12"/>
        <v>하이트맥주</v>
      </c>
      <c r="R18" s="3" t="str">
        <f t="shared" si="13"/>
        <v>하이트피쳐_1L+포카리스웨트</v>
      </c>
      <c r="S18" s="3">
        <f t="shared" si="1"/>
        <v>0</v>
      </c>
      <c r="T18" s="3">
        <f t="shared" si="1"/>
        <v>0</v>
      </c>
      <c r="U18" s="3">
        <f t="shared" si="2"/>
        <v>0</v>
      </c>
      <c r="V18" s="3">
        <f t="shared" si="1"/>
        <v>1</v>
      </c>
      <c r="W18" s="3" t="str">
        <f>INDEX($S$4:$V$4,MATCH(1,S18:V18,0))</f>
        <v>피쳐</v>
      </c>
      <c r="X18" s="3">
        <f t="shared" si="14"/>
        <v>1</v>
      </c>
      <c r="Y18" s="3">
        <f t="shared" si="3"/>
        <v>0</v>
      </c>
      <c r="Z18" s="3">
        <f t="shared" si="3"/>
        <v>0</v>
      </c>
      <c r="AA18" s="3">
        <f t="shared" si="3"/>
        <v>0</v>
      </c>
      <c r="AB18" s="3">
        <f t="shared" si="3"/>
        <v>0</v>
      </c>
      <c r="AC18" s="3">
        <f t="shared" si="3"/>
        <v>0</v>
      </c>
      <c r="AD18" s="3">
        <f t="shared" si="3"/>
        <v>0</v>
      </c>
      <c r="AE18" s="3">
        <f t="shared" si="3"/>
        <v>0</v>
      </c>
      <c r="AF18" s="3">
        <f t="shared" si="3"/>
        <v>0</v>
      </c>
      <c r="AG18" s="3" t="str">
        <f>IFERROR(INDEX($X$4:$AF$4,MATCH(1,X18:AF18,0)),-1)</f>
        <v>하이트</v>
      </c>
      <c r="AH18" s="18" t="str">
        <f t="shared" si="4"/>
        <v>N</v>
      </c>
      <c r="AI18" s="18">
        <f t="shared" si="5"/>
        <v>0</v>
      </c>
      <c r="AJ18" s="18" t="str">
        <f t="shared" si="15"/>
        <v>Y</v>
      </c>
      <c r="AK18" s="18" t="str">
        <f t="shared" si="16"/>
        <v>포카리스웨트</v>
      </c>
      <c r="AL18" s="2">
        <v>127</v>
      </c>
      <c r="AM18" s="2">
        <v>288290</v>
      </c>
    </row>
    <row r="19" spans="8:39" x14ac:dyDescent="0.3">
      <c r="P19" s="4" t="s">
        <v>29</v>
      </c>
      <c r="Q19" s="3" t="str">
        <f t="shared" si="12"/>
        <v>하이트맥주</v>
      </c>
      <c r="R19" s="3" t="str">
        <f t="shared" si="13"/>
        <v>맥스피쳐_1.6L</v>
      </c>
      <c r="S19" s="3">
        <f t="shared" si="1"/>
        <v>0</v>
      </c>
      <c r="T19" s="3">
        <f t="shared" si="1"/>
        <v>0</v>
      </c>
      <c r="U19" s="3">
        <f t="shared" si="2"/>
        <v>0</v>
      </c>
      <c r="V19" s="3">
        <f t="shared" si="1"/>
        <v>1</v>
      </c>
      <c r="W19" s="3" t="str">
        <f>INDEX($S$4:$V$4,MATCH(1,S19:V19,0))</f>
        <v>피쳐</v>
      </c>
      <c r="X19" s="3">
        <f t="shared" si="14"/>
        <v>0</v>
      </c>
      <c r="Y19" s="3">
        <f t="shared" si="3"/>
        <v>1</v>
      </c>
      <c r="Z19" s="3">
        <f t="shared" si="3"/>
        <v>0</v>
      </c>
      <c r="AA19" s="3">
        <f t="shared" si="3"/>
        <v>0</v>
      </c>
      <c r="AB19" s="3">
        <f t="shared" si="3"/>
        <v>0</v>
      </c>
      <c r="AC19" s="3">
        <f t="shared" si="3"/>
        <v>0</v>
      </c>
      <c r="AD19" s="3">
        <f t="shared" si="3"/>
        <v>0</v>
      </c>
      <c r="AE19" s="3">
        <f t="shared" si="3"/>
        <v>0</v>
      </c>
      <c r="AF19" s="3">
        <f t="shared" si="3"/>
        <v>0</v>
      </c>
      <c r="AG19" s="3" t="str">
        <f>IFERROR(INDEX($X$4:$AF$4,MATCH(1,X19:AF19,0)),-1)</f>
        <v>맥스</v>
      </c>
      <c r="AH19" s="18" t="str">
        <f t="shared" si="4"/>
        <v>N</v>
      </c>
      <c r="AI19" s="18">
        <f t="shared" si="5"/>
        <v>0</v>
      </c>
      <c r="AJ19" s="18" t="str">
        <f t="shared" si="15"/>
        <v>N</v>
      </c>
      <c r="AK19" s="18">
        <f t="shared" si="16"/>
        <v>0</v>
      </c>
      <c r="AL19" s="2">
        <v>135</v>
      </c>
      <c r="AM19" s="2">
        <v>529200</v>
      </c>
    </row>
    <row r="20" spans="8:39" x14ac:dyDescent="0.3">
      <c r="P20" s="4" t="s">
        <v>28</v>
      </c>
      <c r="Q20" s="3" t="str">
        <f t="shared" si="12"/>
        <v>하이트맥주</v>
      </c>
      <c r="R20" s="3" t="str">
        <f t="shared" si="13"/>
        <v>맥스피쳐_1L</v>
      </c>
      <c r="S20" s="3">
        <f t="shared" si="1"/>
        <v>0</v>
      </c>
      <c r="T20" s="3">
        <f t="shared" si="1"/>
        <v>0</v>
      </c>
      <c r="U20" s="3">
        <f t="shared" si="2"/>
        <v>0</v>
      </c>
      <c r="V20" s="3">
        <f t="shared" si="1"/>
        <v>1</v>
      </c>
      <c r="W20" s="3" t="str">
        <f>INDEX($S$4:$V$4,MATCH(1,S20:V20,0))</f>
        <v>피쳐</v>
      </c>
      <c r="X20" s="3">
        <f t="shared" si="14"/>
        <v>0</v>
      </c>
      <c r="Y20" s="3">
        <f t="shared" si="3"/>
        <v>1</v>
      </c>
      <c r="Z20" s="3">
        <f t="shared" si="3"/>
        <v>0</v>
      </c>
      <c r="AA20" s="3">
        <f t="shared" si="3"/>
        <v>0</v>
      </c>
      <c r="AB20" s="3">
        <f t="shared" si="3"/>
        <v>0</v>
      </c>
      <c r="AC20" s="3">
        <f t="shared" si="3"/>
        <v>0</v>
      </c>
      <c r="AD20" s="3">
        <f t="shared" si="3"/>
        <v>0</v>
      </c>
      <c r="AE20" s="3">
        <f t="shared" si="3"/>
        <v>0</v>
      </c>
      <c r="AF20" s="3">
        <f t="shared" si="3"/>
        <v>0</v>
      </c>
      <c r="AG20" s="3" t="str">
        <f>IFERROR(INDEX($X$4:$AF$4,MATCH(1,X20:AF20,0)),-1)</f>
        <v>맥스</v>
      </c>
      <c r="AH20" s="18" t="str">
        <f t="shared" si="4"/>
        <v>N</v>
      </c>
      <c r="AI20" s="18">
        <f t="shared" si="5"/>
        <v>0</v>
      </c>
      <c r="AJ20" s="18" t="str">
        <f t="shared" si="15"/>
        <v>N</v>
      </c>
      <c r="AK20" s="18">
        <f t="shared" si="16"/>
        <v>0</v>
      </c>
      <c r="AL20" s="2">
        <v>95</v>
      </c>
      <c r="AM20" s="2">
        <v>222300</v>
      </c>
    </row>
    <row r="21" spans="8:39" x14ac:dyDescent="0.3">
      <c r="P21" s="4" t="s">
        <v>27</v>
      </c>
      <c r="Q21" s="3" t="str">
        <f t="shared" si="12"/>
        <v>하이트맥주</v>
      </c>
      <c r="R21" s="3" t="str">
        <f t="shared" si="13"/>
        <v>스타우트피쳐_1.6L</v>
      </c>
      <c r="S21" s="3">
        <f t="shared" si="1"/>
        <v>0</v>
      </c>
      <c r="T21" s="3">
        <f t="shared" si="1"/>
        <v>0</v>
      </c>
      <c r="U21" s="3">
        <f t="shared" si="2"/>
        <v>0</v>
      </c>
      <c r="V21" s="3">
        <f t="shared" si="1"/>
        <v>1</v>
      </c>
      <c r="W21" s="3" t="str">
        <f>INDEX($S$4:$V$4,MATCH(1,S21:V21,0))</f>
        <v>피쳐</v>
      </c>
      <c r="X21" s="3">
        <f t="shared" si="14"/>
        <v>0</v>
      </c>
      <c r="Y21" s="3">
        <f t="shared" si="14"/>
        <v>0</v>
      </c>
      <c r="Z21" s="3">
        <f t="shared" si="14"/>
        <v>0</v>
      </c>
      <c r="AA21" s="3">
        <f t="shared" si="14"/>
        <v>0</v>
      </c>
      <c r="AB21" s="3">
        <f t="shared" si="14"/>
        <v>0</v>
      </c>
      <c r="AC21" s="3">
        <f t="shared" si="14"/>
        <v>0</v>
      </c>
      <c r="AD21" s="3">
        <f t="shared" si="14"/>
        <v>0</v>
      </c>
      <c r="AE21" s="3">
        <f t="shared" si="14"/>
        <v>1</v>
      </c>
      <c r="AF21" s="3">
        <f t="shared" si="14"/>
        <v>0</v>
      </c>
      <c r="AG21" s="3" t="str">
        <f>IFERROR(INDEX($X$4:$AF$4,MATCH(1,X21:AF21,0)),-1)</f>
        <v>스타우트</v>
      </c>
      <c r="AH21" s="18" t="str">
        <f t="shared" si="4"/>
        <v>N</v>
      </c>
      <c r="AI21" s="18">
        <f t="shared" si="5"/>
        <v>0</v>
      </c>
      <c r="AJ21" s="18" t="str">
        <f t="shared" si="15"/>
        <v>N</v>
      </c>
      <c r="AK21" s="18">
        <f t="shared" si="16"/>
        <v>0</v>
      </c>
      <c r="AL21" s="2">
        <v>17</v>
      </c>
      <c r="AM21" s="2">
        <v>71060</v>
      </c>
    </row>
    <row r="22" spans="8:39" x14ac:dyDescent="0.3">
      <c r="P22" s="4" t="s">
        <v>26</v>
      </c>
      <c r="Q22" s="3" t="str">
        <f t="shared" si="12"/>
        <v>하이트맥주</v>
      </c>
      <c r="R22" s="3" t="str">
        <f t="shared" si="13"/>
        <v>스타우트병_330ML</v>
      </c>
      <c r="S22" s="3">
        <f t="shared" si="1"/>
        <v>1</v>
      </c>
      <c r="T22" s="3">
        <f t="shared" si="1"/>
        <v>0</v>
      </c>
      <c r="U22" s="3">
        <f t="shared" si="2"/>
        <v>0</v>
      </c>
      <c r="V22" s="3">
        <f t="shared" si="1"/>
        <v>0</v>
      </c>
      <c r="W22" s="3" t="str">
        <f>INDEX($S$4:$V$4,MATCH(1,S22:V22,0))</f>
        <v>병</v>
      </c>
      <c r="X22" s="3">
        <f t="shared" si="14"/>
        <v>0</v>
      </c>
      <c r="Y22" s="3">
        <f t="shared" si="14"/>
        <v>0</v>
      </c>
      <c r="Z22" s="3">
        <f t="shared" si="14"/>
        <v>0</v>
      </c>
      <c r="AA22" s="3">
        <f t="shared" si="14"/>
        <v>0</v>
      </c>
      <c r="AB22" s="3">
        <f t="shared" si="14"/>
        <v>0</v>
      </c>
      <c r="AC22" s="3">
        <f t="shared" si="14"/>
        <v>0</v>
      </c>
      <c r="AD22" s="3">
        <f t="shared" si="14"/>
        <v>0</v>
      </c>
      <c r="AE22" s="3">
        <f t="shared" si="14"/>
        <v>1</v>
      </c>
      <c r="AF22" s="3">
        <f t="shared" si="14"/>
        <v>0</v>
      </c>
      <c r="AG22" s="3" t="str">
        <f>IFERROR(INDEX($X$4:$AF$4,MATCH(1,X22:AF22,0)),-1)</f>
        <v>스타우트</v>
      </c>
      <c r="AH22" s="18" t="str">
        <f t="shared" si="4"/>
        <v>N</v>
      </c>
      <c r="AI22" s="18">
        <f t="shared" si="5"/>
        <v>0</v>
      </c>
      <c r="AJ22" s="18" t="str">
        <f t="shared" si="15"/>
        <v>N</v>
      </c>
      <c r="AK22" s="18">
        <f t="shared" si="16"/>
        <v>0</v>
      </c>
      <c r="AL22" s="2">
        <v>55</v>
      </c>
      <c r="AM22" s="2">
        <v>53350</v>
      </c>
    </row>
    <row r="23" spans="8:39" x14ac:dyDescent="0.3">
      <c r="P23" s="4" t="s">
        <v>25</v>
      </c>
      <c r="Q23" s="3" t="str">
        <f t="shared" si="12"/>
        <v>하이트맥주</v>
      </c>
      <c r="R23" s="3" t="str">
        <f t="shared" si="13"/>
        <v>스타우트캔_355ML</v>
      </c>
      <c r="S23" s="3">
        <f t="shared" si="1"/>
        <v>0</v>
      </c>
      <c r="T23" s="3">
        <f t="shared" si="1"/>
        <v>1</v>
      </c>
      <c r="U23" s="3">
        <f t="shared" si="2"/>
        <v>0</v>
      </c>
      <c r="V23" s="3">
        <f t="shared" si="1"/>
        <v>0</v>
      </c>
      <c r="W23" s="3" t="str">
        <f>INDEX($S$4:$V$4,MATCH(1,S23:V23,0))</f>
        <v>캔</v>
      </c>
      <c r="X23" s="3">
        <f t="shared" si="14"/>
        <v>0</v>
      </c>
      <c r="Y23" s="3">
        <f t="shared" si="14"/>
        <v>0</v>
      </c>
      <c r="Z23" s="3">
        <f t="shared" si="14"/>
        <v>0</v>
      </c>
      <c r="AA23" s="3">
        <f t="shared" si="14"/>
        <v>0</v>
      </c>
      <c r="AB23" s="3">
        <f t="shared" si="14"/>
        <v>0</v>
      </c>
      <c r="AC23" s="3">
        <f t="shared" si="14"/>
        <v>0</v>
      </c>
      <c r="AD23" s="3">
        <f t="shared" si="14"/>
        <v>0</v>
      </c>
      <c r="AE23" s="3">
        <f t="shared" si="14"/>
        <v>1</v>
      </c>
      <c r="AF23" s="3">
        <f t="shared" si="14"/>
        <v>0</v>
      </c>
      <c r="AG23" s="3" t="str">
        <f>IFERROR(INDEX($X$4:$AF$4,MATCH(1,X23:AF23,0)),-1)</f>
        <v>스타우트</v>
      </c>
      <c r="AH23" s="18" t="str">
        <f t="shared" si="4"/>
        <v>N</v>
      </c>
      <c r="AI23" s="18">
        <f t="shared" si="5"/>
        <v>0</v>
      </c>
      <c r="AJ23" s="18" t="str">
        <f t="shared" si="15"/>
        <v>N</v>
      </c>
      <c r="AK23" s="18">
        <f t="shared" si="16"/>
        <v>0</v>
      </c>
      <c r="AL23" s="2">
        <v>51</v>
      </c>
      <c r="AM23" s="2">
        <v>72930</v>
      </c>
    </row>
    <row r="24" spans="8:39" x14ac:dyDescent="0.3">
      <c r="P24" s="4" t="s">
        <v>24</v>
      </c>
      <c r="Q24" s="3" t="str">
        <f t="shared" si="12"/>
        <v>하이트맥주</v>
      </c>
      <c r="R24" s="3" t="str">
        <f t="shared" si="13"/>
        <v>하이트병_500ML</v>
      </c>
      <c r="S24" s="3">
        <f t="shared" si="1"/>
        <v>1</v>
      </c>
      <c r="T24" s="3">
        <f t="shared" si="1"/>
        <v>0</v>
      </c>
      <c r="U24" s="3">
        <f t="shared" si="2"/>
        <v>0</v>
      </c>
      <c r="V24" s="3">
        <f t="shared" si="1"/>
        <v>0</v>
      </c>
      <c r="W24" s="3" t="str">
        <f>INDEX($S$4:$V$4,MATCH(1,S24:V24,0))</f>
        <v>병</v>
      </c>
      <c r="X24" s="3">
        <f t="shared" si="14"/>
        <v>1</v>
      </c>
      <c r="Y24" s="3">
        <f t="shared" si="14"/>
        <v>0</v>
      </c>
      <c r="Z24" s="3">
        <f t="shared" si="14"/>
        <v>0</v>
      </c>
      <c r="AA24" s="3">
        <f t="shared" si="14"/>
        <v>0</v>
      </c>
      <c r="AB24" s="3">
        <f t="shared" si="14"/>
        <v>0</v>
      </c>
      <c r="AC24" s="3">
        <f t="shared" si="14"/>
        <v>0</v>
      </c>
      <c r="AD24" s="3">
        <f t="shared" si="14"/>
        <v>0</v>
      </c>
      <c r="AE24" s="3">
        <f t="shared" si="14"/>
        <v>0</v>
      </c>
      <c r="AF24" s="3">
        <f t="shared" si="14"/>
        <v>0</v>
      </c>
      <c r="AG24" s="3" t="str">
        <f>IFERROR(INDEX($X$4:$AF$4,MATCH(1,X24:AF24,0)),-1)</f>
        <v>하이트</v>
      </c>
      <c r="AH24" s="18" t="str">
        <f t="shared" si="4"/>
        <v>N</v>
      </c>
      <c r="AI24" s="18">
        <f t="shared" si="5"/>
        <v>0</v>
      </c>
      <c r="AJ24" s="18" t="str">
        <f t="shared" si="15"/>
        <v>N</v>
      </c>
      <c r="AK24" s="18">
        <f t="shared" si="16"/>
        <v>0</v>
      </c>
      <c r="AL24" s="2">
        <v>71</v>
      </c>
      <c r="AM24" s="2">
        <v>80940</v>
      </c>
    </row>
    <row r="25" spans="8:39" x14ac:dyDescent="0.3">
      <c r="P25" s="4" t="s">
        <v>23</v>
      </c>
      <c r="Q25" s="3" t="str">
        <f t="shared" si="12"/>
        <v>하이트맥주</v>
      </c>
      <c r="R25" s="3" t="str">
        <f t="shared" si="13"/>
        <v>하이트병_640ML</v>
      </c>
      <c r="S25" s="3">
        <f t="shared" si="1"/>
        <v>1</v>
      </c>
      <c r="T25" s="3">
        <f t="shared" si="1"/>
        <v>0</v>
      </c>
      <c r="U25" s="3">
        <f t="shared" si="2"/>
        <v>0</v>
      </c>
      <c r="V25" s="3">
        <f t="shared" si="1"/>
        <v>0</v>
      </c>
      <c r="W25" s="3" t="str">
        <f>INDEX($S$4:$V$4,MATCH(1,S25:V25,0))</f>
        <v>병</v>
      </c>
      <c r="X25" s="3">
        <f t="shared" si="14"/>
        <v>1</v>
      </c>
      <c r="Y25" s="3">
        <f t="shared" si="14"/>
        <v>0</v>
      </c>
      <c r="Z25" s="3">
        <f t="shared" si="14"/>
        <v>0</v>
      </c>
      <c r="AA25" s="3">
        <f t="shared" si="14"/>
        <v>0</v>
      </c>
      <c r="AB25" s="3">
        <f t="shared" si="14"/>
        <v>0</v>
      </c>
      <c r="AC25" s="3">
        <f t="shared" si="14"/>
        <v>0</v>
      </c>
      <c r="AD25" s="3">
        <f t="shared" si="14"/>
        <v>0</v>
      </c>
      <c r="AE25" s="3">
        <f t="shared" si="14"/>
        <v>0</v>
      </c>
      <c r="AF25" s="3">
        <f t="shared" si="14"/>
        <v>0</v>
      </c>
      <c r="AG25" s="3" t="str">
        <f>IFERROR(INDEX($X$4:$AF$4,MATCH(1,X25:AF25,0)),-1)</f>
        <v>하이트</v>
      </c>
      <c r="AH25" s="18" t="str">
        <f t="shared" si="4"/>
        <v>N</v>
      </c>
      <c r="AI25" s="18">
        <f t="shared" si="5"/>
        <v>0</v>
      </c>
      <c r="AJ25" s="18" t="str">
        <f t="shared" si="15"/>
        <v>N</v>
      </c>
      <c r="AK25" s="18">
        <f t="shared" si="16"/>
        <v>0</v>
      </c>
      <c r="AL25" s="2">
        <v>243</v>
      </c>
      <c r="AM25" s="2">
        <v>347490</v>
      </c>
    </row>
    <row r="26" spans="8:39" x14ac:dyDescent="0.3">
      <c r="P26" s="4" t="s">
        <v>22</v>
      </c>
      <c r="Q26" s="3" t="str">
        <f t="shared" si="12"/>
        <v>하이트맥주</v>
      </c>
      <c r="R26" s="3" t="str">
        <f t="shared" si="13"/>
        <v>맥스병_500ML</v>
      </c>
      <c r="S26" s="3">
        <f t="shared" si="1"/>
        <v>1</v>
      </c>
      <c r="T26" s="3">
        <f t="shared" si="1"/>
        <v>0</v>
      </c>
      <c r="U26" s="3">
        <f t="shared" si="2"/>
        <v>0</v>
      </c>
      <c r="V26" s="3">
        <f t="shared" si="1"/>
        <v>0</v>
      </c>
      <c r="W26" s="3" t="str">
        <f>INDEX($S$4:$V$4,MATCH(1,S26:V26,0))</f>
        <v>병</v>
      </c>
      <c r="X26" s="3">
        <f t="shared" si="14"/>
        <v>0</v>
      </c>
      <c r="Y26" s="3">
        <f t="shared" si="14"/>
        <v>1</v>
      </c>
      <c r="Z26" s="3">
        <f t="shared" si="14"/>
        <v>0</v>
      </c>
      <c r="AA26" s="3">
        <f t="shared" si="14"/>
        <v>0</v>
      </c>
      <c r="AB26" s="3">
        <f t="shared" si="14"/>
        <v>0</v>
      </c>
      <c r="AC26" s="3">
        <f t="shared" si="14"/>
        <v>0</v>
      </c>
      <c r="AD26" s="3">
        <f t="shared" si="14"/>
        <v>0</v>
      </c>
      <c r="AE26" s="3">
        <f t="shared" si="14"/>
        <v>0</v>
      </c>
      <c r="AF26" s="3">
        <f t="shared" si="14"/>
        <v>0</v>
      </c>
      <c r="AG26" s="3" t="str">
        <f>IFERROR(INDEX($X$4:$AF$4,MATCH(1,X26:AF26,0)),-1)</f>
        <v>맥스</v>
      </c>
      <c r="AH26" s="18" t="str">
        <f t="shared" si="4"/>
        <v>N</v>
      </c>
      <c r="AI26" s="18">
        <f t="shared" si="5"/>
        <v>0</v>
      </c>
      <c r="AJ26" s="18" t="str">
        <f t="shared" si="15"/>
        <v>N</v>
      </c>
      <c r="AK26" s="18">
        <f t="shared" si="16"/>
        <v>0</v>
      </c>
      <c r="AL26" s="2">
        <v>271</v>
      </c>
      <c r="AM26" s="2">
        <v>308940</v>
      </c>
    </row>
    <row r="27" spans="8:39" x14ac:dyDescent="0.3">
      <c r="P27" s="4" t="s">
        <v>21</v>
      </c>
      <c r="Q27" s="3" t="str">
        <f t="shared" si="12"/>
        <v>하이트맥주</v>
      </c>
      <c r="R27" s="3" t="str">
        <f t="shared" si="13"/>
        <v>맥스병_330ML</v>
      </c>
      <c r="S27" s="3">
        <f t="shared" si="1"/>
        <v>1</v>
      </c>
      <c r="T27" s="3">
        <f t="shared" si="1"/>
        <v>0</v>
      </c>
      <c r="U27" s="3">
        <f t="shared" si="2"/>
        <v>0</v>
      </c>
      <c r="V27" s="3">
        <f t="shared" si="1"/>
        <v>0</v>
      </c>
      <c r="W27" s="3" t="str">
        <f>INDEX($S$4:$V$4,MATCH(1,S27:V27,0))</f>
        <v>병</v>
      </c>
      <c r="X27" s="3">
        <f t="shared" si="14"/>
        <v>0</v>
      </c>
      <c r="Y27" s="3">
        <f t="shared" si="14"/>
        <v>1</v>
      </c>
      <c r="Z27" s="3">
        <f t="shared" si="14"/>
        <v>0</v>
      </c>
      <c r="AA27" s="3">
        <f t="shared" si="14"/>
        <v>0</v>
      </c>
      <c r="AB27" s="3">
        <f t="shared" si="14"/>
        <v>0</v>
      </c>
      <c r="AC27" s="3">
        <f t="shared" si="14"/>
        <v>0</v>
      </c>
      <c r="AD27" s="3">
        <f t="shared" si="14"/>
        <v>0</v>
      </c>
      <c r="AE27" s="3">
        <f t="shared" si="14"/>
        <v>0</v>
      </c>
      <c r="AF27" s="3">
        <f t="shared" si="14"/>
        <v>0</v>
      </c>
      <c r="AG27" s="3" t="str">
        <f>IFERROR(INDEX($X$4:$AF$4,MATCH(1,X27:AF27,0)),-1)</f>
        <v>맥스</v>
      </c>
      <c r="AH27" s="18" t="str">
        <f t="shared" si="4"/>
        <v>N</v>
      </c>
      <c r="AI27" s="18">
        <f t="shared" si="5"/>
        <v>0</v>
      </c>
      <c r="AJ27" s="18" t="str">
        <f t="shared" si="15"/>
        <v>N</v>
      </c>
      <c r="AK27" s="18">
        <f t="shared" si="16"/>
        <v>0</v>
      </c>
      <c r="AL27" s="2">
        <v>75</v>
      </c>
      <c r="AM27" s="2">
        <v>71250</v>
      </c>
    </row>
    <row r="28" spans="8:39" x14ac:dyDescent="0.3">
      <c r="P28" s="4" t="s">
        <v>20</v>
      </c>
      <c r="Q28" s="3" t="str">
        <f t="shared" si="12"/>
        <v>하이트맥주</v>
      </c>
      <c r="R28" s="3" t="str">
        <f t="shared" si="13"/>
        <v>드라이피니시d병_500ML</v>
      </c>
      <c r="S28" s="3">
        <f t="shared" si="1"/>
        <v>1</v>
      </c>
      <c r="T28" s="3">
        <f t="shared" si="1"/>
        <v>0</v>
      </c>
      <c r="U28" s="3">
        <f t="shared" si="2"/>
        <v>0</v>
      </c>
      <c r="V28" s="3">
        <f t="shared" si="1"/>
        <v>0</v>
      </c>
      <c r="W28" s="3" t="str">
        <f>INDEX($S$4:$V$4,MATCH(1,S28:V28,0))</f>
        <v>병</v>
      </c>
      <c r="X28" s="3">
        <f t="shared" si="14"/>
        <v>0</v>
      </c>
      <c r="Y28" s="3">
        <f t="shared" si="14"/>
        <v>0</v>
      </c>
      <c r="Z28" s="3">
        <f t="shared" si="14"/>
        <v>0</v>
      </c>
      <c r="AA28" s="3">
        <f t="shared" si="14"/>
        <v>0</v>
      </c>
      <c r="AB28" s="3">
        <f t="shared" si="14"/>
        <v>0</v>
      </c>
      <c r="AC28" s="3">
        <f t="shared" si="14"/>
        <v>0</v>
      </c>
      <c r="AD28" s="3">
        <f t="shared" si="14"/>
        <v>0</v>
      </c>
      <c r="AE28" s="3">
        <f t="shared" si="14"/>
        <v>0</v>
      </c>
      <c r="AF28" s="3">
        <f t="shared" si="14"/>
        <v>1</v>
      </c>
      <c r="AG28" s="3" t="str">
        <f>IFERROR(INDEX($X$4:$AF$4,MATCH(1,X28:AF28,0)),-1)</f>
        <v>d</v>
      </c>
      <c r="AH28" s="18" t="str">
        <f t="shared" si="4"/>
        <v>N</v>
      </c>
      <c r="AI28" s="18">
        <f t="shared" si="5"/>
        <v>0</v>
      </c>
      <c r="AJ28" s="18" t="str">
        <f t="shared" si="15"/>
        <v>N</v>
      </c>
      <c r="AK28" s="18">
        <f t="shared" si="16"/>
        <v>0</v>
      </c>
      <c r="AL28" s="2">
        <v>361</v>
      </c>
      <c r="AM28" s="2">
        <v>411540</v>
      </c>
    </row>
    <row r="29" spans="8:39" x14ac:dyDescent="0.3">
      <c r="P29" s="4" t="s">
        <v>19</v>
      </c>
      <c r="Q29" s="3" t="str">
        <f t="shared" si="12"/>
        <v>하이트맥주</v>
      </c>
      <c r="R29" s="3" t="str">
        <f t="shared" si="13"/>
        <v>드라이피니시d병_330ML</v>
      </c>
      <c r="S29" s="3">
        <f t="shared" si="1"/>
        <v>1</v>
      </c>
      <c r="T29" s="3">
        <f t="shared" si="1"/>
        <v>0</v>
      </c>
      <c r="U29" s="3">
        <f t="shared" si="2"/>
        <v>0</v>
      </c>
      <c r="V29" s="3">
        <f t="shared" si="1"/>
        <v>0</v>
      </c>
      <c r="W29" s="3" t="str">
        <f>INDEX($S$4:$V$4,MATCH(1,S29:V29,0))</f>
        <v>병</v>
      </c>
      <c r="X29" s="3">
        <f t="shared" si="14"/>
        <v>0</v>
      </c>
      <c r="Y29" s="3">
        <f t="shared" si="14"/>
        <v>0</v>
      </c>
      <c r="Z29" s="3">
        <f t="shared" si="14"/>
        <v>0</v>
      </c>
      <c r="AA29" s="3">
        <f t="shared" si="14"/>
        <v>0</v>
      </c>
      <c r="AB29" s="3">
        <f t="shared" si="14"/>
        <v>0</v>
      </c>
      <c r="AC29" s="3">
        <f t="shared" si="14"/>
        <v>0</v>
      </c>
      <c r="AD29" s="3">
        <f t="shared" si="14"/>
        <v>0</v>
      </c>
      <c r="AE29" s="3">
        <f t="shared" si="14"/>
        <v>0</v>
      </c>
      <c r="AF29" s="3">
        <f t="shared" si="14"/>
        <v>1</v>
      </c>
      <c r="AG29" s="3" t="str">
        <f>IFERROR(INDEX($X$4:$AF$4,MATCH(1,X29:AF29,0)),-1)</f>
        <v>d</v>
      </c>
      <c r="AH29" s="18" t="str">
        <f t="shared" si="4"/>
        <v>N</v>
      </c>
      <c r="AI29" s="18">
        <f t="shared" si="5"/>
        <v>0</v>
      </c>
      <c r="AJ29" s="18" t="str">
        <f t="shared" si="15"/>
        <v>N</v>
      </c>
      <c r="AK29" s="18">
        <f t="shared" si="16"/>
        <v>0</v>
      </c>
      <c r="AL29" s="2">
        <v>121</v>
      </c>
      <c r="AM29" s="2">
        <v>110110</v>
      </c>
    </row>
    <row r="30" spans="8:39" x14ac:dyDescent="0.3">
      <c r="P30" s="4" t="s">
        <v>18</v>
      </c>
      <c r="Q30" s="3" t="str">
        <f t="shared" si="12"/>
        <v>하이트맥주</v>
      </c>
      <c r="R30" s="3" t="str">
        <f t="shared" si="13"/>
        <v>하이트캔_355ML*6</v>
      </c>
      <c r="S30" s="3">
        <f t="shared" si="1"/>
        <v>0</v>
      </c>
      <c r="T30" s="3">
        <f t="shared" si="1"/>
        <v>1</v>
      </c>
      <c r="U30" s="3">
        <f t="shared" si="2"/>
        <v>0</v>
      </c>
      <c r="V30" s="3">
        <f t="shared" si="1"/>
        <v>0</v>
      </c>
      <c r="W30" s="3" t="str">
        <f>INDEX($S$4:$V$4,MATCH(1,S30:V30,0))</f>
        <v>캔</v>
      </c>
      <c r="X30" s="3">
        <f t="shared" si="14"/>
        <v>1</v>
      </c>
      <c r="Y30" s="3">
        <f t="shared" si="14"/>
        <v>0</v>
      </c>
      <c r="Z30" s="3">
        <f t="shared" si="14"/>
        <v>0</v>
      </c>
      <c r="AA30" s="3">
        <f t="shared" si="14"/>
        <v>0</v>
      </c>
      <c r="AB30" s="3">
        <f t="shared" si="14"/>
        <v>0</v>
      </c>
      <c r="AC30" s="3">
        <f t="shared" si="14"/>
        <v>0</v>
      </c>
      <c r="AD30" s="3">
        <f t="shared" si="14"/>
        <v>0</v>
      </c>
      <c r="AE30" s="3">
        <f t="shared" si="14"/>
        <v>0</v>
      </c>
      <c r="AF30" s="3">
        <f t="shared" si="14"/>
        <v>0</v>
      </c>
      <c r="AG30" s="3" t="str">
        <f>IFERROR(INDEX($X$4:$AF$4,MATCH(1,X30:AF30,0)),-1)</f>
        <v>하이트</v>
      </c>
      <c r="AH30" s="18" t="str">
        <f t="shared" si="4"/>
        <v>Y</v>
      </c>
      <c r="AI30" s="18" t="str">
        <f t="shared" si="5"/>
        <v>6</v>
      </c>
      <c r="AJ30" s="18" t="str">
        <f t="shared" si="15"/>
        <v>N</v>
      </c>
      <c r="AK30" s="18">
        <f t="shared" si="16"/>
        <v>0</v>
      </c>
      <c r="AL30" s="2">
        <v>304</v>
      </c>
      <c r="AM30" s="2">
        <v>2207040</v>
      </c>
    </row>
    <row r="31" spans="8:39" x14ac:dyDescent="0.3">
      <c r="P31" s="4" t="s">
        <v>17</v>
      </c>
      <c r="Q31" s="3" t="str">
        <f t="shared" si="12"/>
        <v>오비맥주</v>
      </c>
      <c r="R31" s="3" t="str">
        <f t="shared" si="13"/>
        <v>골든라거캔_355ML*6</v>
      </c>
      <c r="S31" s="3">
        <f t="shared" si="1"/>
        <v>0</v>
      </c>
      <c r="T31" s="3">
        <f t="shared" si="1"/>
        <v>1</v>
      </c>
      <c r="U31" s="3">
        <f t="shared" si="2"/>
        <v>0</v>
      </c>
      <c r="V31" s="3">
        <f t="shared" si="1"/>
        <v>0</v>
      </c>
      <c r="W31" s="3" t="str">
        <f>INDEX($S$4:$V$4,MATCH(1,S31:V31,0))</f>
        <v>캔</v>
      </c>
      <c r="X31" s="3">
        <f t="shared" si="14"/>
        <v>0</v>
      </c>
      <c r="Y31" s="3">
        <f t="shared" si="14"/>
        <v>0</v>
      </c>
      <c r="Z31" s="3">
        <f t="shared" si="14"/>
        <v>0</v>
      </c>
      <c r="AA31" s="3">
        <f t="shared" si="14"/>
        <v>0</v>
      </c>
      <c r="AB31" s="3">
        <f t="shared" si="14"/>
        <v>0</v>
      </c>
      <c r="AC31" s="3">
        <f t="shared" si="14"/>
        <v>0</v>
      </c>
      <c r="AD31" s="3">
        <f t="shared" si="14"/>
        <v>1</v>
      </c>
      <c r="AE31" s="3">
        <f t="shared" si="14"/>
        <v>0</v>
      </c>
      <c r="AF31" s="3">
        <f t="shared" si="14"/>
        <v>0</v>
      </c>
      <c r="AG31" s="3" t="str">
        <f>IFERROR(INDEX($X$4:$AF$4,MATCH(1,X31:AF31,0)),-1)</f>
        <v>골든라거</v>
      </c>
      <c r="AH31" s="18" t="str">
        <f t="shared" si="4"/>
        <v>Y</v>
      </c>
      <c r="AI31" s="18" t="str">
        <f t="shared" si="5"/>
        <v>6</v>
      </c>
      <c r="AJ31" s="18" t="str">
        <f t="shared" si="15"/>
        <v>N</v>
      </c>
      <c r="AK31" s="18">
        <f t="shared" si="16"/>
        <v>0</v>
      </c>
      <c r="AL31" s="2">
        <v>213</v>
      </c>
      <c r="AM31" s="2">
        <v>1546380</v>
      </c>
    </row>
    <row r="32" spans="8:39" x14ac:dyDescent="0.3">
      <c r="P32" s="4" t="s">
        <v>16</v>
      </c>
      <c r="Q32" s="3" t="str">
        <f t="shared" si="12"/>
        <v>오비맥주</v>
      </c>
      <c r="R32" s="3" t="str">
        <f t="shared" si="13"/>
        <v>카스라이트캔_355ML*6</v>
      </c>
      <c r="S32" s="3">
        <f t="shared" si="1"/>
        <v>0</v>
      </c>
      <c r="T32" s="3">
        <f t="shared" si="1"/>
        <v>1</v>
      </c>
      <c r="U32" s="3">
        <f t="shared" si="2"/>
        <v>0</v>
      </c>
      <c r="V32" s="3">
        <f t="shared" si="1"/>
        <v>0</v>
      </c>
      <c r="W32" s="3" t="str">
        <f>INDEX($S$4:$V$4,MATCH(1,S32:V32,0))</f>
        <v>캔</v>
      </c>
      <c r="X32" s="3">
        <f t="shared" si="14"/>
        <v>0</v>
      </c>
      <c r="Y32" s="3">
        <f t="shared" si="14"/>
        <v>0</v>
      </c>
      <c r="Z32" s="3">
        <f t="shared" si="14"/>
        <v>0</v>
      </c>
      <c r="AA32" s="3">
        <f t="shared" si="14"/>
        <v>0</v>
      </c>
      <c r="AB32" s="3">
        <f t="shared" si="14"/>
        <v>0</v>
      </c>
      <c r="AC32" s="3">
        <f t="shared" si="14"/>
        <v>1</v>
      </c>
      <c r="AD32" s="3">
        <f t="shared" si="14"/>
        <v>0</v>
      </c>
      <c r="AE32" s="3">
        <f t="shared" si="14"/>
        <v>0</v>
      </c>
      <c r="AF32" s="3">
        <f t="shared" si="14"/>
        <v>0</v>
      </c>
      <c r="AG32" s="3" t="str">
        <f>IFERROR(INDEX($X$4:$AF$4,MATCH(1,X32:AF32,0)),-1)</f>
        <v>카스</v>
      </c>
      <c r="AH32" s="18" t="str">
        <f t="shared" si="4"/>
        <v>Y</v>
      </c>
      <c r="AI32" s="18" t="str">
        <f t="shared" si="5"/>
        <v>6</v>
      </c>
      <c r="AJ32" s="18" t="str">
        <f t="shared" si="15"/>
        <v>N</v>
      </c>
      <c r="AK32" s="18">
        <f t="shared" si="16"/>
        <v>0</v>
      </c>
      <c r="AL32" s="2">
        <v>133</v>
      </c>
      <c r="AM32" s="2">
        <v>955200</v>
      </c>
    </row>
    <row r="33" spans="16:39" x14ac:dyDescent="0.3">
      <c r="P33" s="4" t="s">
        <v>15</v>
      </c>
      <c r="Q33" s="3" t="str">
        <f t="shared" si="12"/>
        <v>오비맥주</v>
      </c>
      <c r="R33" s="3" t="str">
        <f t="shared" si="13"/>
        <v>카스캔_500ML+신라면</v>
      </c>
      <c r="S33" s="3">
        <f t="shared" si="1"/>
        <v>0</v>
      </c>
      <c r="T33" s="3">
        <f t="shared" si="1"/>
        <v>1</v>
      </c>
      <c r="U33" s="3">
        <f t="shared" si="2"/>
        <v>0</v>
      </c>
      <c r="V33" s="3">
        <f t="shared" si="1"/>
        <v>0</v>
      </c>
      <c r="W33" s="3" t="str">
        <f>INDEX($S$4:$V$4,MATCH(1,S33:V33,0))</f>
        <v>캔</v>
      </c>
      <c r="X33" s="3">
        <f t="shared" si="14"/>
        <v>0</v>
      </c>
      <c r="Y33" s="3">
        <f t="shared" si="14"/>
        <v>0</v>
      </c>
      <c r="Z33" s="3">
        <f t="shared" si="14"/>
        <v>0</v>
      </c>
      <c r="AA33" s="3">
        <f t="shared" si="14"/>
        <v>0</v>
      </c>
      <c r="AB33" s="3">
        <f t="shared" si="14"/>
        <v>0</v>
      </c>
      <c r="AC33" s="3">
        <f t="shared" si="14"/>
        <v>1</v>
      </c>
      <c r="AD33" s="3">
        <f t="shared" si="14"/>
        <v>0</v>
      </c>
      <c r="AE33" s="3">
        <f t="shared" si="14"/>
        <v>0</v>
      </c>
      <c r="AF33" s="3">
        <f t="shared" si="14"/>
        <v>0</v>
      </c>
      <c r="AG33" s="3" t="str">
        <f>IFERROR(INDEX($X$4:$AF$4,MATCH(1,X33:AF33,0)),-1)</f>
        <v>카스</v>
      </c>
      <c r="AH33" s="18" t="str">
        <f t="shared" si="4"/>
        <v>N</v>
      </c>
      <c r="AI33" s="18">
        <f t="shared" si="5"/>
        <v>0</v>
      </c>
      <c r="AJ33" s="18" t="str">
        <f t="shared" si="15"/>
        <v>Y</v>
      </c>
      <c r="AK33" s="18" t="str">
        <f t="shared" si="16"/>
        <v>신라면</v>
      </c>
      <c r="AL33" s="2">
        <v>86</v>
      </c>
      <c r="AM33" s="2">
        <v>147660</v>
      </c>
    </row>
    <row r="34" spans="16:39" x14ac:dyDescent="0.3">
      <c r="P34" s="4" t="s">
        <v>14</v>
      </c>
      <c r="Q34" s="3" t="str">
        <f t="shared" si="12"/>
        <v>오비맥주</v>
      </c>
      <c r="R34" s="3" t="str">
        <f t="shared" si="13"/>
        <v>카스라이트캔_500ML</v>
      </c>
      <c r="S34" s="3">
        <f t="shared" si="1"/>
        <v>0</v>
      </c>
      <c r="T34" s="3">
        <f t="shared" si="1"/>
        <v>1</v>
      </c>
      <c r="U34" s="3">
        <f t="shared" si="2"/>
        <v>0</v>
      </c>
      <c r="V34" s="3">
        <f t="shared" si="1"/>
        <v>0</v>
      </c>
      <c r="W34" s="3" t="str">
        <f>INDEX($S$4:$V$4,MATCH(1,S34:V34,0))</f>
        <v>캔</v>
      </c>
      <c r="X34" s="3">
        <f t="shared" si="14"/>
        <v>0</v>
      </c>
      <c r="Y34" s="3">
        <f t="shared" si="14"/>
        <v>0</v>
      </c>
      <c r="Z34" s="3">
        <f t="shared" si="14"/>
        <v>0</v>
      </c>
      <c r="AA34" s="3">
        <f t="shared" si="14"/>
        <v>0</v>
      </c>
      <c r="AB34" s="3">
        <f t="shared" si="14"/>
        <v>0</v>
      </c>
      <c r="AC34" s="3">
        <f t="shared" si="14"/>
        <v>1</v>
      </c>
      <c r="AD34" s="3">
        <f t="shared" si="14"/>
        <v>0</v>
      </c>
      <c r="AE34" s="3">
        <f t="shared" si="14"/>
        <v>0</v>
      </c>
      <c r="AF34" s="3">
        <f t="shared" si="14"/>
        <v>0</v>
      </c>
      <c r="AG34" s="3" t="str">
        <f>IFERROR(INDEX($X$4:$AF$4,MATCH(1,X34:AF34,0)),-1)</f>
        <v>카스</v>
      </c>
      <c r="AH34" s="18" t="str">
        <f t="shared" si="4"/>
        <v>N</v>
      </c>
      <c r="AI34" s="18">
        <f t="shared" si="5"/>
        <v>0</v>
      </c>
      <c r="AJ34" s="18" t="str">
        <f t="shared" si="15"/>
        <v>N</v>
      </c>
      <c r="AK34" s="18">
        <f t="shared" si="16"/>
        <v>0</v>
      </c>
      <c r="AL34" s="2">
        <v>42</v>
      </c>
      <c r="AM34" s="2">
        <v>72240</v>
      </c>
    </row>
    <row r="35" spans="16:39" x14ac:dyDescent="0.3">
      <c r="P35" s="4" t="s">
        <v>13</v>
      </c>
      <c r="Q35" s="3" t="str">
        <f t="shared" si="12"/>
        <v>오비맥주</v>
      </c>
      <c r="R35" s="3" t="str">
        <f t="shared" si="13"/>
        <v>골든라거큐팩_1.6L</v>
      </c>
      <c r="S35" s="3">
        <f t="shared" si="1"/>
        <v>0</v>
      </c>
      <c r="T35" s="3">
        <f t="shared" si="1"/>
        <v>0</v>
      </c>
      <c r="U35" s="3">
        <f t="shared" si="2"/>
        <v>1</v>
      </c>
      <c r="V35" s="3">
        <f t="shared" si="1"/>
        <v>0</v>
      </c>
      <c r="W35" s="3" t="str">
        <f>INDEX($S$4:$V$4,MATCH(1,S35:V35,0))</f>
        <v>큐팩</v>
      </c>
      <c r="X35" s="3">
        <f t="shared" si="14"/>
        <v>0</v>
      </c>
      <c r="Y35" s="3">
        <f t="shared" si="14"/>
        <v>0</v>
      </c>
      <c r="Z35" s="3">
        <f t="shared" si="14"/>
        <v>0</v>
      </c>
      <c r="AA35" s="3">
        <f t="shared" si="14"/>
        <v>0</v>
      </c>
      <c r="AB35" s="3">
        <f t="shared" si="14"/>
        <v>0</v>
      </c>
      <c r="AC35" s="3">
        <f t="shared" si="14"/>
        <v>0</v>
      </c>
      <c r="AD35" s="3">
        <f t="shared" si="14"/>
        <v>1</v>
      </c>
      <c r="AE35" s="3">
        <f t="shared" si="14"/>
        <v>0</v>
      </c>
      <c r="AF35" s="3">
        <f t="shared" si="14"/>
        <v>0</v>
      </c>
      <c r="AG35" s="3" t="str">
        <f>IFERROR(INDEX($X$4:$AF$4,MATCH(1,X35:AF35,0)),-1)</f>
        <v>골든라거</v>
      </c>
      <c r="AH35" s="18" t="str">
        <f t="shared" si="4"/>
        <v>N</v>
      </c>
      <c r="AI35" s="18">
        <f t="shared" si="5"/>
        <v>0</v>
      </c>
      <c r="AJ35" s="18" t="str">
        <f t="shared" si="15"/>
        <v>N</v>
      </c>
      <c r="AK35" s="18">
        <f t="shared" si="16"/>
        <v>0</v>
      </c>
      <c r="AL35" s="2">
        <v>167</v>
      </c>
      <c r="AM35" s="2">
        <v>634600</v>
      </c>
    </row>
    <row r="36" spans="16:39" x14ac:dyDescent="0.3">
      <c r="P36" s="4" t="s">
        <v>12</v>
      </c>
      <c r="Q36" s="3" t="str">
        <f t="shared" si="12"/>
        <v>오비맥주</v>
      </c>
      <c r="R36" s="3" t="str">
        <f t="shared" si="13"/>
        <v>카스큐팩_1.6L</v>
      </c>
      <c r="S36" s="3">
        <f t="shared" si="1"/>
        <v>0</v>
      </c>
      <c r="T36" s="3">
        <f t="shared" si="1"/>
        <v>0</v>
      </c>
      <c r="U36" s="3">
        <f t="shared" si="2"/>
        <v>1</v>
      </c>
      <c r="V36" s="3">
        <f t="shared" si="1"/>
        <v>0</v>
      </c>
      <c r="W36" s="3" t="str">
        <f>INDEX($S$4:$V$4,MATCH(1,S36:V36,0))</f>
        <v>큐팩</v>
      </c>
      <c r="X36" s="3">
        <f t="shared" si="14"/>
        <v>0</v>
      </c>
      <c r="Y36" s="3">
        <f t="shared" si="14"/>
        <v>0</v>
      </c>
      <c r="Z36" s="3">
        <f t="shared" si="14"/>
        <v>0</v>
      </c>
      <c r="AA36" s="3">
        <f t="shared" si="14"/>
        <v>0</v>
      </c>
      <c r="AB36" s="3">
        <f t="shared" si="14"/>
        <v>0</v>
      </c>
      <c r="AC36" s="3">
        <f t="shared" si="14"/>
        <v>1</v>
      </c>
      <c r="AD36" s="3">
        <f t="shared" si="14"/>
        <v>0</v>
      </c>
      <c r="AE36" s="3">
        <f t="shared" si="14"/>
        <v>0</v>
      </c>
      <c r="AF36" s="3">
        <f t="shared" si="14"/>
        <v>0</v>
      </c>
      <c r="AG36" s="3" t="str">
        <f>IFERROR(INDEX($X$4:$AF$4,MATCH(1,X36:AF36,0)),-1)</f>
        <v>카스</v>
      </c>
      <c r="AH36" s="18" t="str">
        <f t="shared" si="4"/>
        <v>N</v>
      </c>
      <c r="AI36" s="18">
        <f t="shared" si="5"/>
        <v>0</v>
      </c>
      <c r="AJ36" s="18" t="str">
        <f t="shared" si="15"/>
        <v>N</v>
      </c>
      <c r="AK36" s="18">
        <f t="shared" si="16"/>
        <v>0</v>
      </c>
      <c r="AL36" s="2">
        <v>278</v>
      </c>
      <c r="AM36" s="2">
        <v>1056400</v>
      </c>
    </row>
    <row r="37" spans="16:39" x14ac:dyDescent="0.3">
      <c r="P37" s="4" t="s">
        <v>11</v>
      </c>
      <c r="Q37" s="3" t="str">
        <f t="shared" si="12"/>
        <v>오비맥주</v>
      </c>
      <c r="R37" s="3" t="str">
        <f t="shared" si="13"/>
        <v>카스큐팩_1L</v>
      </c>
      <c r="S37" s="3">
        <f t="shared" si="1"/>
        <v>0</v>
      </c>
      <c r="T37" s="3">
        <f t="shared" si="1"/>
        <v>0</v>
      </c>
      <c r="U37" s="3">
        <f t="shared" si="2"/>
        <v>1</v>
      </c>
      <c r="V37" s="3">
        <f t="shared" si="1"/>
        <v>0</v>
      </c>
      <c r="W37" s="3" t="str">
        <f>INDEX($S$4:$V$4,MATCH(1,S37:V37,0))</f>
        <v>큐팩</v>
      </c>
      <c r="X37" s="3">
        <f t="shared" si="14"/>
        <v>0</v>
      </c>
      <c r="Y37" s="3">
        <f t="shared" si="14"/>
        <v>0</v>
      </c>
      <c r="Z37" s="3">
        <f t="shared" ref="Z37:Z48" si="20">IF(ISERROR(FIND(Z$4,$R37)),0,1)</f>
        <v>0</v>
      </c>
      <c r="AA37" s="3">
        <f t="shared" si="14"/>
        <v>0</v>
      </c>
      <c r="AB37" s="3">
        <f t="shared" si="14"/>
        <v>0</v>
      </c>
      <c r="AC37" s="3">
        <f t="shared" si="14"/>
        <v>1</v>
      </c>
      <c r="AD37" s="3">
        <f t="shared" si="14"/>
        <v>0</v>
      </c>
      <c r="AE37" s="3">
        <f t="shared" si="14"/>
        <v>0</v>
      </c>
      <c r="AF37" s="3">
        <f t="shared" si="14"/>
        <v>0</v>
      </c>
      <c r="AG37" s="3" t="str">
        <f>IFERROR(INDEX($X$4:$AF$4,MATCH(1,X37:AF37,0)),-1)</f>
        <v>카스</v>
      </c>
      <c r="AH37" s="18" t="str">
        <f t="shared" si="4"/>
        <v>N</v>
      </c>
      <c r="AI37" s="18">
        <f t="shared" si="5"/>
        <v>0</v>
      </c>
      <c r="AJ37" s="18" t="str">
        <f t="shared" si="15"/>
        <v>N</v>
      </c>
      <c r="AK37" s="18">
        <f t="shared" si="16"/>
        <v>0</v>
      </c>
      <c r="AL37" s="2">
        <v>215</v>
      </c>
      <c r="AM37" s="2">
        <v>488050</v>
      </c>
    </row>
    <row r="38" spans="16:39" x14ac:dyDescent="0.3">
      <c r="P38" s="4" t="s">
        <v>10</v>
      </c>
      <c r="Q38" s="3" t="str">
        <f t="shared" si="12"/>
        <v>오비맥주</v>
      </c>
      <c r="R38" s="3" t="str">
        <f t="shared" si="13"/>
        <v>골든라거큐팩_1L+포카리스웨트</v>
      </c>
      <c r="S38" s="3">
        <f t="shared" si="1"/>
        <v>0</v>
      </c>
      <c r="T38" s="3">
        <f t="shared" si="1"/>
        <v>0</v>
      </c>
      <c r="U38" s="3">
        <f t="shared" si="2"/>
        <v>1</v>
      </c>
      <c r="V38" s="3">
        <f t="shared" si="1"/>
        <v>0</v>
      </c>
      <c r="W38" s="3" t="str">
        <f>INDEX($S$4:$V$4,MATCH(1,S38:V38,0))</f>
        <v>큐팩</v>
      </c>
      <c r="X38" s="3">
        <f t="shared" si="14"/>
        <v>0</v>
      </c>
      <c r="Y38" s="3">
        <f t="shared" si="14"/>
        <v>0</v>
      </c>
      <c r="Z38" s="3">
        <f t="shared" si="20"/>
        <v>0</v>
      </c>
      <c r="AA38" s="3">
        <f t="shared" si="14"/>
        <v>0</v>
      </c>
      <c r="AB38" s="3">
        <f t="shared" si="14"/>
        <v>0</v>
      </c>
      <c r="AC38" s="3">
        <f t="shared" si="14"/>
        <v>0</v>
      </c>
      <c r="AD38" s="3">
        <f t="shared" si="14"/>
        <v>1</v>
      </c>
      <c r="AE38" s="3">
        <f t="shared" si="14"/>
        <v>0</v>
      </c>
      <c r="AF38" s="3">
        <f t="shared" si="14"/>
        <v>0</v>
      </c>
      <c r="AG38" s="3" t="str">
        <f>IFERROR(INDEX($X$4:$AF$4,MATCH(1,X38:AF38,0)),-1)</f>
        <v>골든라거</v>
      </c>
      <c r="AH38" s="18" t="str">
        <f t="shared" si="4"/>
        <v>N</v>
      </c>
      <c r="AI38" s="18">
        <f t="shared" si="5"/>
        <v>0</v>
      </c>
      <c r="AJ38" s="18" t="str">
        <f t="shared" si="15"/>
        <v>Y</v>
      </c>
      <c r="AK38" s="18" t="str">
        <f t="shared" si="16"/>
        <v>포카리스웨트</v>
      </c>
      <c r="AL38" s="2">
        <v>234</v>
      </c>
      <c r="AM38" s="2">
        <v>531180</v>
      </c>
    </row>
    <row r="39" spans="16:39" x14ac:dyDescent="0.3">
      <c r="P39" s="4" t="s">
        <v>9</v>
      </c>
      <c r="Q39" s="3" t="str">
        <f t="shared" si="12"/>
        <v>오비맥주</v>
      </c>
      <c r="R39" s="3" t="str">
        <f t="shared" si="13"/>
        <v>카스라이트큐팩_1.6L</v>
      </c>
      <c r="S39" s="3">
        <f t="shared" si="1"/>
        <v>0</v>
      </c>
      <c r="T39" s="3">
        <f t="shared" si="1"/>
        <v>0</v>
      </c>
      <c r="U39" s="3">
        <f t="shared" si="2"/>
        <v>1</v>
      </c>
      <c r="V39" s="3">
        <f t="shared" si="1"/>
        <v>0</v>
      </c>
      <c r="W39" s="3" t="str">
        <f>INDEX($S$4:$V$4,MATCH(1,S39:V39,0))</f>
        <v>큐팩</v>
      </c>
      <c r="X39" s="3">
        <f t="shared" si="14"/>
        <v>0</v>
      </c>
      <c r="Y39" s="3">
        <f t="shared" si="14"/>
        <v>0</v>
      </c>
      <c r="Z39" s="3">
        <f t="shared" si="20"/>
        <v>0</v>
      </c>
      <c r="AA39" s="3">
        <f t="shared" si="14"/>
        <v>0</v>
      </c>
      <c r="AB39" s="3">
        <f t="shared" si="14"/>
        <v>0</v>
      </c>
      <c r="AC39" s="3">
        <f t="shared" si="14"/>
        <v>1</v>
      </c>
      <c r="AD39" s="3">
        <f t="shared" si="14"/>
        <v>0</v>
      </c>
      <c r="AE39" s="3">
        <f t="shared" si="14"/>
        <v>0</v>
      </c>
      <c r="AF39" s="3">
        <f t="shared" si="14"/>
        <v>0</v>
      </c>
      <c r="AG39" s="3" t="str">
        <f>IFERROR(INDEX($X$4:$AF$4,MATCH(1,X39:AF39,0)),-1)</f>
        <v>카스</v>
      </c>
      <c r="AH39" s="18" t="str">
        <f t="shared" si="4"/>
        <v>N</v>
      </c>
      <c r="AI39" s="18">
        <f t="shared" si="5"/>
        <v>0</v>
      </c>
      <c r="AJ39" s="18" t="str">
        <f t="shared" si="15"/>
        <v>N</v>
      </c>
      <c r="AK39" s="18">
        <f t="shared" si="16"/>
        <v>0</v>
      </c>
      <c r="AL39" s="2">
        <v>94</v>
      </c>
      <c r="AM39" s="2">
        <v>357200</v>
      </c>
    </row>
    <row r="40" spans="16:39" x14ac:dyDescent="0.3">
      <c r="P40" s="4" t="s">
        <v>8</v>
      </c>
      <c r="Q40" s="3" t="str">
        <f t="shared" si="12"/>
        <v>오비맥주</v>
      </c>
      <c r="R40" s="3" t="str">
        <f t="shared" si="13"/>
        <v>카프리큐팩_1L</v>
      </c>
      <c r="S40" s="3">
        <f t="shared" si="1"/>
        <v>0</v>
      </c>
      <c r="T40" s="3">
        <f t="shared" si="1"/>
        <v>0</v>
      </c>
      <c r="U40" s="3">
        <f t="shared" si="2"/>
        <v>1</v>
      </c>
      <c r="V40" s="3">
        <f t="shared" si="1"/>
        <v>0</v>
      </c>
      <c r="W40" s="3" t="str">
        <f>INDEX($S$4:$V$4,MATCH(1,S40:V40,0))</f>
        <v>큐팩</v>
      </c>
      <c r="X40" s="3">
        <f t="shared" si="14"/>
        <v>0</v>
      </c>
      <c r="Y40" s="3">
        <f t="shared" si="14"/>
        <v>0</v>
      </c>
      <c r="Z40" s="3">
        <f t="shared" si="20"/>
        <v>0</v>
      </c>
      <c r="AA40" s="3">
        <f t="shared" si="14"/>
        <v>0</v>
      </c>
      <c r="AB40" s="3">
        <f t="shared" si="14"/>
        <v>1</v>
      </c>
      <c r="AC40" s="3">
        <f t="shared" si="14"/>
        <v>0</v>
      </c>
      <c r="AD40" s="3">
        <f t="shared" si="14"/>
        <v>0</v>
      </c>
      <c r="AE40" s="3">
        <f t="shared" si="14"/>
        <v>0</v>
      </c>
      <c r="AF40" s="3">
        <f t="shared" si="14"/>
        <v>0</v>
      </c>
      <c r="AG40" s="3" t="str">
        <f>IFERROR(INDEX($X$4:$AF$4,MATCH(1,X40:AF40,0)),-1)</f>
        <v>카프리</v>
      </c>
      <c r="AH40" s="18" t="str">
        <f t="shared" si="4"/>
        <v>N</v>
      </c>
      <c r="AI40" s="18">
        <f t="shared" si="5"/>
        <v>0</v>
      </c>
      <c r="AJ40" s="18" t="str">
        <f t="shared" si="15"/>
        <v>N</v>
      </c>
      <c r="AK40" s="18">
        <f t="shared" si="16"/>
        <v>0</v>
      </c>
      <c r="AL40" s="2">
        <v>16</v>
      </c>
      <c r="AM40" s="2">
        <v>44000</v>
      </c>
    </row>
    <row r="41" spans="16:39" x14ac:dyDescent="0.3">
      <c r="P41" s="4" t="s">
        <v>7</v>
      </c>
      <c r="Q41" s="3" t="str">
        <f t="shared" si="12"/>
        <v>오비맥주</v>
      </c>
      <c r="R41" s="3" t="str">
        <f t="shared" si="13"/>
        <v>카프리병_330ML</v>
      </c>
      <c r="S41" s="3">
        <f t="shared" si="1"/>
        <v>1</v>
      </c>
      <c r="T41" s="3">
        <f t="shared" si="1"/>
        <v>0</v>
      </c>
      <c r="U41" s="3">
        <f t="shared" si="2"/>
        <v>0</v>
      </c>
      <c r="V41" s="3">
        <f t="shared" si="1"/>
        <v>0</v>
      </c>
      <c r="W41" s="3" t="str">
        <f>INDEX($S$4:$V$4,MATCH(1,S41:V41,0))</f>
        <v>병</v>
      </c>
      <c r="X41" s="3">
        <f t="shared" si="14"/>
        <v>0</v>
      </c>
      <c r="Y41" s="3">
        <f t="shared" si="14"/>
        <v>0</v>
      </c>
      <c r="Z41" s="3">
        <f t="shared" si="20"/>
        <v>0</v>
      </c>
      <c r="AA41" s="3">
        <f t="shared" si="14"/>
        <v>0</v>
      </c>
      <c r="AB41" s="3">
        <f t="shared" si="14"/>
        <v>1</v>
      </c>
      <c r="AC41" s="3">
        <f t="shared" si="14"/>
        <v>0</v>
      </c>
      <c r="AD41" s="3">
        <f t="shared" si="14"/>
        <v>0</v>
      </c>
      <c r="AE41" s="3">
        <f t="shared" si="14"/>
        <v>0</v>
      </c>
      <c r="AF41" s="3">
        <f t="shared" si="14"/>
        <v>0</v>
      </c>
      <c r="AG41" s="3" t="str">
        <f>IFERROR(INDEX($X$4:$AF$4,MATCH(1,X41:AF41,0)),-1)</f>
        <v>카프리</v>
      </c>
      <c r="AH41" s="18" t="str">
        <f t="shared" si="4"/>
        <v>N</v>
      </c>
      <c r="AI41" s="18">
        <f t="shared" si="5"/>
        <v>0</v>
      </c>
      <c r="AJ41" s="18" t="str">
        <f t="shared" si="15"/>
        <v>N</v>
      </c>
      <c r="AK41" s="18">
        <f t="shared" si="16"/>
        <v>0</v>
      </c>
      <c r="AL41" s="2">
        <v>217</v>
      </c>
      <c r="AM41" s="2">
        <v>260400</v>
      </c>
    </row>
    <row r="42" spans="16:39" x14ac:dyDescent="0.3">
      <c r="P42" s="4" t="s">
        <v>6</v>
      </c>
      <c r="Q42" s="3" t="str">
        <f t="shared" si="12"/>
        <v>오비맥주</v>
      </c>
      <c r="R42" s="3" t="str">
        <f t="shared" si="13"/>
        <v>카프리캔_355ML*6</v>
      </c>
      <c r="S42" s="3">
        <f t="shared" si="1"/>
        <v>0</v>
      </c>
      <c r="T42" s="3">
        <f t="shared" si="1"/>
        <v>1</v>
      </c>
      <c r="U42" s="3">
        <f t="shared" si="2"/>
        <v>0</v>
      </c>
      <c r="V42" s="3">
        <f t="shared" si="1"/>
        <v>0</v>
      </c>
      <c r="W42" s="3" t="str">
        <f>INDEX($S$4:$V$4,MATCH(1,S42:V42,0))</f>
        <v>캔</v>
      </c>
      <c r="X42" s="3">
        <f t="shared" si="14"/>
        <v>0</v>
      </c>
      <c r="Y42" s="3">
        <f t="shared" si="14"/>
        <v>0</v>
      </c>
      <c r="Z42" s="3">
        <f t="shared" si="20"/>
        <v>0</v>
      </c>
      <c r="AA42" s="3">
        <f t="shared" si="14"/>
        <v>0</v>
      </c>
      <c r="AB42" s="3">
        <f t="shared" si="14"/>
        <v>1</v>
      </c>
      <c r="AC42" s="3">
        <f t="shared" si="14"/>
        <v>0</v>
      </c>
      <c r="AD42" s="3">
        <f t="shared" si="14"/>
        <v>0</v>
      </c>
      <c r="AE42" s="3">
        <f t="shared" si="14"/>
        <v>0</v>
      </c>
      <c r="AF42" s="3">
        <f t="shared" si="14"/>
        <v>0</v>
      </c>
      <c r="AG42" s="3" t="str">
        <f>IFERROR(INDEX($X$4:$AF$4,MATCH(1,X42:AF42,0)),-1)</f>
        <v>카프리</v>
      </c>
      <c r="AH42" s="18" t="str">
        <f t="shared" si="4"/>
        <v>Y</v>
      </c>
      <c r="AI42" s="18" t="str">
        <f t="shared" si="5"/>
        <v>6</v>
      </c>
      <c r="AJ42" s="18" t="str">
        <f t="shared" si="15"/>
        <v>N</v>
      </c>
      <c r="AK42" s="18">
        <f t="shared" si="16"/>
        <v>0</v>
      </c>
      <c r="AL42" s="2">
        <v>17</v>
      </c>
      <c r="AM42" s="2">
        <v>153000</v>
      </c>
    </row>
    <row r="43" spans="16:39" x14ac:dyDescent="0.3">
      <c r="P43" s="4" t="s">
        <v>5</v>
      </c>
      <c r="Q43" s="3" t="str">
        <f t="shared" si="12"/>
        <v>오비맥주</v>
      </c>
      <c r="R43" s="3" t="str">
        <f t="shared" si="13"/>
        <v>버드와이저병_330ML</v>
      </c>
      <c r="S43" s="3">
        <f t="shared" si="1"/>
        <v>1</v>
      </c>
      <c r="T43" s="3">
        <f t="shared" si="1"/>
        <v>0</v>
      </c>
      <c r="U43" s="3">
        <f t="shared" si="2"/>
        <v>0</v>
      </c>
      <c r="V43" s="3">
        <f t="shared" si="1"/>
        <v>0</v>
      </c>
      <c r="W43" s="3" t="str">
        <f>INDEX($S$4:$V$4,MATCH(1,S43:V43,0))</f>
        <v>병</v>
      </c>
      <c r="X43" s="3">
        <f t="shared" si="14"/>
        <v>0</v>
      </c>
      <c r="Y43" s="3">
        <f t="shared" si="14"/>
        <v>0</v>
      </c>
      <c r="Z43" s="3">
        <f t="shared" si="20"/>
        <v>0</v>
      </c>
      <c r="AA43" s="3">
        <f t="shared" si="14"/>
        <v>1</v>
      </c>
      <c r="AB43" s="3">
        <f t="shared" si="14"/>
        <v>0</v>
      </c>
      <c r="AC43" s="3">
        <f t="shared" si="14"/>
        <v>0</v>
      </c>
      <c r="AD43" s="3">
        <f t="shared" si="14"/>
        <v>0</v>
      </c>
      <c r="AE43" s="3">
        <f t="shared" si="14"/>
        <v>0</v>
      </c>
      <c r="AF43" s="3">
        <f t="shared" si="14"/>
        <v>0</v>
      </c>
      <c r="AG43" s="3" t="str">
        <f>IFERROR(INDEX($X$4:$AF$4,MATCH(1,X43:AF43,0)),-1)</f>
        <v>버드와이저</v>
      </c>
      <c r="AH43" s="18" t="str">
        <f t="shared" si="4"/>
        <v>N</v>
      </c>
      <c r="AI43" s="18">
        <f t="shared" si="5"/>
        <v>0</v>
      </c>
      <c r="AJ43" s="18" t="str">
        <f t="shared" si="15"/>
        <v>N</v>
      </c>
      <c r="AK43" s="18">
        <f t="shared" si="16"/>
        <v>0</v>
      </c>
      <c r="AL43" s="2">
        <v>278</v>
      </c>
      <c r="AM43" s="2">
        <v>308580</v>
      </c>
    </row>
    <row r="44" spans="16:39" x14ac:dyDescent="0.3">
      <c r="P44" s="4" t="s">
        <v>4</v>
      </c>
      <c r="Q44" s="3" t="str">
        <f t="shared" si="12"/>
        <v>오비맥주</v>
      </c>
      <c r="R44" s="3" t="str">
        <f t="shared" si="13"/>
        <v>호가든병_330ML+포카리스웨트</v>
      </c>
      <c r="S44" s="3">
        <f t="shared" si="1"/>
        <v>1</v>
      </c>
      <c r="T44" s="3">
        <f t="shared" si="1"/>
        <v>0</v>
      </c>
      <c r="U44" s="3">
        <f t="shared" si="2"/>
        <v>0</v>
      </c>
      <c r="V44" s="3">
        <f t="shared" si="1"/>
        <v>0</v>
      </c>
      <c r="W44" s="3" t="str">
        <f>INDEX($S$4:$V$4,MATCH(1,S44:V44,0))</f>
        <v>병</v>
      </c>
      <c r="X44" s="3">
        <f t="shared" si="14"/>
        <v>0</v>
      </c>
      <c r="Y44" s="3">
        <f t="shared" si="14"/>
        <v>0</v>
      </c>
      <c r="Z44" s="3">
        <f t="shared" si="20"/>
        <v>1</v>
      </c>
      <c r="AA44" s="3">
        <f t="shared" si="14"/>
        <v>0</v>
      </c>
      <c r="AB44" s="3">
        <f t="shared" si="14"/>
        <v>0</v>
      </c>
      <c r="AC44" s="3">
        <f t="shared" si="14"/>
        <v>0</v>
      </c>
      <c r="AD44" s="3">
        <f t="shared" si="14"/>
        <v>0</v>
      </c>
      <c r="AE44" s="3">
        <f t="shared" si="14"/>
        <v>0</v>
      </c>
      <c r="AF44" s="3">
        <f t="shared" si="14"/>
        <v>0</v>
      </c>
      <c r="AG44" s="3" t="str">
        <f>IFERROR(INDEX($X$4:$AF$4,MATCH(1,X44:AF44,0)),-1)</f>
        <v>호가든</v>
      </c>
      <c r="AH44" s="18" t="str">
        <f t="shared" si="4"/>
        <v>N</v>
      </c>
      <c r="AI44" s="18">
        <f t="shared" si="5"/>
        <v>0</v>
      </c>
      <c r="AJ44" s="18" t="str">
        <f t="shared" si="15"/>
        <v>Y</v>
      </c>
      <c r="AK44" s="18" t="str">
        <f t="shared" si="16"/>
        <v>포카리스웨트</v>
      </c>
      <c r="AL44" s="2">
        <v>505</v>
      </c>
      <c r="AM44" s="2">
        <v>948164</v>
      </c>
    </row>
    <row r="45" spans="16:39" x14ac:dyDescent="0.3">
      <c r="P45" s="4" t="s">
        <v>3</v>
      </c>
      <c r="Q45" s="3" t="str">
        <f t="shared" si="12"/>
        <v>오비맥주</v>
      </c>
      <c r="R45" s="3" t="str">
        <f t="shared" si="13"/>
        <v>버드와이저캔_355ML*6</v>
      </c>
      <c r="S45" s="3">
        <f t="shared" si="1"/>
        <v>0</v>
      </c>
      <c r="T45" s="3">
        <f t="shared" si="1"/>
        <v>1</v>
      </c>
      <c r="U45" s="3">
        <f t="shared" si="2"/>
        <v>0</v>
      </c>
      <c r="V45" s="3">
        <f t="shared" si="1"/>
        <v>0</v>
      </c>
      <c r="W45" s="3" t="str">
        <f>INDEX($S$4:$V$4,MATCH(1,S45:V45,0))</f>
        <v>캔</v>
      </c>
      <c r="X45" s="3">
        <f t="shared" si="14"/>
        <v>0</v>
      </c>
      <c r="Y45" s="3">
        <f t="shared" si="14"/>
        <v>0</v>
      </c>
      <c r="Z45" s="3">
        <f t="shared" si="20"/>
        <v>0</v>
      </c>
      <c r="AA45" s="3">
        <f t="shared" si="14"/>
        <v>1</v>
      </c>
      <c r="AB45" s="3">
        <f t="shared" si="14"/>
        <v>0</v>
      </c>
      <c r="AC45" s="3">
        <f t="shared" si="14"/>
        <v>0</v>
      </c>
      <c r="AD45" s="3">
        <f t="shared" si="14"/>
        <v>0</v>
      </c>
      <c r="AE45" s="3">
        <f t="shared" si="14"/>
        <v>0</v>
      </c>
      <c r="AF45" s="3">
        <f t="shared" si="14"/>
        <v>0</v>
      </c>
      <c r="AG45" s="3" t="str">
        <f>IFERROR(INDEX($X$4:$AF$4,MATCH(1,X45:AF45,0)),-1)</f>
        <v>버드와이저</v>
      </c>
      <c r="AH45" s="18" t="str">
        <f t="shared" si="4"/>
        <v>Y</v>
      </c>
      <c r="AI45" s="18" t="str">
        <f t="shared" si="5"/>
        <v>6</v>
      </c>
      <c r="AJ45" s="18" t="str">
        <f t="shared" si="15"/>
        <v>N</v>
      </c>
      <c r="AK45" s="18">
        <f t="shared" si="16"/>
        <v>0</v>
      </c>
      <c r="AL45" s="2">
        <v>19</v>
      </c>
      <c r="AM45" s="2">
        <v>173280</v>
      </c>
    </row>
    <row r="46" spans="16:39" x14ac:dyDescent="0.3">
      <c r="P46" s="4" t="s">
        <v>2</v>
      </c>
      <c r="Q46" s="3" t="str">
        <f t="shared" si="12"/>
        <v>오비맥주</v>
      </c>
      <c r="R46" s="3" t="str">
        <f t="shared" si="13"/>
        <v>버드와이저캔_500ML</v>
      </c>
      <c r="S46" s="3">
        <f t="shared" si="1"/>
        <v>0</v>
      </c>
      <c r="T46" s="3">
        <f t="shared" si="1"/>
        <v>1</v>
      </c>
      <c r="U46" s="3">
        <f t="shared" si="2"/>
        <v>0</v>
      </c>
      <c r="V46" s="3">
        <f t="shared" si="1"/>
        <v>0</v>
      </c>
      <c r="W46" s="3" t="str">
        <f>INDEX($S$4:$V$4,MATCH(1,S46:V46,0))</f>
        <v>캔</v>
      </c>
      <c r="X46" s="3">
        <f t="shared" si="14"/>
        <v>0</v>
      </c>
      <c r="Y46" s="3">
        <f t="shared" si="14"/>
        <v>0</v>
      </c>
      <c r="Z46" s="3">
        <f t="shared" si="20"/>
        <v>0</v>
      </c>
      <c r="AA46" s="3">
        <f t="shared" si="14"/>
        <v>1</v>
      </c>
      <c r="AB46" s="3">
        <f t="shared" si="14"/>
        <v>0</v>
      </c>
      <c r="AC46" s="3">
        <f t="shared" si="14"/>
        <v>0</v>
      </c>
      <c r="AD46" s="3">
        <f t="shared" si="14"/>
        <v>0</v>
      </c>
      <c r="AE46" s="3">
        <f t="shared" si="14"/>
        <v>0</v>
      </c>
      <c r="AF46" s="3">
        <f t="shared" si="14"/>
        <v>0</v>
      </c>
      <c r="AG46" s="3" t="str">
        <f>IFERROR(INDEX($X$4:$AF$4,MATCH(1,X46:AF46,0)),-1)</f>
        <v>버드와이저</v>
      </c>
      <c r="AH46" s="18" t="str">
        <f t="shared" si="4"/>
        <v>N</v>
      </c>
      <c r="AI46" s="18">
        <f t="shared" si="5"/>
        <v>0</v>
      </c>
      <c r="AJ46" s="18" t="str">
        <f t="shared" si="15"/>
        <v>N</v>
      </c>
      <c r="AK46" s="18">
        <f t="shared" si="16"/>
        <v>0</v>
      </c>
      <c r="AL46" s="2">
        <v>51</v>
      </c>
      <c r="AM46" s="2">
        <v>112200</v>
      </c>
    </row>
    <row r="47" spans="16:39" x14ac:dyDescent="0.3">
      <c r="P47" s="4" t="s">
        <v>1</v>
      </c>
      <c r="Q47" s="3" t="str">
        <f t="shared" si="12"/>
        <v>오비맥주</v>
      </c>
      <c r="R47" s="3" t="str">
        <f t="shared" si="13"/>
        <v>호가든캔_500ML</v>
      </c>
      <c r="S47" s="3">
        <f t="shared" si="1"/>
        <v>0</v>
      </c>
      <c r="T47" s="3">
        <f t="shared" si="1"/>
        <v>1</v>
      </c>
      <c r="U47" s="3">
        <f t="shared" si="2"/>
        <v>0</v>
      </c>
      <c r="V47" s="3">
        <f t="shared" si="1"/>
        <v>0</v>
      </c>
      <c r="W47" s="3" t="str">
        <f>INDEX($S$4:$V$4,MATCH(1,S47:V47,0))</f>
        <v>캔</v>
      </c>
      <c r="X47" s="3">
        <f t="shared" si="14"/>
        <v>0</v>
      </c>
      <c r="Y47" s="3">
        <f t="shared" si="14"/>
        <v>0</v>
      </c>
      <c r="Z47" s="3">
        <f t="shared" si="20"/>
        <v>1</v>
      </c>
      <c r="AA47" s="3">
        <f t="shared" si="14"/>
        <v>0</v>
      </c>
      <c r="AB47" s="3">
        <f t="shared" si="14"/>
        <v>0</v>
      </c>
      <c r="AC47" s="3">
        <f t="shared" si="14"/>
        <v>0</v>
      </c>
      <c r="AD47" s="3">
        <f t="shared" si="14"/>
        <v>0</v>
      </c>
      <c r="AE47" s="3">
        <f t="shared" si="14"/>
        <v>0</v>
      </c>
      <c r="AF47" s="3">
        <f t="shared" si="14"/>
        <v>0</v>
      </c>
      <c r="AG47" s="3" t="str">
        <f>IFERROR(INDEX($X$4:$AF$4,MATCH(1,X47:AF47,0)),-1)</f>
        <v>호가든</v>
      </c>
      <c r="AH47" s="18" t="str">
        <f t="shared" si="4"/>
        <v>N</v>
      </c>
      <c r="AI47" s="18">
        <f t="shared" si="5"/>
        <v>0</v>
      </c>
      <c r="AJ47" s="18" t="str">
        <f t="shared" si="15"/>
        <v>N</v>
      </c>
      <c r="AK47" s="18">
        <f t="shared" si="16"/>
        <v>0</v>
      </c>
      <c r="AL47" s="2">
        <v>23</v>
      </c>
      <c r="AM47" s="2">
        <v>69000</v>
      </c>
    </row>
    <row r="48" spans="16:39" x14ac:dyDescent="0.3">
      <c r="P48" s="4" t="s">
        <v>0</v>
      </c>
      <c r="Q48" s="3" t="str">
        <f t="shared" si="12"/>
        <v>오비맥주</v>
      </c>
      <c r="R48" s="3" t="str">
        <f t="shared" si="13"/>
        <v>호가든캔_355ML*6</v>
      </c>
      <c r="S48" s="3">
        <f t="shared" si="1"/>
        <v>0</v>
      </c>
      <c r="T48" s="3">
        <f t="shared" si="1"/>
        <v>1</v>
      </c>
      <c r="U48" s="3">
        <f t="shared" si="2"/>
        <v>0</v>
      </c>
      <c r="V48" s="3">
        <f t="shared" si="1"/>
        <v>0</v>
      </c>
      <c r="W48" s="3" t="str">
        <f>INDEX($S$4:$V$4,MATCH(1,S48:V48,0))</f>
        <v>캔</v>
      </c>
      <c r="X48" s="3">
        <f t="shared" si="14"/>
        <v>0</v>
      </c>
      <c r="Y48" s="3">
        <f t="shared" si="14"/>
        <v>0</v>
      </c>
      <c r="Z48" s="3">
        <f t="shared" si="20"/>
        <v>1</v>
      </c>
      <c r="AA48" s="3">
        <f t="shared" si="14"/>
        <v>0</v>
      </c>
      <c r="AB48" s="3">
        <f t="shared" si="14"/>
        <v>0</v>
      </c>
      <c r="AC48" s="3">
        <f t="shared" si="14"/>
        <v>0</v>
      </c>
      <c r="AD48" s="3">
        <f t="shared" si="14"/>
        <v>0</v>
      </c>
      <c r="AE48" s="3">
        <f t="shared" si="14"/>
        <v>0</v>
      </c>
      <c r="AF48" s="3">
        <f t="shared" si="14"/>
        <v>0</v>
      </c>
      <c r="AG48" s="3" t="str">
        <f>IFERROR(INDEX($X$4:$AF$4,MATCH(1,X48:AF48,0)),-1)</f>
        <v>호가든</v>
      </c>
      <c r="AH48" s="18" t="str">
        <f t="shared" si="4"/>
        <v>Y</v>
      </c>
      <c r="AI48" s="18" t="str">
        <f t="shared" si="5"/>
        <v>6</v>
      </c>
      <c r="AJ48" s="18" t="str">
        <f t="shared" si="15"/>
        <v>N</v>
      </c>
      <c r="AK48" s="18">
        <f t="shared" si="16"/>
        <v>0</v>
      </c>
      <c r="AL48" s="2">
        <v>2</v>
      </c>
      <c r="AM48" s="2">
        <v>25800</v>
      </c>
    </row>
  </sheetData>
  <phoneticPr fontId="3" type="noConversion"/>
  <conditionalFormatting sqref="AI5:AI48">
    <cfRule type="cellIs" dxfId="4" priority="8" stopIfTrue="1" operator="greaterThan">
      <formula>0</formula>
    </cfRule>
  </conditionalFormatting>
  <conditionalFormatting sqref="AH5:AH48">
    <cfRule type="cellIs" dxfId="3" priority="6" stopIfTrue="1" operator="equal">
      <formula>"Y"</formula>
    </cfRule>
  </conditionalFormatting>
  <conditionalFormatting sqref="AJ5:AJ48">
    <cfRule type="cellIs" dxfId="2" priority="4" stopIfTrue="1" operator="equal">
      <formula>"Y"</formula>
    </cfRule>
  </conditionalFormatting>
  <conditionalFormatting sqref="AK5:AK48">
    <cfRule type="cellIs" dxfId="1" priority="3" stopIfTrue="1" operator="greaterThan">
      <formula>1</formula>
    </cfRule>
  </conditionalFormatting>
  <conditionalFormatting sqref="AO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1"/>
  <sheetViews>
    <sheetView zoomScaleNormal="100" workbookViewId="0">
      <selection activeCell="B13" sqref="B13"/>
    </sheetView>
  </sheetViews>
  <sheetFormatPr defaultColWidth="11.875" defaultRowHeight="29.25" customHeight="1" x14ac:dyDescent="0.3"/>
  <sheetData>
    <row r="3" spans="2:2" ht="29.25" customHeight="1" x14ac:dyDescent="0.3">
      <c r="B3" s="17" t="s">
        <v>80</v>
      </c>
    </row>
    <row r="4" spans="2:2" ht="29.25" customHeight="1" x14ac:dyDescent="0.3">
      <c r="B4" s="17" t="s">
        <v>81</v>
      </c>
    </row>
    <row r="5" spans="2:2" ht="29.25" customHeight="1" x14ac:dyDescent="0.3">
      <c r="B5" s="17" t="s">
        <v>89</v>
      </c>
    </row>
    <row r="6" spans="2:2" ht="29.25" customHeight="1" x14ac:dyDescent="0.3">
      <c r="B6" s="17" t="s">
        <v>88</v>
      </c>
    </row>
    <row r="7" spans="2:2" ht="29.25" customHeight="1" x14ac:dyDescent="0.3">
      <c r="B7" s="17" t="s">
        <v>87</v>
      </c>
    </row>
    <row r="8" spans="2:2" ht="29.25" customHeight="1" x14ac:dyDescent="0.3">
      <c r="B8" s="17" t="s">
        <v>86</v>
      </c>
    </row>
    <row r="9" spans="2:2" ht="29.25" customHeight="1" x14ac:dyDescent="0.3">
      <c r="B9" s="17" t="s">
        <v>85</v>
      </c>
    </row>
    <row r="10" spans="2:2" ht="29.25" customHeight="1" x14ac:dyDescent="0.3">
      <c r="B10" s="17" t="s">
        <v>84</v>
      </c>
    </row>
    <row r="11" spans="2:2" ht="29.25" customHeight="1" x14ac:dyDescent="0.3">
      <c r="B11" s="17" t="s">
        <v>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Text Mining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Registered User</cp:lastModifiedBy>
  <dcterms:created xsi:type="dcterms:W3CDTF">2013-08-30T08:33:01Z</dcterms:created>
  <dcterms:modified xsi:type="dcterms:W3CDTF">2017-08-11T06:32:13Z</dcterms:modified>
</cp:coreProperties>
</file>