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285" windowWidth="19440" windowHeight="12015" activeTab="1"/>
  </bookViews>
  <sheets>
    <sheet name="Tennis" sheetId="1" r:id="rId1"/>
    <sheet name="Computer" sheetId="2" r:id="rId2"/>
    <sheet name="GoodVariable" sheetId="4" r:id="rId3"/>
    <sheet name="Variable Rank" sheetId="3" r:id="rId4"/>
  </sheets>
  <definedNames>
    <definedName name="_xlnm._FilterDatabase" localSheetId="1" hidden="1">Computer!$A$2:$F$16</definedName>
    <definedName name="_xlnm._FilterDatabase" localSheetId="0" hidden="1">Tennis!$A$2:$F$16</definedName>
  </definedNames>
  <calcPr calcId="144525"/>
</workbook>
</file>

<file path=xl/calcChain.xml><?xml version="1.0" encoding="utf-8"?>
<calcChain xmlns="http://schemas.openxmlformats.org/spreadsheetml/2006/main">
  <c r="J5" i="2" l="1"/>
  <c r="I5" i="2"/>
  <c r="J2" i="2"/>
  <c r="J3" i="2" s="1"/>
  <c r="I2" i="2"/>
  <c r="I3" i="2" s="1"/>
  <c r="F17" i="2"/>
  <c r="F4" i="3"/>
  <c r="F5" i="3"/>
  <c r="F6" i="3"/>
  <c r="F7" i="3"/>
  <c r="F8" i="3"/>
  <c r="F9" i="3"/>
  <c r="F10" i="3"/>
  <c r="F11" i="3"/>
  <c r="F12" i="3"/>
  <c r="F3" i="3"/>
  <c r="B1" i="2"/>
  <c r="D1" i="2"/>
  <c r="F1" i="2" s="1"/>
  <c r="B1" i="1"/>
  <c r="D1" i="1" s="1"/>
  <c r="J4" i="2" l="1"/>
  <c r="I4" i="2"/>
  <c r="F1" i="1"/>
  <c r="L4" i="2" l="1"/>
  <c r="K4" i="2"/>
  <c r="M4" i="2" l="1"/>
  <c r="N4" i="2" s="1"/>
</calcChain>
</file>

<file path=xl/sharedStrings.xml><?xml version="1.0" encoding="utf-8"?>
<sst xmlns="http://schemas.openxmlformats.org/spreadsheetml/2006/main" count="232" uniqueCount="128">
  <si>
    <t>Play</t>
    <phoneticPr fontId="2" type="noConversion"/>
  </si>
  <si>
    <t>Don't Play</t>
    <phoneticPr fontId="2" type="noConversion"/>
  </si>
  <si>
    <t>Outlook</t>
    <phoneticPr fontId="2" type="noConversion"/>
  </si>
  <si>
    <t>Temp</t>
    <phoneticPr fontId="2" type="noConversion"/>
  </si>
  <si>
    <t>Humidity</t>
    <phoneticPr fontId="2" type="noConversion"/>
  </si>
  <si>
    <t>Windy</t>
    <phoneticPr fontId="2" type="noConversion"/>
  </si>
  <si>
    <t>Class</t>
    <phoneticPr fontId="2" type="noConversion"/>
  </si>
  <si>
    <t>ClassCode</t>
    <phoneticPr fontId="2" type="noConversion"/>
  </si>
  <si>
    <t>Sunny</t>
    <phoneticPr fontId="2" type="noConversion"/>
  </si>
  <si>
    <t>True</t>
    <phoneticPr fontId="2" type="noConversion"/>
  </si>
  <si>
    <t>False</t>
    <phoneticPr fontId="2" type="noConversion"/>
  </si>
  <si>
    <t>Overcast</t>
    <phoneticPr fontId="2" type="noConversion"/>
  </si>
  <si>
    <t>Rain</t>
    <phoneticPr fontId="2" type="noConversion"/>
  </si>
  <si>
    <t>high</t>
    <phoneticPr fontId="2" type="noConversion"/>
  </si>
  <si>
    <t>no</t>
    <phoneticPr fontId="2" type="noConversion"/>
  </si>
  <si>
    <t>fair</t>
    <phoneticPr fontId="2" type="noConversion"/>
  </si>
  <si>
    <t>excellent</t>
    <phoneticPr fontId="2" type="noConversion"/>
  </si>
  <si>
    <t>31-40</t>
    <phoneticPr fontId="2" type="noConversion"/>
  </si>
  <si>
    <t>yes</t>
    <phoneticPr fontId="2" type="noConversion"/>
  </si>
  <si>
    <t>medium</t>
    <phoneticPr fontId="2" type="noConversion"/>
  </si>
  <si>
    <t>low</t>
    <phoneticPr fontId="2" type="noConversion"/>
  </si>
  <si>
    <t>Yes</t>
    <phoneticPr fontId="2" type="noConversion"/>
  </si>
  <si>
    <t>No</t>
    <phoneticPr fontId="2" type="noConversion"/>
  </si>
  <si>
    <t>L1</t>
    <phoneticPr fontId="2" type="noConversion"/>
  </si>
  <si>
    <t>L2</t>
    <phoneticPr fontId="2" type="noConversion"/>
  </si>
  <si>
    <t>L3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</si>
  <si>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</si>
  <si>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</si>
  <si>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</si>
  <si>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</si>
  <si>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VARIABLE</t>
    <phoneticPr fontId="2" type="noConversion"/>
  </si>
  <si>
    <t>LEVEL</t>
    <phoneticPr fontId="2" type="noConversion"/>
  </si>
  <si>
    <t>YES</t>
    <phoneticPr fontId="2" type="noConversion"/>
  </si>
  <si>
    <t>NO</t>
    <phoneticPr fontId="2" type="noConversion"/>
  </si>
  <si>
    <t>SUM</t>
    <phoneticPr fontId="2" type="noConversion"/>
  </si>
  <si>
    <t>GINI-INDEX</t>
    <phoneticPr fontId="2" type="noConversion"/>
  </si>
  <si>
    <t>LEVEL RANK</t>
    <phoneticPr fontId="2" type="noConversion"/>
  </si>
  <si>
    <t>WEIGHTED GINI-INDEX</t>
    <phoneticPr fontId="2" type="noConversion"/>
  </si>
  <si>
    <t>VARIABLE RANK</t>
    <phoneticPr fontId="2" type="noConversion"/>
  </si>
  <si>
    <t>BAD</t>
  </si>
  <si>
    <t>GOOD</t>
  </si>
  <si>
    <t>SUM</t>
  </si>
  <si>
    <t>AT_0</t>
  </si>
  <si>
    <t>AT_1</t>
  </si>
  <si>
    <t>B_0</t>
  </si>
  <si>
    <t>B_1</t>
  </si>
  <si>
    <t>BD_0</t>
  </si>
  <si>
    <t>BD_1</t>
  </si>
  <si>
    <t>BS_0</t>
  </si>
  <si>
    <t>BS_1</t>
  </si>
  <si>
    <t>C_0</t>
  </si>
  <si>
    <t>C_1</t>
  </si>
  <si>
    <t>CID_0</t>
  </si>
  <si>
    <t>CID_1</t>
  </si>
  <si>
    <t>CT_0</t>
  </si>
  <si>
    <t>CT_1</t>
  </si>
  <si>
    <t>D_0</t>
  </si>
  <si>
    <t>D_1</t>
  </si>
  <si>
    <t>E_0</t>
  </si>
  <si>
    <t>E_1</t>
  </si>
  <si>
    <t>ED1_0</t>
  </si>
  <si>
    <t>ED1_1</t>
  </si>
  <si>
    <t>EK_0</t>
  </si>
  <si>
    <t>EK_1</t>
  </si>
  <si>
    <t>EP_0</t>
  </si>
  <si>
    <t>EP_1</t>
  </si>
  <si>
    <t>I_0</t>
  </si>
  <si>
    <t>I_1</t>
  </si>
  <si>
    <t>S1_0</t>
  </si>
  <si>
    <t>S1_1</t>
  </si>
  <si>
    <t>S2_0</t>
  </si>
  <si>
    <t>S2_1</t>
  </si>
  <si>
    <t>S3_0</t>
  </si>
  <si>
    <t>S3_1</t>
  </si>
  <si>
    <t>S4_0</t>
  </si>
  <si>
    <t>S4_1</t>
  </si>
  <si>
    <t>W_0</t>
  </si>
  <si>
    <t>W_1</t>
  </si>
  <si>
    <t>Z_0</t>
  </si>
  <si>
    <t>Z_1</t>
  </si>
  <si>
    <t>NO</t>
    <phoneticPr fontId="2" type="noConversion"/>
  </si>
  <si>
    <t>SS_0</t>
    <phoneticPr fontId="2" type="noConversion"/>
  </si>
  <si>
    <t>SS_1</t>
    <phoneticPr fontId="2" type="noConversion"/>
  </si>
  <si>
    <t>Variable_Level</t>
    <phoneticPr fontId="2" type="noConversion"/>
  </si>
  <si>
    <r>
      <rPr>
        <b/>
        <sz val="9"/>
        <rFont val="돋움"/>
        <family val="3"/>
        <charset val="129"/>
      </rPr>
      <t>불순도</t>
    </r>
    <phoneticPr fontId="2" type="noConversion"/>
  </si>
  <si>
    <r>
      <rPr>
        <b/>
        <sz val="9"/>
        <rFont val="돋움"/>
        <family val="3"/>
        <charset val="129"/>
      </rPr>
      <t>나이</t>
    </r>
    <phoneticPr fontId="2" type="noConversion"/>
  </si>
  <si>
    <r>
      <rPr>
        <b/>
        <sz val="9"/>
        <rFont val="돋움"/>
        <family val="3"/>
        <charset val="129"/>
      </rPr>
      <t>수입</t>
    </r>
    <phoneticPr fontId="2" type="noConversion"/>
  </si>
  <si>
    <r>
      <rPr>
        <b/>
        <sz val="9"/>
        <rFont val="돋움"/>
        <family val="3"/>
        <charset val="129"/>
      </rPr>
      <t>학생여부</t>
    </r>
    <phoneticPr fontId="2" type="noConversion"/>
  </si>
  <si>
    <r>
      <rPr>
        <b/>
        <sz val="9"/>
        <rFont val="돋움"/>
        <family val="3"/>
        <charset val="129"/>
      </rPr>
      <t>신용상태</t>
    </r>
    <phoneticPr fontId="2" type="noConversion"/>
  </si>
  <si>
    <r>
      <rPr>
        <b/>
        <sz val="9"/>
        <rFont val="돋움"/>
        <family val="3"/>
        <charset val="129"/>
      </rPr>
      <t>코딩</t>
    </r>
    <phoneticPr fontId="2" type="noConversion"/>
  </si>
  <si>
    <r>
      <t>30</t>
    </r>
    <r>
      <rPr>
        <b/>
        <sz val="10"/>
        <rFont val="돋움"/>
        <family val="3"/>
        <charset val="129"/>
      </rPr>
      <t>이하</t>
    </r>
    <phoneticPr fontId="2" type="noConversion"/>
  </si>
  <si>
    <r>
      <t>40</t>
    </r>
    <r>
      <rPr>
        <b/>
        <sz val="10"/>
        <rFont val="돋움"/>
        <family val="3"/>
        <charset val="129"/>
      </rPr>
      <t>초과</t>
    </r>
    <phoneticPr fontId="2" type="noConversion"/>
  </si>
  <si>
    <r>
      <rPr>
        <b/>
        <sz val="9"/>
        <rFont val="돋움"/>
        <family val="3"/>
        <charset val="129"/>
      </rPr>
      <t>컴퓨터</t>
    </r>
    <r>
      <rPr>
        <b/>
        <sz val="9"/>
        <rFont val="Trebuchet MS"/>
        <family val="2"/>
      </rPr>
      <t xml:space="preserve"> </t>
    </r>
    <r>
      <rPr>
        <b/>
        <sz val="9"/>
        <rFont val="돋움"/>
        <family val="3"/>
        <charset val="129"/>
      </rPr>
      <t>구매</t>
    </r>
    <phoneticPr fontId="2" type="noConversion"/>
  </si>
  <si>
    <r>
      <rPr>
        <b/>
        <sz val="10"/>
        <rFont val="돋움"/>
        <family val="3"/>
        <charset val="129"/>
      </rPr>
      <t>불순도</t>
    </r>
    <phoneticPr fontId="2" type="noConversion"/>
  </si>
  <si>
    <t>\[]'</t>
    <phoneticPr fontId="2" type="noConversion"/>
  </si>
  <si>
    <t>#CUSTOMER</t>
    <phoneticPr fontId="2" type="noConversion"/>
  </si>
  <si>
    <t>#BUYER</t>
    <phoneticPr fontId="2" type="noConversion"/>
  </si>
  <si>
    <t>Pr(BUY)</t>
  </si>
  <si>
    <t>Pr(BUY)</t>
    <phoneticPr fontId="2" type="noConversion"/>
  </si>
  <si>
    <t>RULE</t>
  </si>
  <si>
    <t>RULE</t>
    <phoneticPr fontId="2" type="noConversion"/>
  </si>
  <si>
    <t>IF [신용상태=fair AND 나이=31-40] THEN Pr(BUY)=100%</t>
  </si>
  <si>
    <t>IF [나이=30이하 AND 수입=low] THEN Pr(BUY)=100%</t>
  </si>
  <si>
    <t>IF [신용상태=fair AND 수입=low] THEN Pr(BUY)=100%</t>
  </si>
  <si>
    <t>IF [신용상태=fair AND 학생여부=yes] THEN Pr(BUY)=100%</t>
  </si>
  <si>
    <t>IF [학생여부=no AND 나이=31-40] THEN Pr(BUY)=100%</t>
  </si>
  <si>
    <t>IF [나이=30이하 AND 학생여부=yes] THEN Pr(BUY)=100%</t>
  </si>
  <si>
    <t>IF [학생여부=yes AND 수입=medium] THEN Pr(BUY)=100%</t>
  </si>
  <si>
    <t>IF [나이=31-40 AND 학생여부=yes] THEN Pr(BUY)=100%</t>
  </si>
  <si>
    <t>IF [수입=high AND 학생여부=yes] THEN Pr(BUY)=100%</t>
  </si>
  <si>
    <t>IF [나이=40초과 AND 신용상태=fair] THEN Pr(BUY)=100%</t>
  </si>
  <si>
    <t>IF [학생여부=yes AND 나이=31-40] THEN Pr(BUY)=100%</t>
  </si>
  <si>
    <t>IF [나이=31-40 AND 신용상태=excellent] THEN Pr(BUY)=100%</t>
  </si>
  <si>
    <t>IF [학생여부=yes AND 수입=high] THEN Pr(BUY)=100%</t>
  </si>
  <si>
    <t>IF [수입=medium AND 학생여부=yes] THEN Pr(BUY)=100%</t>
  </si>
  <si>
    <t>IF [학생여부=yes AND 나이=30이하] THEN Pr(BUY)=100%</t>
  </si>
  <si>
    <t>IF [나이=31-40 AND 신용상태=fair] THEN Pr(BUY)=100%</t>
  </si>
  <si>
    <t>IF [신용상태=excellent AND 나이=31-40] THEN Pr(BUY)=100%</t>
  </si>
  <si>
    <t>IF [신용상태=fair AND 나이=40초과] THEN Pr(BUY)=100%</t>
  </si>
  <si>
    <t>IF [수입=low AND 신용상태=fair] THEN Pr(BUY)=100%</t>
  </si>
  <si>
    <t>IF [나이=31-40 AND 학생여부=no] THEN Pr(BUY)=100%</t>
  </si>
  <si>
    <t>IF [학생여부=yes AND 신용상태=fair] THEN Pr(BUY)=100%</t>
  </si>
  <si>
    <t>IF [나이=31-40 AND 수입=high] THEN Pr(BUY)=100%</t>
  </si>
  <si>
    <t>IF [나이=31-40 AND 나이=31-40] THEN Pr(BUY)=100%</t>
  </si>
  <si>
    <t>IF [나이=31-40 AND 수입=medium] THEN Pr(BUY)=100%</t>
  </si>
  <si>
    <t>IF [나이=31-40 AND 수입=low] THEN Pr(BUY)=100%</t>
  </si>
  <si>
    <t>IF [수입=high AND 나이=31-40] THEN Pr(BUY)=100%</t>
  </si>
  <si>
    <t>IF [수입=medium AND 나이=31-40] THEN Pr(BUY)=100%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</si>
</sst>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9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Trebuchet MS"/>
      <family val="2"/>
    </font>
    <font>
      <b/>
      <sz val="10"/>
      <name val="Trebuchet MS"/>
      <family val="2"/>
    </font>
    <font>
      <sz val="11"/>
      <name val="Trebuchet MS"/>
      <family val="2"/>
    </font>
    <font>
      <sz val="10"/>
      <name val="Trebuchet MS"/>
      <family val="2"/>
    </font>
    <font>
      <sz val="10"/>
      <color indexed="9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ck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double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double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5" fillId="0" borderId="0" xfId="0" applyFont="1" applyFill="1">
      <alignment vertical="center"/>
    </xf>
    <xf numFmtId="0" fontId="5" fillId="0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quotePrefix="1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quotePrefix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quotePrefix="1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0" borderId="26" xfId="0" applyFont="1" applyBorder="1">
      <alignment vertical="center"/>
    </xf>
    <xf numFmtId="0" fontId="8" fillId="0" borderId="27" xfId="0" applyFont="1" applyBorder="1">
      <alignment vertical="center"/>
    </xf>
    <xf numFmtId="0" fontId="8" fillId="0" borderId="28" xfId="0" applyFont="1" applyBorder="1">
      <alignment vertical="center"/>
    </xf>
    <xf numFmtId="0" fontId="8" fillId="0" borderId="29" xfId="0" applyFont="1" applyBorder="1">
      <alignment vertical="center"/>
    </xf>
    <xf numFmtId="0" fontId="9" fillId="3" borderId="18" xfId="0" applyFont="1" applyFill="1" applyBorder="1">
      <alignment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7" fillId="0" borderId="30" xfId="0" applyFont="1" applyBorder="1">
      <alignment vertical="center"/>
    </xf>
    <xf numFmtId="0" fontId="7" fillId="4" borderId="30" xfId="0" applyFont="1" applyFill="1" applyBorder="1">
      <alignment vertical="center"/>
    </xf>
    <xf numFmtId="9" fontId="7" fillId="0" borderId="30" xfId="1" applyFont="1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7"/>
  <sheetViews>
    <sheetView showGridLines="0" workbookViewId="0">
      <selection activeCell="F16" sqref="A3:F16"/>
    </sheetView>
  </sheetViews>
  <sheetFormatPr defaultRowHeight="15" x14ac:dyDescent="0.15"/>
  <cols>
    <col min="1" max="1" width="11.109375" style="45" bestFit="1" customWidth="1"/>
    <col min="2" max="2" width="9.33203125" style="45" bestFit="1" customWidth="1"/>
    <col min="3" max="3" width="11.88671875" style="45" bestFit="1" customWidth="1"/>
    <col min="4" max="4" width="10" style="45" bestFit="1" customWidth="1"/>
    <col min="5" max="5" width="9.21875" style="45" bestFit="1" customWidth="1"/>
    <col min="6" max="6" width="12.88671875" style="45" bestFit="1" customWidth="1"/>
    <col min="7" max="16384" width="8.88671875" style="28"/>
  </cols>
  <sheetData>
    <row r="1" spans="1:6" ht="18" customHeight="1" thickTop="1" thickBot="1" x14ac:dyDescent="0.2">
      <c r="A1" s="24" t="s">
        <v>0</v>
      </c>
      <c r="B1" s="25">
        <f>SUBTOTAL(9,F3:F16)</f>
        <v>8</v>
      </c>
      <c r="C1" s="26" t="s">
        <v>1</v>
      </c>
      <c r="D1" s="25">
        <f>SUBTOTAL(2,F3:F16)-B1</f>
        <v>5</v>
      </c>
      <c r="E1" s="26" t="s">
        <v>93</v>
      </c>
      <c r="F1" s="27">
        <f>1-(B1/(B1+D1))^2-(D1/(B1+D1))^2</f>
        <v>0.47337278106508873</v>
      </c>
    </row>
    <row r="2" spans="1:6" ht="18" customHeight="1" thickTop="1" thickBot="1" x14ac:dyDescent="0.2">
      <c r="A2" s="29" t="s">
        <v>2</v>
      </c>
      <c r="B2" s="30" t="s">
        <v>3</v>
      </c>
      <c r="C2" s="30" t="s">
        <v>4</v>
      </c>
      <c r="D2" s="31" t="s">
        <v>5</v>
      </c>
      <c r="E2" s="29" t="s">
        <v>6</v>
      </c>
      <c r="F2" s="32" t="s">
        <v>7</v>
      </c>
    </row>
    <row r="3" spans="1:6" ht="18" customHeight="1" thickTop="1" thickBot="1" x14ac:dyDescent="0.2">
      <c r="A3" s="33" t="s">
        <v>8</v>
      </c>
      <c r="B3" s="34">
        <v>75</v>
      </c>
      <c r="C3" s="34">
        <v>70</v>
      </c>
      <c r="D3" s="35" t="s">
        <v>9</v>
      </c>
      <c r="E3" s="33" t="s">
        <v>0</v>
      </c>
      <c r="F3" s="36">
        <v>1</v>
      </c>
    </row>
    <row r="4" spans="1:6" ht="18" customHeight="1" thickBot="1" x14ac:dyDescent="0.2">
      <c r="A4" s="37" t="s">
        <v>8</v>
      </c>
      <c r="B4" s="38">
        <v>80</v>
      </c>
      <c r="C4" s="38">
        <v>90</v>
      </c>
      <c r="D4" s="39" t="s">
        <v>9</v>
      </c>
      <c r="E4" s="37" t="s">
        <v>1</v>
      </c>
      <c r="F4" s="40">
        <v>0</v>
      </c>
    </row>
    <row r="5" spans="1:6" ht="18" customHeight="1" thickBot="1" x14ac:dyDescent="0.2">
      <c r="A5" s="37" t="s">
        <v>8</v>
      </c>
      <c r="B5" s="38">
        <v>85</v>
      </c>
      <c r="C5" s="38">
        <v>85</v>
      </c>
      <c r="D5" s="39" t="s">
        <v>10</v>
      </c>
      <c r="E5" s="37" t="s">
        <v>1</v>
      </c>
      <c r="F5" s="40">
        <v>0</v>
      </c>
    </row>
    <row r="6" spans="1:6" ht="18" customHeight="1" thickBot="1" x14ac:dyDescent="0.2">
      <c r="A6" s="37" t="s">
        <v>8</v>
      </c>
      <c r="B6" s="38">
        <v>72</v>
      </c>
      <c r="C6" s="38">
        <v>95</v>
      </c>
      <c r="D6" s="39" t="s">
        <v>10</v>
      </c>
      <c r="E6" s="37" t="s">
        <v>1</v>
      </c>
      <c r="F6" s="40">
        <v>0</v>
      </c>
    </row>
    <row r="7" spans="1:6" ht="18" customHeight="1" thickBot="1" x14ac:dyDescent="0.2">
      <c r="A7" s="37" t="s">
        <v>8</v>
      </c>
      <c r="B7" s="38">
        <v>69</v>
      </c>
      <c r="C7" s="38">
        <v>70</v>
      </c>
      <c r="D7" s="39" t="s">
        <v>10</v>
      </c>
      <c r="E7" s="37" t="s">
        <v>0</v>
      </c>
      <c r="F7" s="40">
        <v>1</v>
      </c>
    </row>
    <row r="8" spans="1:6" ht="18" customHeight="1" thickBot="1" x14ac:dyDescent="0.2">
      <c r="A8" s="37" t="s">
        <v>11</v>
      </c>
      <c r="B8" s="38">
        <v>72</v>
      </c>
      <c r="C8" s="38">
        <v>90</v>
      </c>
      <c r="D8" s="39" t="s">
        <v>9</v>
      </c>
      <c r="E8" s="37" t="s">
        <v>0</v>
      </c>
      <c r="F8" s="40">
        <v>1</v>
      </c>
    </row>
    <row r="9" spans="1:6" ht="18" customHeight="1" thickBot="1" x14ac:dyDescent="0.2">
      <c r="A9" s="37" t="s">
        <v>11</v>
      </c>
      <c r="B9" s="38">
        <v>83</v>
      </c>
      <c r="C9" s="38">
        <v>78</v>
      </c>
      <c r="D9" s="39" t="s">
        <v>10</v>
      </c>
      <c r="E9" s="37" t="s">
        <v>0</v>
      </c>
      <c r="F9" s="40">
        <v>1</v>
      </c>
    </row>
    <row r="10" spans="1:6" ht="18" customHeight="1" thickBot="1" x14ac:dyDescent="0.2">
      <c r="A10" s="37" t="s">
        <v>11</v>
      </c>
      <c r="B10" s="38">
        <v>64</v>
      </c>
      <c r="C10" s="38">
        <v>65</v>
      </c>
      <c r="D10" s="39" t="s">
        <v>9</v>
      </c>
      <c r="E10" s="37" t="s">
        <v>0</v>
      </c>
      <c r="F10" s="40">
        <v>1</v>
      </c>
    </row>
    <row r="11" spans="1:6" ht="18" customHeight="1" thickBot="1" x14ac:dyDescent="0.2">
      <c r="A11" s="37" t="s">
        <v>11</v>
      </c>
      <c r="B11" s="38">
        <v>81</v>
      </c>
      <c r="C11" s="38">
        <v>75</v>
      </c>
      <c r="D11" s="39" t="s">
        <v>10</v>
      </c>
      <c r="E11" s="37" t="s">
        <v>0</v>
      </c>
      <c r="F11" s="40">
        <v>1</v>
      </c>
    </row>
    <row r="12" spans="1:6" ht="18" customHeight="1" thickBot="1" x14ac:dyDescent="0.2">
      <c r="A12" s="37" t="s">
        <v>12</v>
      </c>
      <c r="B12" s="38">
        <v>71</v>
      </c>
      <c r="C12" s="38">
        <v>80</v>
      </c>
      <c r="D12" s="39" t="s">
        <v>9</v>
      </c>
      <c r="E12" s="37" t="s">
        <v>1</v>
      </c>
      <c r="F12" s="40">
        <v>0</v>
      </c>
    </row>
    <row r="13" spans="1:6" ht="18" customHeight="1" thickBot="1" x14ac:dyDescent="0.2">
      <c r="A13" s="37" t="s">
        <v>12</v>
      </c>
      <c r="B13" s="38">
        <v>65</v>
      </c>
      <c r="C13" s="38">
        <v>70</v>
      </c>
      <c r="D13" s="39" t="s">
        <v>9</v>
      </c>
      <c r="E13" s="37" t="s">
        <v>1</v>
      </c>
      <c r="F13" s="40">
        <v>0</v>
      </c>
    </row>
    <row r="14" spans="1:6" ht="18" customHeight="1" thickBot="1" x14ac:dyDescent="0.2">
      <c r="A14" s="37" t="s">
        <v>12</v>
      </c>
      <c r="B14" s="38">
        <v>75</v>
      </c>
      <c r="C14" s="38">
        <v>80</v>
      </c>
      <c r="D14" s="39" t="s">
        <v>10</v>
      </c>
      <c r="E14" s="37" t="s">
        <v>0</v>
      </c>
      <c r="F14" s="40">
        <v>1</v>
      </c>
    </row>
    <row r="15" spans="1:6" ht="18" customHeight="1" thickBot="1" x14ac:dyDescent="0.2">
      <c r="A15" s="37" t="s">
        <v>12</v>
      </c>
      <c r="B15" s="38">
        <v>68</v>
      </c>
      <c r="C15" s="38">
        <v>80</v>
      </c>
      <c r="D15" s="39" t="s">
        <v>10</v>
      </c>
      <c r="E15" s="37" t="s">
        <v>0</v>
      </c>
      <c r="F15" s="40">
        <v>1</v>
      </c>
    </row>
    <row r="16" spans="1:6" ht="18" customHeight="1" thickBot="1" x14ac:dyDescent="0.2">
      <c r="A16" s="41" t="s">
        <v>12</v>
      </c>
      <c r="B16" s="42">
        <v>70</v>
      </c>
      <c r="C16" s="42">
        <v>96</v>
      </c>
      <c r="D16" s="43" t="s">
        <v>10</v>
      </c>
      <c r="E16" s="41" t="s">
        <v>0</v>
      </c>
      <c r="F16" s="44" t="s">
        <v>94</v>
      </c>
    </row>
    <row r="17" ht="15.75" thickTop="1" x14ac:dyDescent="0.15"/>
  </sheetData>
  <autoFilter ref="A2:F16"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10"/>
  <sheetViews>
    <sheetView showGridLines="0" tabSelected="1" topLeftCell="H7" workbookViewId="0">
      <selection activeCell="O68" sqref="O68"/>
    </sheetView>
  </sheetViews>
  <sheetFormatPr defaultRowHeight="16.5" x14ac:dyDescent="0.15"/>
  <cols>
    <col min="1" max="4" width="8.88671875" style="13"/>
    <col min="5" max="5" width="11.33203125" style="13" customWidth="1"/>
    <col min="6" max="6" width="8.88671875" style="13"/>
    <col min="7" max="7" width="5.109375" style="13" customWidth="1"/>
    <col min="8" max="8" width="4.88671875" style="13" customWidth="1"/>
    <col min="9" max="9" width="8" style="13" bestFit="1" customWidth="1"/>
    <col min="10" max="10" width="6.44140625" style="13" bestFit="1" customWidth="1"/>
    <col min="11" max="11" width="10.33203125" style="13" bestFit="1" customWidth="1"/>
    <col min="12" max="13" width="8.88671875" style="13"/>
    <col min="14" max="14" width="45.33203125" style="13" bestFit="1" customWidth="1"/>
    <col min="15" max="15" width="7.21875" style="13" bestFit="1" customWidth="1"/>
    <col min="16" max="16384" width="8.88671875" style="13"/>
  </cols>
  <sheetData>
    <row r="1" spans="1:15" ht="18" thickTop="1" thickBot="1" x14ac:dyDescent="0.2">
      <c r="A1" s="9" t="s">
        <v>21</v>
      </c>
      <c r="B1" s="10">
        <f>SUBTOTAL(9,F3:F16)</f>
        <v>9</v>
      </c>
      <c r="C1" s="11" t="s">
        <v>22</v>
      </c>
      <c r="D1" s="10">
        <f>SUBTOTAL(2,F3:F16)-B1</f>
        <v>5</v>
      </c>
      <c r="E1" s="11" t="s">
        <v>84</v>
      </c>
      <c r="F1" s="12">
        <f>1-(B1/(B1+D1))^2-(D1/(B1+D1))^2</f>
        <v>0.45918367346938771</v>
      </c>
      <c r="I1" s="13">
        <v>4</v>
      </c>
      <c r="J1" s="13">
        <v>14</v>
      </c>
    </row>
    <row r="2" spans="1:15" ht="18.75" customHeight="1" thickTop="1" thickBot="1" x14ac:dyDescent="0.2">
      <c r="A2" s="57" t="s">
        <v>85</v>
      </c>
      <c r="B2" s="57" t="s">
        <v>86</v>
      </c>
      <c r="C2" s="57" t="s">
        <v>87</v>
      </c>
      <c r="D2" s="57" t="s">
        <v>88</v>
      </c>
      <c r="E2" s="14" t="s">
        <v>92</v>
      </c>
      <c r="F2" s="15" t="s">
        <v>89</v>
      </c>
      <c r="I2" s="13">
        <f ca="1">RANDBETWEEN(1,4)</f>
        <v>4</v>
      </c>
      <c r="J2" s="13">
        <f ca="1">RANDBETWEEN(1,4)</f>
        <v>3</v>
      </c>
    </row>
    <row r="3" spans="1:15" ht="18.75" customHeight="1" thickTop="1" x14ac:dyDescent="0.15">
      <c r="A3" s="16" t="s">
        <v>90</v>
      </c>
      <c r="B3" s="16" t="s">
        <v>13</v>
      </c>
      <c r="C3" s="16" t="s">
        <v>14</v>
      </c>
      <c r="D3" s="16" t="s">
        <v>15</v>
      </c>
      <c r="E3" s="17" t="s">
        <v>14</v>
      </c>
      <c r="F3" s="18">
        <v>0</v>
      </c>
      <c r="I3" s="59" t="str">
        <f ca="1">INDEX($A$2:$D$2,I2)</f>
        <v>신용상태</v>
      </c>
      <c r="J3" s="59" t="str">
        <f ca="1">INDEX($A$2:$D$2,J2)</f>
        <v>학생여부</v>
      </c>
      <c r="K3" s="58" t="s">
        <v>95</v>
      </c>
      <c r="L3" s="58" t="s">
        <v>96</v>
      </c>
      <c r="M3" s="58" t="s">
        <v>98</v>
      </c>
      <c r="N3" s="58" t="s">
        <v>100</v>
      </c>
    </row>
    <row r="4" spans="1:15" ht="18.75" customHeight="1" x14ac:dyDescent="0.15">
      <c r="A4" s="16" t="s">
        <v>90</v>
      </c>
      <c r="B4" s="16" t="s">
        <v>13</v>
      </c>
      <c r="C4" s="16" t="s">
        <v>14</v>
      </c>
      <c r="D4" s="16" t="s">
        <v>16</v>
      </c>
      <c r="E4" s="19" t="s">
        <v>14</v>
      </c>
      <c r="F4" s="20">
        <v>0</v>
      </c>
      <c r="I4" s="58" t="str">
        <f ca="1">INDEX($A$3:$D$16,I5,I2)</f>
        <v>fair</v>
      </c>
      <c r="J4" s="58" t="str">
        <f ca="1">INDEX($A$3:$D$16,J5,J2)</f>
        <v>no</v>
      </c>
      <c r="K4" s="58">
        <f ca="1">DCOUNTA($A$2:$F$16,1,I3:J4)</f>
        <v>4</v>
      </c>
      <c r="L4" s="58">
        <f ca="1">DSUM($A$2:$F$16,$F$2,I3:J4)</f>
        <v>2</v>
      </c>
      <c r="M4" s="60">
        <f ca="1">IFERROR(L4/K4,-1)</f>
        <v>0.5</v>
      </c>
      <c r="N4" s="58" t="str">
        <f ca="1" xml:space="preserve"> "IF ["&amp;$I$3&amp;"="&amp;$I$4&amp;" AND "&amp;$J$3&amp;"="&amp;$J$4&amp;"] THEN Pr(BUY)="&amp;FLOOR($M$4*100,0.01)&amp;"%"</f>
        <v>IF [신용상태=fair AND 학생여부=no] THEN Pr(BUY)=50%</v>
      </c>
    </row>
    <row r="5" spans="1:15" ht="18.75" customHeight="1" x14ac:dyDescent="0.15">
      <c r="A5" s="16" t="s">
        <v>17</v>
      </c>
      <c r="B5" s="16" t="s">
        <v>13</v>
      </c>
      <c r="C5" s="16" t="s">
        <v>14</v>
      </c>
      <c r="D5" s="16" t="s">
        <v>15</v>
      </c>
      <c r="E5" s="19" t="s">
        <v>18</v>
      </c>
      <c r="F5" s="20">
        <v>1</v>
      </c>
      <c r="I5" s="13">
        <f ca="1">RANDBETWEEN(1,14)</f>
        <v>5</v>
      </c>
      <c r="J5" s="13">
        <f ca="1">RANDBETWEEN(1,14)</f>
        <v>1</v>
      </c>
    </row>
    <row r="6" spans="1:15" ht="18.75" customHeight="1" x14ac:dyDescent="0.15">
      <c r="A6" s="16" t="s">
        <v>91</v>
      </c>
      <c r="B6" s="16" t="s">
        <v>19</v>
      </c>
      <c r="C6" s="16" t="s">
        <v>14</v>
      </c>
      <c r="D6" s="16" t="s">
        <v>15</v>
      </c>
      <c r="E6" s="19" t="s">
        <v>18</v>
      </c>
      <c r="F6" s="20">
        <v>1</v>
      </c>
    </row>
    <row r="7" spans="1:15" ht="18.75" customHeight="1" x14ac:dyDescent="0.15">
      <c r="A7" s="16" t="s">
        <v>91</v>
      </c>
      <c r="B7" s="16" t="s">
        <v>20</v>
      </c>
      <c r="C7" s="16" t="s">
        <v>18</v>
      </c>
      <c r="D7" s="16" t="s">
        <v>15</v>
      </c>
      <c r="E7" s="19" t="s">
        <v>18</v>
      </c>
      <c r="F7" s="20">
        <v>1</v>
      </c>
      <c r="M7" s="13">
        <v>300</v>
      </c>
      <c r="N7" s="13" t="s">
        <v>99</v>
      </c>
      <c r="O7" s="13" t="s">
        <v>97</v>
      </c>
    </row>
    <row r="8" spans="1:15" ht="18.75" customHeight="1" x14ac:dyDescent="0.15">
      <c r="A8" s="16" t="s">
        <v>91</v>
      </c>
      <c r="B8" s="16" t="s">
        <v>20</v>
      </c>
      <c r="C8" s="16" t="s">
        <v>18</v>
      </c>
      <c r="D8" s="16" t="s">
        <v>16</v>
      </c>
      <c r="E8" s="19" t="s">
        <v>14</v>
      </c>
      <c r="F8" s="20">
        <v>0</v>
      </c>
      <c r="N8" s="13" t="s">
        <v>101</v>
      </c>
      <c r="O8" s="13">
        <v>1</v>
      </c>
    </row>
    <row r="9" spans="1:15" ht="18.75" customHeight="1" x14ac:dyDescent="0.15">
      <c r="A9" s="16" t="s">
        <v>17</v>
      </c>
      <c r="B9" s="16" t="s">
        <v>20</v>
      </c>
      <c r="C9" s="16" t="s">
        <v>18</v>
      </c>
      <c r="D9" s="16" t="s">
        <v>16</v>
      </c>
      <c r="E9" s="19" t="s">
        <v>18</v>
      </c>
      <c r="F9" s="20">
        <v>1</v>
      </c>
      <c r="N9" s="13" t="s">
        <v>102</v>
      </c>
      <c r="O9" s="13">
        <v>1</v>
      </c>
    </row>
    <row r="10" spans="1:15" ht="18.75" customHeight="1" x14ac:dyDescent="0.15">
      <c r="A10" s="16" t="s">
        <v>90</v>
      </c>
      <c r="B10" s="16" t="s">
        <v>19</v>
      </c>
      <c r="C10" s="16" t="s">
        <v>14</v>
      </c>
      <c r="D10" s="16" t="s">
        <v>15</v>
      </c>
      <c r="E10" s="19" t="s">
        <v>14</v>
      </c>
      <c r="F10" s="20">
        <v>0</v>
      </c>
      <c r="N10" s="13" t="s">
        <v>103</v>
      </c>
      <c r="O10" s="13">
        <v>1</v>
      </c>
    </row>
    <row r="11" spans="1:15" ht="18.75" customHeight="1" x14ac:dyDescent="0.15">
      <c r="A11" s="16" t="s">
        <v>90</v>
      </c>
      <c r="B11" s="16" t="s">
        <v>20</v>
      </c>
      <c r="C11" s="16" t="s">
        <v>18</v>
      </c>
      <c r="D11" s="16" t="s">
        <v>15</v>
      </c>
      <c r="E11" s="19" t="s">
        <v>18</v>
      </c>
      <c r="F11" s="20">
        <v>1</v>
      </c>
      <c r="N11" s="13" t="s">
        <v>104</v>
      </c>
      <c r="O11" s="13">
        <v>1</v>
      </c>
    </row>
    <row r="12" spans="1:15" ht="18.75" customHeight="1" x14ac:dyDescent="0.15">
      <c r="A12" s="16" t="s">
        <v>91</v>
      </c>
      <c r="B12" s="16" t="s">
        <v>19</v>
      </c>
      <c r="C12" s="16" t="s">
        <v>18</v>
      </c>
      <c r="D12" s="16" t="s">
        <v>15</v>
      </c>
      <c r="E12" s="19" t="s">
        <v>18</v>
      </c>
      <c r="F12" s="20">
        <v>1</v>
      </c>
      <c r="N12" s="13" t="s">
        <v>105</v>
      </c>
      <c r="O12" s="13">
        <v>1</v>
      </c>
    </row>
    <row r="13" spans="1:15" ht="18.75" customHeight="1" x14ac:dyDescent="0.15">
      <c r="A13" s="16" t="s">
        <v>90</v>
      </c>
      <c r="B13" s="16" t="s">
        <v>19</v>
      </c>
      <c r="C13" s="16" t="s">
        <v>18</v>
      </c>
      <c r="D13" s="16" t="s">
        <v>16</v>
      </c>
      <c r="E13" s="19" t="s">
        <v>18</v>
      </c>
      <c r="F13" s="20">
        <v>1</v>
      </c>
      <c r="N13" s="13" t="s">
        <v>106</v>
      </c>
      <c r="O13" s="13">
        <v>1</v>
      </c>
    </row>
    <row r="14" spans="1:15" ht="18.75" customHeight="1" x14ac:dyDescent="0.15">
      <c r="A14" s="16" t="s">
        <v>17</v>
      </c>
      <c r="B14" s="16" t="s">
        <v>19</v>
      </c>
      <c r="C14" s="16" t="s">
        <v>14</v>
      </c>
      <c r="D14" s="16" t="s">
        <v>16</v>
      </c>
      <c r="E14" s="19" t="s">
        <v>18</v>
      </c>
      <c r="F14" s="20">
        <v>1</v>
      </c>
      <c r="N14" s="13" t="s">
        <v>107</v>
      </c>
      <c r="O14" s="13">
        <v>1</v>
      </c>
    </row>
    <row r="15" spans="1:15" ht="18.75" customHeight="1" x14ac:dyDescent="0.15">
      <c r="A15" s="16" t="s">
        <v>17</v>
      </c>
      <c r="B15" s="16" t="s">
        <v>13</v>
      </c>
      <c r="C15" s="16" t="s">
        <v>18</v>
      </c>
      <c r="D15" s="16" t="s">
        <v>15</v>
      </c>
      <c r="E15" s="19" t="s">
        <v>18</v>
      </c>
      <c r="F15" s="20">
        <v>1</v>
      </c>
      <c r="N15" s="13" t="s">
        <v>108</v>
      </c>
      <c r="O15" s="13">
        <v>1</v>
      </c>
    </row>
    <row r="16" spans="1:15" ht="18.75" customHeight="1" thickBot="1" x14ac:dyDescent="0.2">
      <c r="A16" s="21" t="s">
        <v>91</v>
      </c>
      <c r="B16" s="21" t="s">
        <v>19</v>
      </c>
      <c r="C16" s="21" t="s">
        <v>14</v>
      </c>
      <c r="D16" s="21" t="s">
        <v>16</v>
      </c>
      <c r="E16" s="22" t="s">
        <v>14</v>
      </c>
      <c r="F16" s="23">
        <v>0</v>
      </c>
      <c r="N16" s="13" t="s">
        <v>109</v>
      </c>
      <c r="O16" s="13">
        <v>1</v>
      </c>
    </row>
    <row r="17" spans="6:15" ht="17.25" thickTop="1" x14ac:dyDescent="0.15">
      <c r="F17" s="13">
        <f>SUBTOTAL(9,F3:F16)</f>
        <v>9</v>
      </c>
      <c r="N17" t="s">
        <v>110</v>
      </c>
      <c r="O17" s="13">
        <v>1</v>
      </c>
    </row>
    <row r="18" spans="6:15" x14ac:dyDescent="0.15">
      <c r="N18" t="s">
        <v>111</v>
      </c>
      <c r="O18" s="13">
        <v>1</v>
      </c>
    </row>
    <row r="19" spans="6:15" x14ac:dyDescent="0.15">
      <c r="N19" t="s">
        <v>112</v>
      </c>
      <c r="O19" s="13">
        <v>1</v>
      </c>
    </row>
    <row r="20" spans="6:15" x14ac:dyDescent="0.15">
      <c r="N20" t="s">
        <v>113</v>
      </c>
      <c r="O20" s="13">
        <v>1</v>
      </c>
    </row>
    <row r="21" spans="6:15" x14ac:dyDescent="0.15">
      <c r="N21" t="s">
        <v>114</v>
      </c>
      <c r="O21" s="13">
        <v>1</v>
      </c>
    </row>
    <row r="22" spans="6:15" x14ac:dyDescent="0.15">
      <c r="N22" t="s">
        <v>115</v>
      </c>
      <c r="O22" s="13">
        <v>1</v>
      </c>
    </row>
    <row r="23" spans="6:15" x14ac:dyDescent="0.15">
      <c r="N23" t="s">
        <v>116</v>
      </c>
      <c r="O23" s="13">
        <v>1</v>
      </c>
    </row>
    <row r="24" spans="6:15" x14ac:dyDescent="0.15">
      <c r="N24" t="s">
        <v>117</v>
      </c>
      <c r="O24" s="13">
        <v>1</v>
      </c>
    </row>
    <row r="25" spans="6:15" x14ac:dyDescent="0.15">
      <c r="N25" t="s">
        <v>118</v>
      </c>
      <c r="O25" s="13">
        <v>1</v>
      </c>
    </row>
    <row r="26" spans="6:15" x14ac:dyDescent="0.15">
      <c r="N26" t="s">
        <v>119</v>
      </c>
      <c r="O26" s="13">
        <v>1</v>
      </c>
    </row>
    <row r="27" spans="6:15" x14ac:dyDescent="0.15">
      <c r="N27" t="s">
        <v>120</v>
      </c>
      <c r="O27" s="13">
        <v>1</v>
      </c>
    </row>
    <row r="28" spans="6:15" x14ac:dyDescent="0.15">
      <c r="N28" t="s">
        <v>121</v>
      </c>
      <c r="O28" s="13">
        <v>1</v>
      </c>
    </row>
    <row r="29" spans="6:15" x14ac:dyDescent="0.15">
      <c r="N29" t="s">
        <v>122</v>
      </c>
      <c r="O29" s="13">
        <v>1</v>
      </c>
    </row>
    <row r="30" spans="6:15" x14ac:dyDescent="0.15">
      <c r="N30" t="s">
        <v>123</v>
      </c>
      <c r="O30" s="13">
        <v>1</v>
      </c>
    </row>
    <row r="31" spans="6:15" x14ac:dyDescent="0.15">
      <c r="N31" t="s">
        <v>124</v>
      </c>
      <c r="O31" s="13">
        <v>1</v>
      </c>
    </row>
    <row r="32" spans="6:15" x14ac:dyDescent="0.15">
      <c r="M32"/>
      <c r="N32" t="s">
        <v>125</v>
      </c>
      <c r="O32">
        <v>1</v>
      </c>
    </row>
    <row r="33" spans="13:15" x14ac:dyDescent="0.15">
      <c r="M33"/>
      <c r="N33" t="s">
        <v>126</v>
      </c>
      <c r="O33">
        <v>1</v>
      </c>
    </row>
    <row r="34" spans="13:15" x14ac:dyDescent="0.15">
      <c r="M34"/>
      <c r="N34" t="s">
        <v>127</v>
      </c>
      <c r="O34">
        <v>1</v>
      </c>
    </row>
    <row r="35" spans="13:15" x14ac:dyDescent="0.15">
      <c r="M35"/>
      <c r="N35"/>
      <c r="O35">
        <v>1</v>
      </c>
    </row>
    <row r="36" spans="13:15" x14ac:dyDescent="0.15">
      <c r="M36"/>
      <c r="N36"/>
      <c r="O36">
        <v>1</v>
      </c>
    </row>
    <row r="37" spans="13:15" x14ac:dyDescent="0.15">
      <c r="M37"/>
      <c r="N37"/>
      <c r="O37">
        <v>1</v>
      </c>
    </row>
    <row r="38" spans="13:15" x14ac:dyDescent="0.15">
      <c r="M38"/>
      <c r="N38"/>
      <c r="O38">
        <v>1</v>
      </c>
    </row>
    <row r="39" spans="13:15" x14ac:dyDescent="0.15">
      <c r="M39"/>
      <c r="N39"/>
      <c r="O39">
        <v>1</v>
      </c>
    </row>
    <row r="40" spans="13:15" x14ac:dyDescent="0.15">
      <c r="M40"/>
      <c r="N40"/>
      <c r="O40">
        <v>1</v>
      </c>
    </row>
    <row r="41" spans="13:15" x14ac:dyDescent="0.15">
      <c r="M41"/>
      <c r="N41"/>
      <c r="O41">
        <v>1</v>
      </c>
    </row>
    <row r="42" spans="13:15" x14ac:dyDescent="0.15">
      <c r="M42"/>
      <c r="N42"/>
      <c r="O42">
        <v>1</v>
      </c>
    </row>
    <row r="43" spans="13:15" x14ac:dyDescent="0.15">
      <c r="M43"/>
      <c r="N43"/>
      <c r="O43">
        <v>1</v>
      </c>
    </row>
    <row r="44" spans="13:15" x14ac:dyDescent="0.15">
      <c r="M44"/>
      <c r="N44"/>
      <c r="O44">
        <v>1</v>
      </c>
    </row>
    <row r="45" spans="13:15" x14ac:dyDescent="0.15">
      <c r="M45"/>
      <c r="N45"/>
      <c r="O45">
        <v>1</v>
      </c>
    </row>
    <row r="46" spans="13:15" x14ac:dyDescent="0.15">
      <c r="M46"/>
      <c r="N46"/>
      <c r="O46">
        <v>1</v>
      </c>
    </row>
    <row r="47" spans="13:15" x14ac:dyDescent="0.15">
      <c r="M47"/>
      <c r="N47"/>
      <c r="O47">
        <v>1</v>
      </c>
    </row>
    <row r="48" spans="13:15" x14ac:dyDescent="0.15">
      <c r="M48"/>
      <c r="N48"/>
      <c r="O48">
        <v>1</v>
      </c>
    </row>
    <row r="49" spans="13:15" x14ac:dyDescent="0.15">
      <c r="M49"/>
      <c r="N49"/>
      <c r="O49">
        <v>1</v>
      </c>
    </row>
    <row r="50" spans="13:15" x14ac:dyDescent="0.15">
      <c r="M50"/>
      <c r="N50"/>
      <c r="O50">
        <v>1</v>
      </c>
    </row>
    <row r="51" spans="13:15" x14ac:dyDescent="0.15">
      <c r="M51"/>
      <c r="N51"/>
      <c r="O51">
        <v>1</v>
      </c>
    </row>
    <row r="52" spans="13:15" x14ac:dyDescent="0.15">
      <c r="M52"/>
      <c r="N52"/>
      <c r="O52">
        <v>1</v>
      </c>
    </row>
    <row r="53" spans="13:15" x14ac:dyDescent="0.15">
      <c r="M53"/>
      <c r="N53"/>
      <c r="O53">
        <v>1</v>
      </c>
    </row>
    <row r="54" spans="13:15" x14ac:dyDescent="0.15">
      <c r="M54"/>
      <c r="N54"/>
      <c r="O54">
        <v>1</v>
      </c>
    </row>
    <row r="55" spans="13:15" x14ac:dyDescent="0.15">
      <c r="M55"/>
      <c r="N55"/>
      <c r="O55">
        <v>1</v>
      </c>
    </row>
    <row r="56" spans="13:15" x14ac:dyDescent="0.15">
      <c r="M56"/>
      <c r="N56"/>
      <c r="O56">
        <v>1</v>
      </c>
    </row>
    <row r="57" spans="13:15" x14ac:dyDescent="0.15">
      <c r="M57"/>
      <c r="N57"/>
      <c r="O57">
        <v>1</v>
      </c>
    </row>
    <row r="58" spans="13:15" x14ac:dyDescent="0.15">
      <c r="M58"/>
      <c r="N58"/>
      <c r="O58">
        <v>1</v>
      </c>
    </row>
    <row r="59" spans="13:15" x14ac:dyDescent="0.15">
      <c r="M59"/>
      <c r="N59"/>
      <c r="O59">
        <v>1</v>
      </c>
    </row>
    <row r="60" spans="13:15" x14ac:dyDescent="0.15">
      <c r="M60"/>
      <c r="N60"/>
      <c r="O60">
        <v>1</v>
      </c>
    </row>
    <row r="61" spans="13:15" x14ac:dyDescent="0.15">
      <c r="M61"/>
      <c r="N61"/>
      <c r="O61">
        <v>1</v>
      </c>
    </row>
    <row r="62" spans="13:15" x14ac:dyDescent="0.15">
      <c r="M62"/>
      <c r="N62"/>
      <c r="O62">
        <v>1</v>
      </c>
    </row>
    <row r="63" spans="13:15" x14ac:dyDescent="0.15">
      <c r="M63"/>
      <c r="N63"/>
      <c r="O63">
        <v>1</v>
      </c>
    </row>
    <row r="64" spans="13:15" x14ac:dyDescent="0.15">
      <c r="M64"/>
      <c r="N64"/>
      <c r="O64">
        <v>1</v>
      </c>
    </row>
    <row r="65" spans="13:15" x14ac:dyDescent="0.15">
      <c r="M65"/>
      <c r="N65"/>
      <c r="O65">
        <v>1</v>
      </c>
    </row>
    <row r="66" spans="13:15" x14ac:dyDescent="0.15">
      <c r="M66"/>
      <c r="N66"/>
      <c r="O66">
        <v>1</v>
      </c>
    </row>
    <row r="67" spans="13:15" x14ac:dyDescent="0.15">
      <c r="M67"/>
      <c r="N67"/>
      <c r="O67">
        <v>1</v>
      </c>
    </row>
    <row r="68" spans="13:15" x14ac:dyDescent="0.15">
      <c r="M68"/>
      <c r="N68"/>
      <c r="O68">
        <v>1</v>
      </c>
    </row>
    <row r="69" spans="13:15" x14ac:dyDescent="0.15">
      <c r="M69"/>
      <c r="N69"/>
      <c r="O69">
        <v>1</v>
      </c>
    </row>
    <row r="70" spans="13:15" x14ac:dyDescent="0.15">
      <c r="M70"/>
      <c r="N70"/>
      <c r="O70">
        <v>1</v>
      </c>
    </row>
    <row r="71" spans="13:15" x14ac:dyDescent="0.15">
      <c r="M71"/>
      <c r="N71"/>
      <c r="O71">
        <v>1</v>
      </c>
    </row>
    <row r="72" spans="13:15" x14ac:dyDescent="0.15">
      <c r="M72"/>
      <c r="N72"/>
      <c r="O72">
        <v>1</v>
      </c>
    </row>
    <row r="73" spans="13:15" x14ac:dyDescent="0.15">
      <c r="M73"/>
      <c r="N73"/>
      <c r="O73">
        <v>1</v>
      </c>
    </row>
    <row r="74" spans="13:15" x14ac:dyDescent="0.15">
      <c r="M74"/>
      <c r="N74"/>
      <c r="O74">
        <v>1</v>
      </c>
    </row>
    <row r="75" spans="13:15" x14ac:dyDescent="0.15">
      <c r="M75"/>
      <c r="N75"/>
      <c r="O75">
        <v>1</v>
      </c>
    </row>
    <row r="76" spans="13:15" x14ac:dyDescent="0.15">
      <c r="M76"/>
      <c r="N76"/>
      <c r="O76">
        <v>1</v>
      </c>
    </row>
    <row r="77" spans="13:15" x14ac:dyDescent="0.15">
      <c r="M77"/>
      <c r="N77"/>
      <c r="O77">
        <v>1</v>
      </c>
    </row>
    <row r="78" spans="13:15" x14ac:dyDescent="0.15">
      <c r="M78"/>
      <c r="N78"/>
      <c r="O78">
        <v>1</v>
      </c>
    </row>
    <row r="79" spans="13:15" x14ac:dyDescent="0.15">
      <c r="M79"/>
      <c r="N79"/>
      <c r="O79">
        <v>1</v>
      </c>
    </row>
    <row r="80" spans="13:15" x14ac:dyDescent="0.15">
      <c r="M80"/>
      <c r="N80"/>
      <c r="O80">
        <v>1</v>
      </c>
    </row>
    <row r="81" spans="13:15" x14ac:dyDescent="0.15">
      <c r="M81"/>
      <c r="N81"/>
      <c r="O81">
        <v>1</v>
      </c>
    </row>
    <row r="82" spans="13:15" x14ac:dyDescent="0.15">
      <c r="M82"/>
      <c r="N82"/>
      <c r="O82">
        <v>1</v>
      </c>
    </row>
    <row r="83" spans="13:15" x14ac:dyDescent="0.15">
      <c r="M83"/>
      <c r="N83"/>
      <c r="O83">
        <v>1</v>
      </c>
    </row>
    <row r="84" spans="13:15" x14ac:dyDescent="0.15">
      <c r="M84"/>
      <c r="N84"/>
      <c r="O84">
        <v>1</v>
      </c>
    </row>
    <row r="85" spans="13:15" x14ac:dyDescent="0.15">
      <c r="M85"/>
      <c r="N85"/>
      <c r="O85">
        <v>1</v>
      </c>
    </row>
    <row r="86" spans="13:15" x14ac:dyDescent="0.15">
      <c r="M86"/>
      <c r="N86"/>
      <c r="O86">
        <v>1</v>
      </c>
    </row>
    <row r="87" spans="13:15" x14ac:dyDescent="0.15">
      <c r="M87"/>
      <c r="N87"/>
      <c r="O87">
        <v>1</v>
      </c>
    </row>
    <row r="88" spans="13:15" x14ac:dyDescent="0.15">
      <c r="M88"/>
      <c r="N88"/>
      <c r="O88"/>
    </row>
    <row r="89" spans="13:15" x14ac:dyDescent="0.15">
      <c r="M89"/>
      <c r="N89"/>
      <c r="O89"/>
    </row>
    <row r="90" spans="13:15" x14ac:dyDescent="0.15">
      <c r="M90"/>
      <c r="N90"/>
      <c r="O90"/>
    </row>
    <row r="91" spans="13:15" x14ac:dyDescent="0.15">
      <c r="M91"/>
      <c r="N91"/>
      <c r="O91"/>
    </row>
    <row r="92" spans="13:15" x14ac:dyDescent="0.15">
      <c r="M92"/>
      <c r="N92"/>
      <c r="O92"/>
    </row>
    <row r="93" spans="13:15" x14ac:dyDescent="0.15">
      <c r="M93"/>
      <c r="N93"/>
      <c r="O93"/>
    </row>
    <row r="94" spans="13:15" x14ac:dyDescent="0.15">
      <c r="M94"/>
      <c r="N94"/>
      <c r="O94"/>
    </row>
    <row r="95" spans="13:15" x14ac:dyDescent="0.15">
      <c r="M95"/>
      <c r="N95"/>
      <c r="O95"/>
    </row>
    <row r="96" spans="13:15" x14ac:dyDescent="0.15">
      <c r="M96"/>
      <c r="N96"/>
      <c r="O96"/>
    </row>
    <row r="97" spans="13:15" x14ac:dyDescent="0.15">
      <c r="M97"/>
      <c r="N97"/>
      <c r="O97"/>
    </row>
    <row r="98" spans="13:15" x14ac:dyDescent="0.15">
      <c r="M98"/>
      <c r="N98"/>
      <c r="O98"/>
    </row>
    <row r="99" spans="13:15" x14ac:dyDescent="0.15">
      <c r="M99"/>
      <c r="N99"/>
      <c r="O99"/>
    </row>
    <row r="100" spans="13:15" x14ac:dyDescent="0.15">
      <c r="M100"/>
      <c r="N100"/>
      <c r="O100"/>
    </row>
    <row r="101" spans="13:15" x14ac:dyDescent="0.15">
      <c r="M101"/>
      <c r="N101"/>
      <c r="O101"/>
    </row>
    <row r="102" spans="13:15" x14ac:dyDescent="0.15">
      <c r="M102"/>
      <c r="N102"/>
      <c r="O102"/>
    </row>
    <row r="103" spans="13:15" x14ac:dyDescent="0.15">
      <c r="M103"/>
      <c r="N103"/>
      <c r="O103"/>
    </row>
    <row r="104" spans="13:15" x14ac:dyDescent="0.15">
      <c r="M104"/>
      <c r="N104"/>
      <c r="O104"/>
    </row>
    <row r="105" spans="13:15" x14ac:dyDescent="0.15">
      <c r="M105"/>
      <c r="N105"/>
      <c r="O105"/>
    </row>
    <row r="106" spans="13:15" x14ac:dyDescent="0.15">
      <c r="M106"/>
      <c r="N106"/>
      <c r="O106"/>
    </row>
    <row r="107" spans="13:15" x14ac:dyDescent="0.15">
      <c r="M107"/>
      <c r="N107"/>
      <c r="O107"/>
    </row>
    <row r="108" spans="13:15" x14ac:dyDescent="0.15">
      <c r="M108"/>
      <c r="N108"/>
      <c r="O108"/>
    </row>
    <row r="109" spans="13:15" x14ac:dyDescent="0.15">
      <c r="M109"/>
      <c r="N109"/>
      <c r="O109"/>
    </row>
    <row r="110" spans="13:15" x14ac:dyDescent="0.15">
      <c r="M110"/>
      <c r="N110"/>
      <c r="O110"/>
    </row>
    <row r="111" spans="13:15" x14ac:dyDescent="0.15">
      <c r="M111"/>
      <c r="N111"/>
      <c r="O111"/>
    </row>
    <row r="112" spans="13:15" x14ac:dyDescent="0.15">
      <c r="M112"/>
      <c r="N112"/>
      <c r="O112"/>
    </row>
    <row r="113" spans="13:15" x14ac:dyDescent="0.15">
      <c r="M113"/>
      <c r="N113"/>
      <c r="O113"/>
    </row>
    <row r="114" spans="13:15" x14ac:dyDescent="0.15">
      <c r="M114"/>
      <c r="N114"/>
      <c r="O114"/>
    </row>
    <row r="115" spans="13:15" x14ac:dyDescent="0.15">
      <c r="M115"/>
      <c r="N115"/>
      <c r="O115"/>
    </row>
    <row r="116" spans="13:15" x14ac:dyDescent="0.15">
      <c r="M116"/>
      <c r="N116"/>
      <c r="O116"/>
    </row>
    <row r="117" spans="13:15" x14ac:dyDescent="0.15">
      <c r="M117"/>
      <c r="N117"/>
      <c r="O117"/>
    </row>
    <row r="118" spans="13:15" x14ac:dyDescent="0.15">
      <c r="M118"/>
      <c r="N118"/>
      <c r="O118"/>
    </row>
    <row r="119" spans="13:15" x14ac:dyDescent="0.15">
      <c r="M119"/>
      <c r="N119"/>
      <c r="O119"/>
    </row>
    <row r="120" spans="13:15" x14ac:dyDescent="0.15">
      <c r="M120"/>
      <c r="N120"/>
      <c r="O120"/>
    </row>
    <row r="121" spans="13:15" x14ac:dyDescent="0.15">
      <c r="M121"/>
      <c r="N121"/>
      <c r="O121"/>
    </row>
    <row r="122" spans="13:15" x14ac:dyDescent="0.15">
      <c r="M122"/>
      <c r="N122"/>
      <c r="O122"/>
    </row>
    <row r="123" spans="13:15" x14ac:dyDescent="0.15">
      <c r="M123"/>
      <c r="N123"/>
      <c r="O123"/>
    </row>
    <row r="124" spans="13:15" x14ac:dyDescent="0.15">
      <c r="M124"/>
      <c r="N124"/>
      <c r="O124"/>
    </row>
    <row r="125" spans="13:15" x14ac:dyDescent="0.15">
      <c r="M125"/>
      <c r="N125"/>
      <c r="O125"/>
    </row>
    <row r="126" spans="13:15" x14ac:dyDescent="0.15">
      <c r="M126"/>
      <c r="N126"/>
      <c r="O126"/>
    </row>
    <row r="127" spans="13:15" x14ac:dyDescent="0.15">
      <c r="M127"/>
      <c r="N127"/>
      <c r="O127"/>
    </row>
    <row r="128" spans="13:15" x14ac:dyDescent="0.15">
      <c r="M128"/>
      <c r="N128"/>
      <c r="O128"/>
    </row>
    <row r="129" spans="13:15" x14ac:dyDescent="0.15">
      <c r="M129"/>
      <c r="N129"/>
      <c r="O129"/>
    </row>
    <row r="130" spans="13:15" x14ac:dyDescent="0.15">
      <c r="M130"/>
      <c r="N130"/>
      <c r="O130"/>
    </row>
    <row r="131" spans="13:15" x14ac:dyDescent="0.15">
      <c r="M131"/>
      <c r="N131"/>
      <c r="O131"/>
    </row>
    <row r="132" spans="13:15" x14ac:dyDescent="0.15">
      <c r="M132"/>
      <c r="N132"/>
      <c r="O132"/>
    </row>
    <row r="133" spans="13:15" x14ac:dyDescent="0.15">
      <c r="M133"/>
      <c r="N133"/>
      <c r="O133"/>
    </row>
    <row r="134" spans="13:15" x14ac:dyDescent="0.15">
      <c r="M134"/>
      <c r="N134"/>
      <c r="O134"/>
    </row>
    <row r="135" spans="13:15" x14ac:dyDescent="0.15">
      <c r="M135"/>
      <c r="N135"/>
      <c r="O135"/>
    </row>
    <row r="136" spans="13:15" x14ac:dyDescent="0.15">
      <c r="M136"/>
      <c r="N136"/>
      <c r="O136"/>
    </row>
    <row r="137" spans="13:15" x14ac:dyDescent="0.15">
      <c r="M137"/>
      <c r="N137"/>
      <c r="O137"/>
    </row>
    <row r="138" spans="13:15" x14ac:dyDescent="0.15">
      <c r="M138"/>
      <c r="N138"/>
      <c r="O138"/>
    </row>
    <row r="139" spans="13:15" x14ac:dyDescent="0.15">
      <c r="M139"/>
      <c r="N139"/>
      <c r="O139"/>
    </row>
    <row r="140" spans="13:15" x14ac:dyDescent="0.15">
      <c r="M140"/>
      <c r="N140"/>
      <c r="O140"/>
    </row>
    <row r="141" spans="13:15" x14ac:dyDescent="0.15">
      <c r="M141"/>
      <c r="N141"/>
      <c r="O141"/>
    </row>
    <row r="142" spans="13:15" x14ac:dyDescent="0.15">
      <c r="M142"/>
      <c r="N142"/>
      <c r="O142"/>
    </row>
    <row r="143" spans="13:15" x14ac:dyDescent="0.15">
      <c r="M143"/>
      <c r="N143"/>
      <c r="O143"/>
    </row>
    <row r="144" spans="13:15" x14ac:dyDescent="0.15">
      <c r="M144"/>
      <c r="N144"/>
      <c r="O144"/>
    </row>
    <row r="145" spans="13:15" x14ac:dyDescent="0.15">
      <c r="M145"/>
      <c r="N145"/>
      <c r="O145"/>
    </row>
    <row r="146" spans="13:15" x14ac:dyDescent="0.15">
      <c r="M146"/>
      <c r="N146"/>
      <c r="O146"/>
    </row>
    <row r="147" spans="13:15" x14ac:dyDescent="0.15">
      <c r="M147"/>
      <c r="N147"/>
      <c r="O147"/>
    </row>
    <row r="148" spans="13:15" x14ac:dyDescent="0.15">
      <c r="M148"/>
      <c r="N148"/>
      <c r="O148"/>
    </row>
    <row r="149" spans="13:15" x14ac:dyDescent="0.15">
      <c r="M149"/>
      <c r="N149"/>
      <c r="O149"/>
    </row>
    <row r="150" spans="13:15" x14ac:dyDescent="0.15">
      <c r="M150"/>
      <c r="N150"/>
      <c r="O150"/>
    </row>
    <row r="151" spans="13:15" x14ac:dyDescent="0.15">
      <c r="M151"/>
      <c r="N151"/>
      <c r="O151"/>
    </row>
    <row r="152" spans="13:15" x14ac:dyDescent="0.15">
      <c r="M152"/>
      <c r="N152"/>
      <c r="O152"/>
    </row>
    <row r="153" spans="13:15" x14ac:dyDescent="0.15">
      <c r="M153"/>
      <c r="N153"/>
      <c r="O153"/>
    </row>
    <row r="154" spans="13:15" x14ac:dyDescent="0.15">
      <c r="M154"/>
      <c r="N154"/>
      <c r="O154"/>
    </row>
    <row r="155" spans="13:15" x14ac:dyDescent="0.15">
      <c r="M155"/>
      <c r="N155"/>
      <c r="O155"/>
    </row>
    <row r="156" spans="13:15" x14ac:dyDescent="0.15">
      <c r="M156"/>
      <c r="N156"/>
      <c r="O156"/>
    </row>
    <row r="157" spans="13:15" x14ac:dyDescent="0.15">
      <c r="M157"/>
      <c r="N157"/>
      <c r="O157"/>
    </row>
    <row r="158" spans="13:15" x14ac:dyDescent="0.15">
      <c r="M158"/>
      <c r="N158"/>
      <c r="O158"/>
    </row>
    <row r="159" spans="13:15" x14ac:dyDescent="0.15">
      <c r="M159"/>
      <c r="N159"/>
      <c r="O159"/>
    </row>
    <row r="160" spans="13:15" x14ac:dyDescent="0.15">
      <c r="M160"/>
      <c r="N160"/>
      <c r="O160"/>
    </row>
    <row r="161" spans="13:15" x14ac:dyDescent="0.15">
      <c r="M161"/>
      <c r="N161"/>
      <c r="O161"/>
    </row>
    <row r="162" spans="13:15" x14ac:dyDescent="0.15">
      <c r="M162"/>
      <c r="N162"/>
      <c r="O162"/>
    </row>
    <row r="163" spans="13:15" x14ac:dyDescent="0.15">
      <c r="M163"/>
      <c r="N163"/>
      <c r="O163"/>
    </row>
    <row r="164" spans="13:15" x14ac:dyDescent="0.15">
      <c r="M164"/>
      <c r="N164"/>
      <c r="O164"/>
    </row>
    <row r="165" spans="13:15" x14ac:dyDescent="0.15">
      <c r="M165"/>
      <c r="N165"/>
      <c r="O165"/>
    </row>
    <row r="166" spans="13:15" x14ac:dyDescent="0.15">
      <c r="M166"/>
      <c r="N166"/>
      <c r="O166"/>
    </row>
    <row r="167" spans="13:15" x14ac:dyDescent="0.15">
      <c r="M167"/>
      <c r="N167"/>
      <c r="O167"/>
    </row>
    <row r="168" spans="13:15" x14ac:dyDescent="0.15">
      <c r="M168"/>
      <c r="N168"/>
      <c r="O168"/>
    </row>
    <row r="169" spans="13:15" x14ac:dyDescent="0.15">
      <c r="M169"/>
      <c r="N169"/>
      <c r="O169"/>
    </row>
    <row r="170" spans="13:15" x14ac:dyDescent="0.15">
      <c r="M170"/>
      <c r="N170"/>
      <c r="O170"/>
    </row>
    <row r="171" spans="13:15" x14ac:dyDescent="0.15">
      <c r="M171"/>
      <c r="N171"/>
      <c r="O171"/>
    </row>
    <row r="172" spans="13:15" x14ac:dyDescent="0.15">
      <c r="M172"/>
      <c r="N172"/>
      <c r="O172"/>
    </row>
    <row r="173" spans="13:15" x14ac:dyDescent="0.15">
      <c r="M173"/>
      <c r="N173"/>
      <c r="O173"/>
    </row>
    <row r="174" spans="13:15" x14ac:dyDescent="0.15">
      <c r="M174"/>
      <c r="N174"/>
      <c r="O174"/>
    </row>
    <row r="175" spans="13:15" x14ac:dyDescent="0.15">
      <c r="M175"/>
      <c r="N175"/>
      <c r="O175"/>
    </row>
    <row r="176" spans="13:15" x14ac:dyDescent="0.15">
      <c r="M176"/>
      <c r="N176"/>
      <c r="O176"/>
    </row>
    <row r="177" spans="13:15" x14ac:dyDescent="0.15">
      <c r="M177"/>
      <c r="N177"/>
      <c r="O177"/>
    </row>
    <row r="178" spans="13:15" x14ac:dyDescent="0.15">
      <c r="M178"/>
      <c r="N178"/>
      <c r="O178"/>
    </row>
    <row r="179" spans="13:15" x14ac:dyDescent="0.15">
      <c r="M179"/>
      <c r="N179"/>
      <c r="O179"/>
    </row>
    <row r="180" spans="13:15" x14ac:dyDescent="0.15">
      <c r="M180"/>
      <c r="N180"/>
      <c r="O180"/>
    </row>
    <row r="181" spans="13:15" x14ac:dyDescent="0.15">
      <c r="M181"/>
      <c r="N181"/>
      <c r="O181"/>
    </row>
    <row r="182" spans="13:15" x14ac:dyDescent="0.15">
      <c r="M182"/>
      <c r="N182"/>
      <c r="O182"/>
    </row>
    <row r="183" spans="13:15" x14ac:dyDescent="0.15">
      <c r="M183"/>
      <c r="N183"/>
      <c r="O183"/>
    </row>
    <row r="184" spans="13:15" x14ac:dyDescent="0.15">
      <c r="M184"/>
      <c r="N184"/>
      <c r="O184"/>
    </row>
    <row r="185" spans="13:15" x14ac:dyDescent="0.15">
      <c r="M185"/>
      <c r="N185"/>
      <c r="O185"/>
    </row>
    <row r="186" spans="13:15" x14ac:dyDescent="0.15">
      <c r="M186"/>
      <c r="N186"/>
      <c r="O186"/>
    </row>
    <row r="187" spans="13:15" x14ac:dyDescent="0.15">
      <c r="M187"/>
      <c r="N187"/>
      <c r="O187"/>
    </row>
    <row r="188" spans="13:15" x14ac:dyDescent="0.15">
      <c r="M188"/>
      <c r="N188"/>
      <c r="O188"/>
    </row>
    <row r="189" spans="13:15" x14ac:dyDescent="0.15">
      <c r="M189"/>
      <c r="N189"/>
      <c r="O189"/>
    </row>
    <row r="190" spans="13:15" x14ac:dyDescent="0.15">
      <c r="M190"/>
      <c r="N190"/>
      <c r="O190"/>
    </row>
    <row r="191" spans="13:15" x14ac:dyDescent="0.15">
      <c r="M191"/>
      <c r="N191"/>
      <c r="O191"/>
    </row>
    <row r="192" spans="13:15" x14ac:dyDescent="0.15">
      <c r="M192"/>
      <c r="N192"/>
      <c r="O192"/>
    </row>
    <row r="193" spans="13:15" x14ac:dyDescent="0.15">
      <c r="M193"/>
      <c r="N193"/>
      <c r="O193"/>
    </row>
    <row r="194" spans="13:15" x14ac:dyDescent="0.15">
      <c r="M194"/>
      <c r="N194"/>
      <c r="O194"/>
    </row>
    <row r="195" spans="13:15" x14ac:dyDescent="0.15">
      <c r="M195"/>
      <c r="N195"/>
      <c r="O195"/>
    </row>
    <row r="196" spans="13:15" x14ac:dyDescent="0.15">
      <c r="M196"/>
      <c r="N196"/>
      <c r="O196"/>
    </row>
    <row r="197" spans="13:15" x14ac:dyDescent="0.15">
      <c r="M197"/>
      <c r="N197"/>
      <c r="O197"/>
    </row>
    <row r="198" spans="13:15" x14ac:dyDescent="0.15">
      <c r="M198"/>
      <c r="N198"/>
      <c r="O198"/>
    </row>
    <row r="199" spans="13:15" x14ac:dyDescent="0.15">
      <c r="M199"/>
      <c r="N199"/>
      <c r="O199"/>
    </row>
    <row r="200" spans="13:15" x14ac:dyDescent="0.15">
      <c r="M200"/>
      <c r="N200"/>
      <c r="O200"/>
    </row>
    <row r="201" spans="13:15" x14ac:dyDescent="0.15">
      <c r="M201"/>
      <c r="N201"/>
      <c r="O201"/>
    </row>
    <row r="202" spans="13:15" x14ac:dyDescent="0.15">
      <c r="M202"/>
      <c r="N202"/>
      <c r="O202"/>
    </row>
    <row r="203" spans="13:15" x14ac:dyDescent="0.15">
      <c r="M203"/>
      <c r="N203"/>
      <c r="O203"/>
    </row>
    <row r="204" spans="13:15" x14ac:dyDescent="0.15">
      <c r="M204"/>
      <c r="N204"/>
      <c r="O204"/>
    </row>
    <row r="205" spans="13:15" x14ac:dyDescent="0.15">
      <c r="M205"/>
      <c r="N205"/>
      <c r="O205"/>
    </row>
    <row r="206" spans="13:15" x14ac:dyDescent="0.15">
      <c r="M206"/>
      <c r="N206"/>
      <c r="O206"/>
    </row>
    <row r="207" spans="13:15" x14ac:dyDescent="0.15">
      <c r="M207"/>
      <c r="N207"/>
      <c r="O207"/>
    </row>
    <row r="208" spans="13:15" x14ac:dyDescent="0.15">
      <c r="M208"/>
      <c r="N208"/>
      <c r="O208"/>
    </row>
    <row r="209" spans="13:15" x14ac:dyDescent="0.15">
      <c r="M209"/>
      <c r="N209"/>
      <c r="O209"/>
    </row>
    <row r="210" spans="13:15" x14ac:dyDescent="0.15">
      <c r="M210"/>
      <c r="N210"/>
      <c r="O210"/>
    </row>
    <row r="211" spans="13:15" x14ac:dyDescent="0.15">
      <c r="M211"/>
      <c r="N211"/>
      <c r="O211"/>
    </row>
    <row r="212" spans="13:15" x14ac:dyDescent="0.15">
      <c r="M212"/>
      <c r="N212"/>
      <c r="O212"/>
    </row>
    <row r="213" spans="13:15" x14ac:dyDescent="0.15">
      <c r="M213"/>
      <c r="N213"/>
      <c r="O213"/>
    </row>
    <row r="214" spans="13:15" x14ac:dyDescent="0.15">
      <c r="M214"/>
      <c r="N214"/>
      <c r="O214"/>
    </row>
    <row r="215" spans="13:15" x14ac:dyDescent="0.15">
      <c r="M215"/>
      <c r="N215"/>
      <c r="O215"/>
    </row>
    <row r="216" spans="13:15" x14ac:dyDescent="0.15">
      <c r="M216"/>
      <c r="N216"/>
      <c r="O216"/>
    </row>
    <row r="217" spans="13:15" x14ac:dyDescent="0.15">
      <c r="M217"/>
      <c r="N217"/>
      <c r="O217"/>
    </row>
    <row r="218" spans="13:15" x14ac:dyDescent="0.15">
      <c r="M218"/>
      <c r="N218"/>
      <c r="O218"/>
    </row>
    <row r="219" spans="13:15" x14ac:dyDescent="0.15">
      <c r="M219"/>
      <c r="N219"/>
      <c r="O219"/>
    </row>
    <row r="220" spans="13:15" x14ac:dyDescent="0.15">
      <c r="M220"/>
      <c r="N220"/>
      <c r="O220"/>
    </row>
    <row r="221" spans="13:15" x14ac:dyDescent="0.15">
      <c r="M221"/>
      <c r="N221"/>
      <c r="O221"/>
    </row>
    <row r="222" spans="13:15" x14ac:dyDescent="0.15">
      <c r="M222"/>
      <c r="N222"/>
      <c r="O222"/>
    </row>
    <row r="223" spans="13:15" x14ac:dyDescent="0.15">
      <c r="M223"/>
      <c r="N223"/>
      <c r="O223"/>
    </row>
    <row r="224" spans="13:15" x14ac:dyDescent="0.15">
      <c r="M224"/>
      <c r="N224"/>
      <c r="O224"/>
    </row>
    <row r="225" spans="13:15" x14ac:dyDescent="0.15">
      <c r="M225"/>
      <c r="N225"/>
      <c r="O225"/>
    </row>
    <row r="226" spans="13:15" x14ac:dyDescent="0.15">
      <c r="M226"/>
      <c r="N226"/>
      <c r="O226"/>
    </row>
    <row r="227" spans="13:15" x14ac:dyDescent="0.15">
      <c r="M227"/>
      <c r="N227"/>
      <c r="O227"/>
    </row>
    <row r="228" spans="13:15" x14ac:dyDescent="0.15">
      <c r="M228"/>
      <c r="N228"/>
      <c r="O228"/>
    </row>
    <row r="229" spans="13:15" x14ac:dyDescent="0.15">
      <c r="M229"/>
      <c r="N229"/>
      <c r="O229"/>
    </row>
    <row r="230" spans="13:15" x14ac:dyDescent="0.15">
      <c r="M230"/>
      <c r="N230"/>
      <c r="O230"/>
    </row>
    <row r="231" spans="13:15" x14ac:dyDescent="0.15">
      <c r="M231"/>
      <c r="N231"/>
      <c r="O231"/>
    </row>
    <row r="232" spans="13:15" x14ac:dyDescent="0.15">
      <c r="M232"/>
      <c r="N232"/>
      <c r="O232"/>
    </row>
    <row r="233" spans="13:15" x14ac:dyDescent="0.15">
      <c r="M233"/>
      <c r="N233"/>
      <c r="O233"/>
    </row>
    <row r="234" spans="13:15" x14ac:dyDescent="0.15">
      <c r="M234"/>
      <c r="N234"/>
      <c r="O234"/>
    </row>
    <row r="235" spans="13:15" x14ac:dyDescent="0.15">
      <c r="M235"/>
      <c r="N235"/>
      <c r="O235"/>
    </row>
    <row r="236" spans="13:15" x14ac:dyDescent="0.15">
      <c r="M236"/>
      <c r="N236"/>
      <c r="O236"/>
    </row>
    <row r="237" spans="13:15" x14ac:dyDescent="0.15">
      <c r="M237"/>
      <c r="N237"/>
      <c r="O237"/>
    </row>
    <row r="238" spans="13:15" x14ac:dyDescent="0.15">
      <c r="M238"/>
      <c r="N238"/>
      <c r="O238"/>
    </row>
    <row r="239" spans="13:15" x14ac:dyDescent="0.15">
      <c r="M239"/>
      <c r="N239"/>
      <c r="O239"/>
    </row>
    <row r="240" spans="13:15" x14ac:dyDescent="0.15">
      <c r="M240"/>
      <c r="N240"/>
      <c r="O240"/>
    </row>
    <row r="241" spans="13:15" x14ac:dyDescent="0.15">
      <c r="M241"/>
      <c r="N241"/>
      <c r="O241"/>
    </row>
    <row r="242" spans="13:15" x14ac:dyDescent="0.15">
      <c r="M242"/>
      <c r="N242"/>
      <c r="O242"/>
    </row>
    <row r="243" spans="13:15" x14ac:dyDescent="0.15">
      <c r="M243"/>
      <c r="N243"/>
      <c r="O243"/>
    </row>
    <row r="244" spans="13:15" x14ac:dyDescent="0.15">
      <c r="M244"/>
      <c r="N244"/>
      <c r="O244"/>
    </row>
    <row r="245" spans="13:15" x14ac:dyDescent="0.15">
      <c r="M245"/>
      <c r="N245"/>
      <c r="O245"/>
    </row>
    <row r="246" spans="13:15" x14ac:dyDescent="0.15">
      <c r="M246"/>
      <c r="N246"/>
      <c r="O246"/>
    </row>
    <row r="247" spans="13:15" x14ac:dyDescent="0.15">
      <c r="M247"/>
      <c r="N247"/>
      <c r="O247"/>
    </row>
    <row r="248" spans="13:15" x14ac:dyDescent="0.15">
      <c r="M248"/>
      <c r="N248"/>
      <c r="O248"/>
    </row>
    <row r="249" spans="13:15" x14ac:dyDescent="0.15">
      <c r="M249"/>
      <c r="N249"/>
      <c r="O249"/>
    </row>
    <row r="250" spans="13:15" x14ac:dyDescent="0.15">
      <c r="M250"/>
      <c r="N250"/>
      <c r="O250"/>
    </row>
    <row r="251" spans="13:15" x14ac:dyDescent="0.15">
      <c r="M251"/>
      <c r="N251"/>
      <c r="O251"/>
    </row>
    <row r="252" spans="13:15" x14ac:dyDescent="0.15">
      <c r="M252"/>
      <c r="N252"/>
      <c r="O252"/>
    </row>
    <row r="253" spans="13:15" x14ac:dyDescent="0.15">
      <c r="M253"/>
      <c r="N253"/>
      <c r="O253"/>
    </row>
    <row r="254" spans="13:15" x14ac:dyDescent="0.15">
      <c r="M254"/>
      <c r="N254"/>
      <c r="O254"/>
    </row>
    <row r="255" spans="13:15" x14ac:dyDescent="0.15">
      <c r="M255"/>
      <c r="N255"/>
      <c r="O255"/>
    </row>
    <row r="256" spans="13:15" x14ac:dyDescent="0.15">
      <c r="M256"/>
      <c r="N256"/>
      <c r="O256"/>
    </row>
    <row r="257" spans="13:15" x14ac:dyDescent="0.15">
      <c r="M257"/>
      <c r="N257"/>
      <c r="O257"/>
    </row>
    <row r="258" spans="13:15" x14ac:dyDescent="0.15">
      <c r="M258"/>
      <c r="N258"/>
      <c r="O258"/>
    </row>
    <row r="259" spans="13:15" x14ac:dyDescent="0.15">
      <c r="M259"/>
      <c r="N259"/>
      <c r="O259"/>
    </row>
    <row r="260" spans="13:15" x14ac:dyDescent="0.15">
      <c r="M260"/>
      <c r="N260"/>
      <c r="O260"/>
    </row>
    <row r="261" spans="13:15" x14ac:dyDescent="0.15">
      <c r="M261"/>
      <c r="N261"/>
      <c r="O261"/>
    </row>
    <row r="262" spans="13:15" x14ac:dyDescent="0.15">
      <c r="M262"/>
      <c r="N262"/>
      <c r="O262"/>
    </row>
    <row r="263" spans="13:15" x14ac:dyDescent="0.15">
      <c r="M263"/>
      <c r="N263"/>
      <c r="O263"/>
    </row>
    <row r="264" spans="13:15" x14ac:dyDescent="0.15">
      <c r="M264"/>
      <c r="N264"/>
      <c r="O264"/>
    </row>
    <row r="265" spans="13:15" x14ac:dyDescent="0.15">
      <c r="M265"/>
      <c r="N265"/>
      <c r="O265"/>
    </row>
    <row r="266" spans="13:15" x14ac:dyDescent="0.15">
      <c r="M266"/>
      <c r="N266"/>
      <c r="O266"/>
    </row>
    <row r="267" spans="13:15" x14ac:dyDescent="0.15">
      <c r="M267"/>
      <c r="N267"/>
      <c r="O267"/>
    </row>
    <row r="268" spans="13:15" x14ac:dyDescent="0.15">
      <c r="M268"/>
      <c r="N268"/>
      <c r="O268"/>
    </row>
    <row r="269" spans="13:15" x14ac:dyDescent="0.15">
      <c r="M269"/>
      <c r="N269"/>
      <c r="O269"/>
    </row>
    <row r="270" spans="13:15" x14ac:dyDescent="0.15">
      <c r="M270"/>
      <c r="N270"/>
      <c r="O270"/>
    </row>
    <row r="271" spans="13:15" x14ac:dyDescent="0.15">
      <c r="M271"/>
      <c r="N271"/>
      <c r="O271"/>
    </row>
    <row r="272" spans="13:15" x14ac:dyDescent="0.15">
      <c r="M272"/>
      <c r="N272"/>
      <c r="O272"/>
    </row>
    <row r="273" spans="13:15" x14ac:dyDescent="0.15">
      <c r="M273"/>
      <c r="N273"/>
      <c r="O273"/>
    </row>
    <row r="274" spans="13:15" x14ac:dyDescent="0.15">
      <c r="M274"/>
      <c r="N274"/>
      <c r="O274"/>
    </row>
    <row r="275" spans="13:15" x14ac:dyDescent="0.15">
      <c r="M275"/>
      <c r="N275"/>
      <c r="O275"/>
    </row>
    <row r="276" spans="13:15" x14ac:dyDescent="0.15">
      <c r="M276"/>
      <c r="N276"/>
      <c r="O276"/>
    </row>
    <row r="277" spans="13:15" x14ac:dyDescent="0.15">
      <c r="M277"/>
      <c r="N277"/>
      <c r="O277"/>
    </row>
    <row r="278" spans="13:15" x14ac:dyDescent="0.15">
      <c r="M278"/>
      <c r="N278"/>
      <c r="O278"/>
    </row>
    <row r="279" spans="13:15" x14ac:dyDescent="0.15">
      <c r="M279"/>
      <c r="N279"/>
      <c r="O279"/>
    </row>
    <row r="280" spans="13:15" x14ac:dyDescent="0.15">
      <c r="M280"/>
      <c r="N280"/>
      <c r="O280"/>
    </row>
    <row r="281" spans="13:15" x14ac:dyDescent="0.15">
      <c r="M281"/>
      <c r="N281"/>
      <c r="O281"/>
    </row>
    <row r="282" spans="13:15" x14ac:dyDescent="0.15">
      <c r="M282"/>
      <c r="N282"/>
      <c r="O282"/>
    </row>
    <row r="283" spans="13:15" x14ac:dyDescent="0.15">
      <c r="M283"/>
      <c r="N283"/>
      <c r="O283"/>
    </row>
    <row r="284" spans="13:15" x14ac:dyDescent="0.15">
      <c r="M284"/>
      <c r="N284"/>
      <c r="O284"/>
    </row>
    <row r="285" spans="13:15" x14ac:dyDescent="0.15">
      <c r="M285"/>
      <c r="N285"/>
      <c r="O285"/>
    </row>
    <row r="286" spans="13:15" x14ac:dyDescent="0.15">
      <c r="M286"/>
      <c r="N286"/>
      <c r="O286"/>
    </row>
    <row r="287" spans="13:15" x14ac:dyDescent="0.15">
      <c r="M287"/>
      <c r="N287"/>
      <c r="O287"/>
    </row>
    <row r="288" spans="13:15" x14ac:dyDescent="0.15">
      <c r="M288"/>
      <c r="N288"/>
      <c r="O288"/>
    </row>
    <row r="289" spans="13:15" x14ac:dyDescent="0.15">
      <c r="M289"/>
      <c r="N289"/>
      <c r="O289"/>
    </row>
    <row r="290" spans="13:15" x14ac:dyDescent="0.15">
      <c r="M290"/>
      <c r="N290"/>
      <c r="O290"/>
    </row>
    <row r="291" spans="13:15" x14ac:dyDescent="0.15">
      <c r="M291"/>
      <c r="N291"/>
      <c r="O291"/>
    </row>
    <row r="292" spans="13:15" x14ac:dyDescent="0.15">
      <c r="M292"/>
      <c r="N292"/>
      <c r="O292"/>
    </row>
    <row r="293" spans="13:15" x14ac:dyDescent="0.15">
      <c r="M293"/>
      <c r="N293"/>
      <c r="O293"/>
    </row>
    <row r="294" spans="13:15" x14ac:dyDescent="0.15">
      <c r="M294"/>
      <c r="N294"/>
      <c r="O294"/>
    </row>
    <row r="295" spans="13:15" x14ac:dyDescent="0.15">
      <c r="M295"/>
      <c r="N295"/>
      <c r="O295"/>
    </row>
    <row r="296" spans="13:15" x14ac:dyDescent="0.15">
      <c r="M296"/>
      <c r="N296"/>
      <c r="O296"/>
    </row>
    <row r="297" spans="13:15" x14ac:dyDescent="0.15">
      <c r="M297"/>
      <c r="N297"/>
      <c r="O297"/>
    </row>
    <row r="298" spans="13:15" x14ac:dyDescent="0.15">
      <c r="M298"/>
      <c r="N298"/>
      <c r="O298"/>
    </row>
    <row r="299" spans="13:15" x14ac:dyDescent="0.15">
      <c r="M299"/>
      <c r="N299"/>
      <c r="O299"/>
    </row>
    <row r="300" spans="13:15" x14ac:dyDescent="0.15">
      <c r="M300"/>
      <c r="N300"/>
      <c r="O300"/>
    </row>
    <row r="301" spans="13:15" x14ac:dyDescent="0.15">
      <c r="M301"/>
      <c r="N301"/>
      <c r="O301"/>
    </row>
    <row r="302" spans="13:15" x14ac:dyDescent="0.15">
      <c r="M302"/>
      <c r="N302"/>
      <c r="O302"/>
    </row>
    <row r="303" spans="13:15" x14ac:dyDescent="0.15">
      <c r="M303"/>
      <c r="N303"/>
      <c r="O303"/>
    </row>
    <row r="304" spans="13:15" x14ac:dyDescent="0.15">
      <c r="M304"/>
      <c r="N304"/>
      <c r="O304"/>
    </row>
    <row r="305" spans="13:15" x14ac:dyDescent="0.15">
      <c r="M305"/>
      <c r="N305"/>
      <c r="O305"/>
    </row>
    <row r="306" spans="13:15" x14ac:dyDescent="0.15">
      <c r="M306"/>
      <c r="N306"/>
      <c r="O306"/>
    </row>
    <row r="307" spans="13:15" x14ac:dyDescent="0.15">
      <c r="M307"/>
      <c r="N307"/>
      <c r="O307"/>
    </row>
    <row r="308" spans="13:15" x14ac:dyDescent="0.15">
      <c r="M308"/>
      <c r="N308"/>
      <c r="O308"/>
    </row>
    <row r="309" spans="13:15" x14ac:dyDescent="0.15">
      <c r="M309"/>
      <c r="N309"/>
      <c r="O309"/>
    </row>
    <row r="310" spans="13:15" x14ac:dyDescent="0.15">
      <c r="M310"/>
      <c r="N310"/>
      <c r="O310"/>
    </row>
  </sheetData>
  <autoFilter ref="A2:F16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N43"/>
  <sheetViews>
    <sheetView showGridLines="0" workbookViewId="0">
      <selection activeCell="D22" sqref="D22"/>
    </sheetView>
  </sheetViews>
  <sheetFormatPr defaultRowHeight="15" x14ac:dyDescent="0.15"/>
  <cols>
    <col min="1" max="1" width="2.44140625" style="2" customWidth="1"/>
    <col min="2" max="2" width="8.88671875" style="1"/>
    <col min="3" max="3" width="12.21875" style="1" bestFit="1" customWidth="1"/>
    <col min="4" max="5" width="8.88671875" style="1"/>
    <col min="6" max="8" width="8.88671875" style="2"/>
    <col min="9" max="14" width="8.88671875" style="1"/>
    <col min="15" max="16384" width="8.88671875" style="2"/>
  </cols>
  <sheetData>
    <row r="1" spans="2:6" ht="15.75" thickBot="1" x14ac:dyDescent="0.2"/>
    <row r="2" spans="2:6" ht="16.5" thickTop="1" thickBot="1" x14ac:dyDescent="0.2">
      <c r="B2" s="3" t="s">
        <v>80</v>
      </c>
      <c r="C2" s="4" t="s">
        <v>83</v>
      </c>
      <c r="D2" s="4" t="s">
        <v>39</v>
      </c>
      <c r="E2" s="4" t="s">
        <v>40</v>
      </c>
      <c r="F2" s="3" t="s">
        <v>41</v>
      </c>
    </row>
    <row r="3" spans="2:6" ht="15.75" thickTop="1" x14ac:dyDescent="0.15">
      <c r="B3" s="2">
        <v>1</v>
      </c>
      <c r="C3" s="5" t="s">
        <v>42</v>
      </c>
      <c r="D3" s="5">
        <v>5951</v>
      </c>
      <c r="E3" s="5">
        <v>2492</v>
      </c>
      <c r="F3" s="2">
        <v>8443</v>
      </c>
    </row>
    <row r="4" spans="2:6" x14ac:dyDescent="0.15">
      <c r="B4" s="2">
        <v>2</v>
      </c>
      <c r="C4" s="5" t="s">
        <v>43</v>
      </c>
      <c r="D4" s="5">
        <v>2242</v>
      </c>
      <c r="E4" s="5">
        <v>5698</v>
      </c>
      <c r="F4" s="2">
        <v>7940</v>
      </c>
    </row>
    <row r="5" spans="2:6" x14ac:dyDescent="0.15">
      <c r="B5" s="2">
        <v>3</v>
      </c>
      <c r="C5" s="5" t="s">
        <v>44</v>
      </c>
      <c r="D5" s="5">
        <v>7886</v>
      </c>
      <c r="E5" s="5">
        <v>4950</v>
      </c>
      <c r="F5" s="2">
        <v>12836</v>
      </c>
    </row>
    <row r="6" spans="2:6" x14ac:dyDescent="0.15">
      <c r="B6" s="2">
        <v>4</v>
      </c>
      <c r="C6" s="5" t="s">
        <v>45</v>
      </c>
      <c r="D6" s="5">
        <v>307</v>
      </c>
      <c r="E6" s="5">
        <v>3240</v>
      </c>
      <c r="F6" s="2">
        <v>3547</v>
      </c>
    </row>
    <row r="7" spans="2:6" x14ac:dyDescent="0.15">
      <c r="B7" s="2">
        <v>5</v>
      </c>
      <c r="C7" s="5" t="s">
        <v>46</v>
      </c>
      <c r="D7" s="5">
        <v>4132</v>
      </c>
      <c r="E7" s="5">
        <v>1552</v>
      </c>
      <c r="F7" s="2">
        <v>5684</v>
      </c>
    </row>
    <row r="8" spans="2:6" x14ac:dyDescent="0.15">
      <c r="B8" s="2">
        <v>6</v>
      </c>
      <c r="C8" s="5" t="s">
        <v>47</v>
      </c>
      <c r="D8" s="5">
        <v>4061</v>
      </c>
      <c r="E8" s="5">
        <v>6638</v>
      </c>
      <c r="F8" s="2">
        <v>10699</v>
      </c>
    </row>
    <row r="9" spans="2:6" x14ac:dyDescent="0.15">
      <c r="B9" s="2">
        <v>7</v>
      </c>
      <c r="C9" s="5" t="s">
        <v>48</v>
      </c>
      <c r="D9" s="5">
        <v>380</v>
      </c>
      <c r="E9" s="5">
        <v>145</v>
      </c>
      <c r="F9" s="2">
        <v>525</v>
      </c>
    </row>
    <row r="10" spans="2:6" x14ac:dyDescent="0.15">
      <c r="B10" s="2">
        <v>8</v>
      </c>
      <c r="C10" s="5" t="s">
        <v>49</v>
      </c>
      <c r="D10" s="5">
        <v>7813</v>
      </c>
      <c r="E10" s="5">
        <v>8045</v>
      </c>
      <c r="F10" s="2">
        <v>15858</v>
      </c>
    </row>
    <row r="11" spans="2:6" x14ac:dyDescent="0.15">
      <c r="B11" s="2">
        <v>9</v>
      </c>
      <c r="C11" s="5" t="s">
        <v>50</v>
      </c>
      <c r="D11" s="5">
        <v>7974</v>
      </c>
      <c r="E11" s="5">
        <v>6384</v>
      </c>
      <c r="F11" s="2">
        <v>14358</v>
      </c>
    </row>
    <row r="12" spans="2:6" x14ac:dyDescent="0.15">
      <c r="B12" s="2">
        <v>10</v>
      </c>
      <c r="C12" s="5" t="s">
        <v>51</v>
      </c>
      <c r="D12" s="5">
        <v>219</v>
      </c>
      <c r="E12" s="5">
        <v>1806</v>
      </c>
      <c r="F12" s="2">
        <v>2025</v>
      </c>
    </row>
    <row r="13" spans="2:6" x14ac:dyDescent="0.15">
      <c r="B13" s="2">
        <v>11</v>
      </c>
      <c r="C13" s="5" t="s">
        <v>52</v>
      </c>
      <c r="D13" s="8">
        <v>2952</v>
      </c>
      <c r="E13" s="5">
        <v>3207</v>
      </c>
      <c r="F13" s="2">
        <v>6159</v>
      </c>
    </row>
    <row r="14" spans="2:6" x14ac:dyDescent="0.15">
      <c r="B14" s="2">
        <v>12</v>
      </c>
      <c r="C14" s="5" t="s">
        <v>53</v>
      </c>
      <c r="D14" s="5">
        <v>5241</v>
      </c>
      <c r="E14" s="5">
        <v>4983</v>
      </c>
      <c r="F14" s="2">
        <v>10224</v>
      </c>
    </row>
    <row r="15" spans="2:6" x14ac:dyDescent="0.15">
      <c r="B15" s="2">
        <v>13</v>
      </c>
      <c r="C15" s="5" t="s">
        <v>54</v>
      </c>
      <c r="D15" s="5">
        <v>8135</v>
      </c>
      <c r="E15" s="5">
        <v>8056</v>
      </c>
      <c r="F15" s="2">
        <v>16191</v>
      </c>
    </row>
    <row r="16" spans="2:6" x14ac:dyDescent="0.15">
      <c r="B16" s="2">
        <v>14</v>
      </c>
      <c r="C16" s="5" t="s">
        <v>55</v>
      </c>
      <c r="D16" s="5">
        <v>58</v>
      </c>
      <c r="E16" s="5">
        <v>134</v>
      </c>
      <c r="F16" s="2">
        <v>192</v>
      </c>
    </row>
    <row r="17" spans="2:6" x14ac:dyDescent="0.15">
      <c r="B17" s="2">
        <v>15</v>
      </c>
      <c r="C17" s="5" t="s">
        <v>56</v>
      </c>
      <c r="D17" s="5">
        <v>8097</v>
      </c>
      <c r="E17" s="5">
        <v>7831</v>
      </c>
      <c r="F17" s="2">
        <v>15928</v>
      </c>
    </row>
    <row r="18" spans="2:6" x14ac:dyDescent="0.15">
      <c r="B18" s="2">
        <v>16</v>
      </c>
      <c r="C18" s="5" t="s">
        <v>57</v>
      </c>
      <c r="D18" s="5">
        <v>96</v>
      </c>
      <c r="E18" s="5">
        <v>359</v>
      </c>
      <c r="F18" s="2">
        <v>455</v>
      </c>
    </row>
    <row r="19" spans="2:6" x14ac:dyDescent="0.15">
      <c r="B19" s="2">
        <v>17</v>
      </c>
      <c r="C19" s="5" t="s">
        <v>58</v>
      </c>
      <c r="D19" s="5">
        <v>7787</v>
      </c>
      <c r="E19" s="5">
        <v>7075</v>
      </c>
      <c r="F19" s="2">
        <v>14862</v>
      </c>
    </row>
    <row r="20" spans="2:6" x14ac:dyDescent="0.15">
      <c r="B20" s="2">
        <v>18</v>
      </c>
      <c r="C20" s="5" t="s">
        <v>59</v>
      </c>
      <c r="D20" s="5">
        <v>406</v>
      </c>
      <c r="E20" s="5">
        <v>1115</v>
      </c>
      <c r="F20" s="2">
        <v>1521</v>
      </c>
    </row>
    <row r="21" spans="2:6" x14ac:dyDescent="0.15">
      <c r="B21" s="2">
        <v>19</v>
      </c>
      <c r="C21" s="5" t="s">
        <v>60</v>
      </c>
      <c r="D21" s="5">
        <v>7787</v>
      </c>
      <c r="E21" s="5">
        <v>7075</v>
      </c>
      <c r="F21" s="2">
        <v>14862</v>
      </c>
    </row>
    <row r="22" spans="2:6" x14ac:dyDescent="0.15">
      <c r="B22" s="2">
        <v>20</v>
      </c>
      <c r="C22" s="5" t="s">
        <v>61</v>
      </c>
      <c r="D22" s="5">
        <v>406</v>
      </c>
      <c r="E22" s="5">
        <v>1115</v>
      </c>
      <c r="F22" s="2">
        <v>1521</v>
      </c>
    </row>
    <row r="23" spans="2:6" x14ac:dyDescent="0.15">
      <c r="B23" s="2">
        <v>21</v>
      </c>
      <c r="C23" s="5" t="s">
        <v>62</v>
      </c>
      <c r="D23" s="5">
        <v>8170</v>
      </c>
      <c r="E23" s="5">
        <v>8128</v>
      </c>
      <c r="F23" s="2">
        <v>16298</v>
      </c>
    </row>
    <row r="24" spans="2:6" x14ac:dyDescent="0.15">
      <c r="B24" s="2">
        <v>22</v>
      </c>
      <c r="C24" s="5" t="s">
        <v>63</v>
      </c>
      <c r="D24" s="5">
        <v>23</v>
      </c>
      <c r="E24" s="5">
        <v>62</v>
      </c>
      <c r="F24" s="2">
        <v>85</v>
      </c>
    </row>
    <row r="25" spans="2:6" x14ac:dyDescent="0.15">
      <c r="B25" s="2">
        <v>23</v>
      </c>
      <c r="C25" s="5" t="s">
        <v>64</v>
      </c>
      <c r="D25" s="5">
        <v>8179</v>
      </c>
      <c r="E25" s="5">
        <v>8166</v>
      </c>
      <c r="F25" s="2">
        <v>16345</v>
      </c>
    </row>
    <row r="26" spans="2:6" x14ac:dyDescent="0.15">
      <c r="B26" s="2">
        <v>24</v>
      </c>
      <c r="C26" s="5" t="s">
        <v>65</v>
      </c>
      <c r="D26" s="5">
        <v>14</v>
      </c>
      <c r="E26" s="5">
        <v>24</v>
      </c>
      <c r="F26" s="2">
        <v>38</v>
      </c>
    </row>
    <row r="27" spans="2:6" x14ac:dyDescent="0.15">
      <c r="B27" s="2">
        <v>25</v>
      </c>
      <c r="C27" s="5" t="s">
        <v>66</v>
      </c>
      <c r="D27" s="5">
        <v>8192</v>
      </c>
      <c r="E27" s="5">
        <v>8187</v>
      </c>
      <c r="F27" s="2">
        <v>16379</v>
      </c>
    </row>
    <row r="28" spans="2:6" x14ac:dyDescent="0.15">
      <c r="B28" s="2">
        <v>26</v>
      </c>
      <c r="C28" s="5" t="s">
        <v>67</v>
      </c>
      <c r="D28" s="5">
        <v>1</v>
      </c>
      <c r="E28" s="5">
        <v>3</v>
      </c>
      <c r="F28" s="2">
        <v>4</v>
      </c>
    </row>
    <row r="29" spans="2:6" x14ac:dyDescent="0.15">
      <c r="B29" s="2">
        <v>29</v>
      </c>
      <c r="C29" s="5" t="s">
        <v>68</v>
      </c>
      <c r="D29" s="5">
        <v>7087</v>
      </c>
      <c r="E29" s="5">
        <v>5441</v>
      </c>
      <c r="F29" s="2">
        <v>12528</v>
      </c>
    </row>
    <row r="30" spans="2:6" x14ac:dyDescent="0.15">
      <c r="B30" s="2">
        <v>30</v>
      </c>
      <c r="C30" s="5" t="s">
        <v>69</v>
      </c>
      <c r="D30" s="5">
        <v>1106</v>
      </c>
      <c r="E30" s="5">
        <v>2749</v>
      </c>
      <c r="F30" s="2">
        <v>3855</v>
      </c>
    </row>
    <row r="31" spans="2:6" x14ac:dyDescent="0.15">
      <c r="B31" s="2">
        <v>31</v>
      </c>
      <c r="C31" s="5" t="s">
        <v>70</v>
      </c>
      <c r="D31" s="5">
        <v>3301</v>
      </c>
      <c r="E31" s="5">
        <v>2629</v>
      </c>
      <c r="F31" s="2">
        <v>5930</v>
      </c>
    </row>
    <row r="32" spans="2:6" x14ac:dyDescent="0.15">
      <c r="B32" s="2">
        <v>32</v>
      </c>
      <c r="C32" s="5" t="s">
        <v>71</v>
      </c>
      <c r="D32" s="5">
        <v>4892</v>
      </c>
      <c r="E32" s="5">
        <v>5561</v>
      </c>
      <c r="F32" s="2">
        <v>10453</v>
      </c>
    </row>
    <row r="33" spans="2:6" x14ac:dyDescent="0.15">
      <c r="B33" s="2">
        <v>33</v>
      </c>
      <c r="C33" s="5" t="s">
        <v>72</v>
      </c>
      <c r="D33" s="5">
        <v>6</v>
      </c>
      <c r="E33" s="5">
        <v>1</v>
      </c>
      <c r="F33" s="2">
        <v>7</v>
      </c>
    </row>
    <row r="34" spans="2:6" x14ac:dyDescent="0.15">
      <c r="B34" s="2">
        <v>34</v>
      </c>
      <c r="C34" s="5" t="s">
        <v>73</v>
      </c>
      <c r="D34" s="5">
        <v>8187</v>
      </c>
      <c r="E34" s="5">
        <v>8189</v>
      </c>
      <c r="F34" s="2">
        <v>16376</v>
      </c>
    </row>
    <row r="35" spans="2:6" x14ac:dyDescent="0.15">
      <c r="B35" s="2">
        <v>35</v>
      </c>
      <c r="C35" s="5" t="s">
        <v>74</v>
      </c>
      <c r="D35" s="5">
        <v>2144</v>
      </c>
      <c r="E35" s="5">
        <v>1397</v>
      </c>
      <c r="F35" s="2">
        <v>3541</v>
      </c>
    </row>
    <row r="36" spans="2:6" x14ac:dyDescent="0.15">
      <c r="B36" s="2">
        <v>36</v>
      </c>
      <c r="C36" s="5" t="s">
        <v>75</v>
      </c>
      <c r="D36" s="5">
        <v>6049</v>
      </c>
      <c r="E36" s="5">
        <v>6793</v>
      </c>
      <c r="F36" s="2">
        <v>12842</v>
      </c>
    </row>
    <row r="37" spans="2:6" x14ac:dyDescent="0.15">
      <c r="B37" s="2">
        <v>37</v>
      </c>
      <c r="C37" s="5" t="s">
        <v>81</v>
      </c>
      <c r="D37" s="5">
        <v>5638</v>
      </c>
      <c r="E37" s="5">
        <v>3009</v>
      </c>
      <c r="F37" s="2">
        <v>8647</v>
      </c>
    </row>
    <row r="38" spans="2:6" x14ac:dyDescent="0.15">
      <c r="B38" s="2">
        <v>38</v>
      </c>
      <c r="C38" s="5" t="s">
        <v>82</v>
      </c>
      <c r="D38" s="5">
        <v>2555</v>
      </c>
      <c r="E38" s="5">
        <v>5181</v>
      </c>
      <c r="F38" s="2">
        <v>7736</v>
      </c>
    </row>
    <row r="39" spans="2:6" x14ac:dyDescent="0.15">
      <c r="B39" s="2">
        <v>39</v>
      </c>
      <c r="C39" s="5" t="s">
        <v>76</v>
      </c>
      <c r="D39" s="5">
        <v>7922</v>
      </c>
      <c r="E39" s="5">
        <v>7128</v>
      </c>
      <c r="F39" s="2">
        <v>15050</v>
      </c>
    </row>
    <row r="40" spans="2:6" x14ac:dyDescent="0.15">
      <c r="B40" s="2">
        <v>40</v>
      </c>
      <c r="C40" s="5" t="s">
        <v>77</v>
      </c>
      <c r="D40" s="5">
        <v>271</v>
      </c>
      <c r="E40" s="5">
        <v>1062</v>
      </c>
      <c r="F40" s="2">
        <v>1333</v>
      </c>
    </row>
    <row r="41" spans="2:6" x14ac:dyDescent="0.15">
      <c r="B41" s="2">
        <v>41</v>
      </c>
      <c r="C41" s="5" t="s">
        <v>78</v>
      </c>
      <c r="D41" s="5">
        <v>7264</v>
      </c>
      <c r="E41" s="5">
        <v>5700</v>
      </c>
      <c r="F41" s="2">
        <v>12964</v>
      </c>
    </row>
    <row r="42" spans="2:6" ht="15.75" thickBot="1" x14ac:dyDescent="0.2">
      <c r="B42" s="6">
        <v>42</v>
      </c>
      <c r="C42" s="7" t="s">
        <v>79</v>
      </c>
      <c r="D42" s="7">
        <v>929</v>
      </c>
      <c r="E42" s="7">
        <v>2490</v>
      </c>
      <c r="F42" s="6">
        <v>3419</v>
      </c>
    </row>
    <row r="43" spans="2:6" ht="15.75" thickTop="1" x14ac:dyDescent="0.15"/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J16"/>
  <sheetViews>
    <sheetView showGridLines="0" workbookViewId="0">
      <selection activeCell="H18" sqref="H18"/>
    </sheetView>
  </sheetViews>
  <sheetFormatPr defaultRowHeight="15" x14ac:dyDescent="0.15"/>
  <cols>
    <col min="1" max="1" width="2.33203125" style="28" customWidth="1"/>
    <col min="2" max="2" width="7.77734375" style="28" bestFit="1" customWidth="1"/>
    <col min="3" max="3" width="5.5546875" style="28" bestFit="1" customWidth="1"/>
    <col min="4" max="4" width="4" style="28" bestFit="1" customWidth="1"/>
    <col min="5" max="5" width="3.21875" style="28" bestFit="1" customWidth="1"/>
    <col min="6" max="6" width="4.33203125" style="28" bestFit="1" customWidth="1"/>
    <col min="7" max="7" width="8.88671875" style="28"/>
    <col min="8" max="8" width="9.44140625" style="28" bestFit="1" customWidth="1"/>
    <col min="9" max="9" width="16.21875" style="28" bestFit="1" customWidth="1"/>
    <col min="10" max="10" width="11.88671875" style="28" bestFit="1" customWidth="1"/>
    <col min="11" max="16384" width="8.88671875" style="28"/>
  </cols>
  <sheetData>
    <row r="1" spans="2:10" ht="18" customHeight="1" thickBot="1" x14ac:dyDescent="0.2"/>
    <row r="2" spans="2:10" ht="18" customHeight="1" thickBot="1" x14ac:dyDescent="0.2">
      <c r="B2" s="50" t="s">
        <v>30</v>
      </c>
      <c r="C2" s="50" t="s">
        <v>31</v>
      </c>
      <c r="D2" s="50" t="s">
        <v>32</v>
      </c>
      <c r="E2" s="50" t="s">
        <v>33</v>
      </c>
      <c r="F2" s="50" t="s">
        <v>34</v>
      </c>
      <c r="G2" s="50" t="s">
        <v>35</v>
      </c>
      <c r="H2" s="50" t="s">
        <v>36</v>
      </c>
      <c r="I2" s="50" t="s">
        <v>37</v>
      </c>
      <c r="J2" s="50" t="s">
        <v>38</v>
      </c>
    </row>
    <row r="3" spans="2:10" ht="18" customHeight="1" x14ac:dyDescent="0.15">
      <c r="B3" s="55" t="s">
        <v>26</v>
      </c>
      <c r="C3" s="46" t="s">
        <v>23</v>
      </c>
      <c r="D3" s="46">
        <v>90</v>
      </c>
      <c r="E3" s="46">
        <v>10</v>
      </c>
      <c r="F3" s="46">
        <f>SUM(D3:E3)</f>
        <v>100</v>
      </c>
      <c r="G3" s="46"/>
      <c r="H3" s="46"/>
      <c r="I3" s="51"/>
      <c r="J3" s="51"/>
    </row>
    <row r="4" spans="2:10" ht="18" customHeight="1" thickBot="1" x14ac:dyDescent="0.2">
      <c r="B4" s="56"/>
      <c r="C4" s="47" t="s">
        <v>24</v>
      </c>
      <c r="D4" s="47">
        <v>50</v>
      </c>
      <c r="E4" s="47">
        <v>50</v>
      </c>
      <c r="F4" s="47">
        <f t="shared" ref="F4:F12" si="0">SUM(D4:E4)</f>
        <v>100</v>
      </c>
      <c r="G4" s="47"/>
      <c r="H4" s="47"/>
      <c r="I4" s="52"/>
      <c r="J4" s="52"/>
    </row>
    <row r="5" spans="2:10" ht="18" customHeight="1" thickTop="1" x14ac:dyDescent="0.15">
      <c r="B5" s="53" t="s">
        <v>27</v>
      </c>
      <c r="C5" s="48" t="s">
        <v>23</v>
      </c>
      <c r="D5" s="48">
        <v>50</v>
      </c>
      <c r="E5" s="48">
        <v>30</v>
      </c>
      <c r="F5" s="48">
        <f t="shared" si="0"/>
        <v>80</v>
      </c>
      <c r="G5" s="48"/>
      <c r="H5" s="48"/>
      <c r="I5" s="53"/>
      <c r="J5" s="53"/>
    </row>
    <row r="6" spans="2:10" ht="18" customHeight="1" x14ac:dyDescent="0.15">
      <c r="B6" s="54"/>
      <c r="C6" s="49" t="s">
        <v>24</v>
      </c>
      <c r="D6" s="49">
        <v>10</v>
      </c>
      <c r="E6" s="49">
        <v>20</v>
      </c>
      <c r="F6" s="49">
        <f t="shared" si="0"/>
        <v>30</v>
      </c>
      <c r="G6" s="49"/>
      <c r="H6" s="49"/>
      <c r="I6" s="54"/>
      <c r="J6" s="54"/>
    </row>
    <row r="7" spans="2:10" ht="18" customHeight="1" thickBot="1" x14ac:dyDescent="0.2">
      <c r="B7" s="52"/>
      <c r="C7" s="47" t="s">
        <v>25</v>
      </c>
      <c r="D7" s="47">
        <v>60</v>
      </c>
      <c r="E7" s="47">
        <v>50</v>
      </c>
      <c r="F7" s="47">
        <f t="shared" si="0"/>
        <v>110</v>
      </c>
      <c r="G7" s="47"/>
      <c r="H7" s="47"/>
      <c r="I7" s="52"/>
      <c r="J7" s="52"/>
    </row>
    <row r="8" spans="2:10" ht="18" customHeight="1" thickTop="1" x14ac:dyDescent="0.15">
      <c r="B8" s="53" t="s">
        <v>28</v>
      </c>
      <c r="C8" s="48" t="s">
        <v>23</v>
      </c>
      <c r="D8" s="48">
        <v>60</v>
      </c>
      <c r="E8" s="48">
        <v>40</v>
      </c>
      <c r="F8" s="48">
        <f t="shared" si="0"/>
        <v>100</v>
      </c>
      <c r="G8" s="48"/>
      <c r="H8" s="48"/>
      <c r="I8" s="53"/>
      <c r="J8" s="53"/>
    </row>
    <row r="9" spans="2:10" ht="18" customHeight="1" x14ac:dyDescent="0.15">
      <c r="B9" s="54"/>
      <c r="C9" s="49" t="s">
        <v>24</v>
      </c>
      <c r="D9" s="49">
        <v>40</v>
      </c>
      <c r="E9" s="49">
        <v>30</v>
      </c>
      <c r="F9" s="49">
        <f t="shared" si="0"/>
        <v>70</v>
      </c>
      <c r="G9" s="49"/>
      <c r="H9" s="49"/>
      <c r="I9" s="54"/>
      <c r="J9" s="54"/>
    </row>
    <row r="10" spans="2:10" ht="18" customHeight="1" thickBot="1" x14ac:dyDescent="0.2">
      <c r="B10" s="52"/>
      <c r="C10" s="47" t="s">
        <v>25</v>
      </c>
      <c r="D10" s="47">
        <v>30</v>
      </c>
      <c r="E10" s="47">
        <v>0</v>
      </c>
      <c r="F10" s="47">
        <f t="shared" si="0"/>
        <v>30</v>
      </c>
      <c r="G10" s="47"/>
      <c r="H10" s="47"/>
      <c r="I10" s="52"/>
      <c r="J10" s="52"/>
    </row>
    <row r="11" spans="2:10" ht="18" customHeight="1" thickTop="1" x14ac:dyDescent="0.15">
      <c r="B11" s="53" t="s">
        <v>29</v>
      </c>
      <c r="C11" s="48" t="s">
        <v>23</v>
      </c>
      <c r="D11" s="48">
        <v>55</v>
      </c>
      <c r="E11" s="48">
        <v>45</v>
      </c>
      <c r="F11" s="48">
        <f t="shared" si="0"/>
        <v>100</v>
      </c>
      <c r="G11" s="48"/>
      <c r="H11" s="48"/>
      <c r="I11" s="53"/>
      <c r="J11" s="53"/>
    </row>
    <row r="12" spans="2:10" ht="18" customHeight="1" thickBot="1" x14ac:dyDescent="0.2">
      <c r="B12" s="52"/>
      <c r="C12" s="47" t="s">
        <v>24</v>
      </c>
      <c r="D12" s="47">
        <v>45</v>
      </c>
      <c r="E12" s="47">
        <v>50</v>
      </c>
      <c r="F12" s="47">
        <f t="shared" si="0"/>
        <v>95</v>
      </c>
      <c r="G12" s="47"/>
      <c r="H12" s="47"/>
      <c r="I12" s="52"/>
      <c r="J12" s="52"/>
    </row>
    <row r="13" spans="2:10" ht="18" customHeight="1" thickTop="1" x14ac:dyDescent="0.15"/>
    <row r="14" spans="2:10" ht="18" customHeight="1" x14ac:dyDescent="0.15"/>
    <row r="15" spans="2:10" ht="18" customHeight="1" x14ac:dyDescent="0.15"/>
    <row r="16" spans="2:10" ht="18" customHeight="1" x14ac:dyDescent="0.15"/>
  </sheetData>
  <mergeCells count="12">
    <mergeCell ref="I8:I10"/>
    <mergeCell ref="I11:I12"/>
    <mergeCell ref="J3:J4"/>
    <mergeCell ref="J5:J7"/>
    <mergeCell ref="J8:J10"/>
    <mergeCell ref="J11:J12"/>
    <mergeCell ref="B11:B12"/>
    <mergeCell ref="B8:B10"/>
    <mergeCell ref="B5:B7"/>
    <mergeCell ref="B3:B4"/>
    <mergeCell ref="I3:I4"/>
    <mergeCell ref="I5:I7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Tennis</vt:lpstr>
      <vt:lpstr>Computer</vt:lpstr>
      <vt:lpstr>GoodVariable</vt:lpstr>
      <vt:lpstr>Variable Rank</vt:lpstr>
    </vt:vector>
  </TitlesOfParts>
  <Company>마케팅엔지니어코리아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이정훈</dc:creator>
  <cp:lastModifiedBy>Registered User</cp:lastModifiedBy>
  <dcterms:created xsi:type="dcterms:W3CDTF">2007-04-14T03:11:40Z</dcterms:created>
  <dcterms:modified xsi:type="dcterms:W3CDTF">2017-08-10T05:58:58Z</dcterms:modified>
</cp:coreProperties>
</file>