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현재_통합_문서" defaultThemeVersion="124226"/>
  <bookViews>
    <workbookView xWindow="120" yWindow="105" windowWidth="19440" windowHeight="12240"/>
  </bookViews>
  <sheets>
    <sheet name="STOCK_MATRIX" sheetId="1" r:id="rId1"/>
  </sheets>
  <definedNames>
    <definedName name="_xlnm._FilterDatabase" localSheetId="0" hidden="1">STOCK_MATRIX!$A$9:$AD$2132</definedName>
  </definedNames>
  <calcPr calcId="144525"/>
</workbook>
</file>

<file path=xl/calcChain.xml><?xml version="1.0" encoding="utf-8"?>
<calcChain xmlns="http://schemas.openxmlformats.org/spreadsheetml/2006/main">
  <c r="AL7" i="1" l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C4" i="1" s="1"/>
  <c r="AD6" i="1"/>
  <c r="F4" i="1"/>
  <c r="F3" i="1" s="1"/>
  <c r="G4" i="1"/>
  <c r="H4" i="1"/>
  <c r="I4" i="1"/>
  <c r="J4" i="1"/>
  <c r="J3" i="1" s="1"/>
  <c r="K4" i="1"/>
  <c r="L4" i="1"/>
  <c r="M4" i="1"/>
  <c r="N4" i="1"/>
  <c r="N3" i="1" s="1"/>
  <c r="O4" i="1"/>
  <c r="P4" i="1"/>
  <c r="Q4" i="1"/>
  <c r="R4" i="1"/>
  <c r="R3" i="1" s="1"/>
  <c r="S4" i="1"/>
  <c r="T4" i="1"/>
  <c r="U4" i="1"/>
  <c r="V4" i="1"/>
  <c r="V3" i="1" s="1"/>
  <c r="W4" i="1"/>
  <c r="X4" i="1"/>
  <c r="Y4" i="1"/>
  <c r="Z4" i="1"/>
  <c r="Z3" i="1" s="1"/>
  <c r="AA4" i="1"/>
  <c r="AB4" i="1"/>
  <c r="AD4" i="1"/>
  <c r="AD3" i="1" s="1"/>
  <c r="AI4" i="1"/>
  <c r="AI5" i="1" l="1"/>
  <c r="AL5" i="1" s="1"/>
  <c r="AJ4" i="1"/>
  <c r="AE7" i="1"/>
  <c r="AJ5" i="1" l="1"/>
  <c r="AN5" i="1" s="1"/>
  <c r="AO5" i="1" s="1"/>
  <c r="D6" i="1" l="1"/>
  <c r="D5" i="1"/>
  <c r="B6" i="1"/>
  <c r="B5" i="1"/>
  <c r="B4" i="1" s="1"/>
  <c r="B3" i="1" s="1"/>
  <c r="C5" i="1"/>
  <c r="C6" i="1"/>
  <c r="D4" i="1" l="1"/>
  <c r="E5" i="1"/>
  <c r="E6" i="1"/>
  <c r="C4" i="1"/>
  <c r="E4" i="1" l="1"/>
  <c r="AI7" i="1" l="1"/>
  <c r="AL6" i="1" s="1"/>
  <c r="AJ7" i="1"/>
  <c r="AN6" i="1" s="1"/>
  <c r="AM5" i="1"/>
  <c r="AJ6" i="1"/>
  <c r="AO6" i="1" s="1"/>
  <c r="AP6" i="1"/>
  <c r="AQ9" i="1"/>
  <c r="E3" i="1"/>
  <c r="P3" i="1"/>
  <c r="I3" i="1"/>
  <c r="T3" i="1"/>
  <c r="H3" i="1"/>
  <c r="U3" i="1"/>
  <c r="L3" i="1"/>
  <c r="Y3" i="1"/>
  <c r="AA3" i="1"/>
  <c r="O3" i="1"/>
  <c r="K3" i="1"/>
  <c r="AI6" i="1"/>
  <c r="AM6" i="1"/>
  <c r="AQ6" i="1"/>
  <c r="AQ4" i="1"/>
  <c r="W3" i="1"/>
  <c r="Q3" i="1"/>
  <c r="X3" i="1"/>
  <c r="C3" i="1"/>
  <c r="S3" i="1"/>
  <c r="G3" i="1"/>
  <c r="AB3" i="1"/>
  <c r="AC3" i="1"/>
  <c r="M3" i="1"/>
  <c r="D3" i="1"/>
</calcChain>
</file>

<file path=xl/sharedStrings.xml><?xml version="1.0" encoding="utf-8"?>
<sst xmlns="http://schemas.openxmlformats.org/spreadsheetml/2006/main" count="2172" uniqueCount="2172">
  <si>
    <t>종목명</t>
  </si>
  <si>
    <t>OO</t>
  </si>
  <si>
    <t>XO</t>
  </si>
  <si>
    <t>OX</t>
  </si>
  <si>
    <t>XX</t>
  </si>
  <si>
    <t>주가상승율</t>
  </si>
  <si>
    <t>매출액(억원)</t>
  </si>
  <si>
    <t>영업이익(억원)</t>
  </si>
  <si>
    <t>영업이익율(%)</t>
  </si>
  <si>
    <t>당기순이익(억원)</t>
  </si>
  <si>
    <t>순이익율(%)</t>
  </si>
  <si>
    <t>자산총계(억원)</t>
  </si>
  <si>
    <t>부채총계(억원)</t>
  </si>
  <si>
    <t>자본총계(억원)</t>
  </si>
  <si>
    <t>유보율(%)</t>
  </si>
  <si>
    <t>ROE</t>
  </si>
  <si>
    <t>PER</t>
  </si>
  <si>
    <t>PBR</t>
  </si>
  <si>
    <t>PSR</t>
  </si>
  <si>
    <t>EPS(원)</t>
  </si>
  <si>
    <t>BPS(원)</t>
  </si>
  <si>
    <t>SPS(원)</t>
  </si>
  <si>
    <t>EBITDA(억원)</t>
  </si>
  <si>
    <t>EV/EBITDA</t>
  </si>
  <si>
    <t>RSQ</t>
  </si>
  <si>
    <t>MAX_PRICE</t>
  </si>
  <si>
    <t>MIN_PRICE</t>
  </si>
  <si>
    <t>NOW_PRICE</t>
  </si>
  <si>
    <t>PRICE_Z</t>
  </si>
  <si>
    <t>SLOPE</t>
  </si>
  <si>
    <t>INTERCEPT</t>
  </si>
  <si>
    <t>3S</t>
  </si>
  <si>
    <t>able Quant비중조절 E</t>
  </si>
  <si>
    <t>able 코스피200선물플</t>
  </si>
  <si>
    <t>AJ렌터카</t>
  </si>
  <si>
    <t>AK홀딩스</t>
  </si>
  <si>
    <t>AP시스템</t>
  </si>
  <si>
    <t>ARIRANG 200</t>
  </si>
  <si>
    <t>ARIRANG K100EW</t>
  </si>
  <si>
    <t>ARIRANG KOSPI50</t>
  </si>
  <si>
    <t>ARIRANG KRX100EW</t>
  </si>
  <si>
    <t>ARIRANG LG그룹&amp;</t>
  </si>
  <si>
    <t>ARIRANG 고배당주</t>
  </si>
  <si>
    <t>ARIRANG 네오밸류</t>
  </si>
  <si>
    <t>ARIRANG 단기유동성</t>
  </si>
  <si>
    <t>ARIRANG 바벨 채권</t>
  </si>
  <si>
    <t>ARIRANG 방어주</t>
  </si>
  <si>
    <t>ARIRANG 주도주</t>
  </si>
  <si>
    <t>ARIRANG 합성-AC 월드</t>
  </si>
  <si>
    <t>ARIRANG 합성-미국 고</t>
  </si>
  <si>
    <t>ARIRANG 합성-선진국(</t>
  </si>
  <si>
    <t>ARIRANG 합성-신흥국(</t>
  </si>
  <si>
    <t>ARIRANG 합성-차이나H</t>
  </si>
  <si>
    <t>AST젯텍</t>
  </si>
  <si>
    <t>BGF리테일</t>
  </si>
  <si>
    <t>BS금융지주</t>
  </si>
  <si>
    <t>BYC</t>
  </si>
  <si>
    <t>BYC우</t>
  </si>
  <si>
    <t>C&amp;S자산관리</t>
  </si>
  <si>
    <t>CJ</t>
  </si>
  <si>
    <t>CJ CGV</t>
  </si>
  <si>
    <t>CJ E&amp;M</t>
  </si>
  <si>
    <t>CJ대한통운</t>
  </si>
  <si>
    <t>CJ씨푸드</t>
  </si>
  <si>
    <t>CJ씨푸드1우</t>
  </si>
  <si>
    <t>CJ오쇼핑</t>
  </si>
  <si>
    <t>CJ우</t>
  </si>
  <si>
    <t>CJ제일제당</t>
  </si>
  <si>
    <t>CJ제일제당 우</t>
  </si>
  <si>
    <t>CJ프레시웨이</t>
  </si>
  <si>
    <t>CJ헬로비전</t>
  </si>
  <si>
    <t>CMG제약</t>
  </si>
  <si>
    <t>CNH</t>
  </si>
  <si>
    <t>CS</t>
  </si>
  <si>
    <t>CS엘쏠라</t>
  </si>
  <si>
    <t>CS홀딩스</t>
  </si>
  <si>
    <t>DGB금융지주</t>
  </si>
  <si>
    <t>DMS</t>
  </si>
  <si>
    <t>DRB동일</t>
  </si>
  <si>
    <t>DSR</t>
  </si>
  <si>
    <t>DSR제강</t>
  </si>
  <si>
    <t>E1</t>
  </si>
  <si>
    <t>EG</t>
  </si>
  <si>
    <t>EMW</t>
  </si>
  <si>
    <t>F&amp;F</t>
  </si>
  <si>
    <t>FIRST 스타우량</t>
  </si>
  <si>
    <t>GⅡR</t>
  </si>
  <si>
    <t>GIANT 현대차그룹</t>
  </si>
  <si>
    <t>GKL</t>
  </si>
  <si>
    <t>GREAT GREEN</t>
  </si>
  <si>
    <t>GREAT SRI</t>
  </si>
  <si>
    <t>GS</t>
  </si>
  <si>
    <t>GST</t>
  </si>
  <si>
    <t>GS건설</t>
  </si>
  <si>
    <t>GS글로벌</t>
  </si>
  <si>
    <t>GS리테일</t>
  </si>
  <si>
    <t>GS우</t>
  </si>
  <si>
    <t>GS홈쇼핑</t>
  </si>
  <si>
    <t>GT&amp;T</t>
  </si>
  <si>
    <t>HB테크놀러지</t>
  </si>
  <si>
    <t>HMC투자증권</t>
  </si>
  <si>
    <t>HRS</t>
  </si>
  <si>
    <t>IBKS제2호스팩</t>
  </si>
  <si>
    <t>IB월드와이드</t>
  </si>
  <si>
    <t>IHQ</t>
  </si>
  <si>
    <t>iKon 100</t>
  </si>
  <si>
    <t>iMBC</t>
  </si>
  <si>
    <t>ISC</t>
  </si>
  <si>
    <t>ITX시큐리티</t>
  </si>
  <si>
    <t>JB금융지주</t>
  </si>
  <si>
    <t>JW중외신약</t>
  </si>
  <si>
    <t>JW중외제약</t>
  </si>
  <si>
    <t>JW중외제약2우B</t>
  </si>
  <si>
    <t>JW중외제약우</t>
  </si>
  <si>
    <t>JW홀딩스</t>
  </si>
  <si>
    <t>JYP Ent.</t>
  </si>
  <si>
    <t>KB금융</t>
  </si>
  <si>
    <t>KB오토시스</t>
  </si>
  <si>
    <t>KCC</t>
  </si>
  <si>
    <t>KCC건설</t>
  </si>
  <si>
    <t>KCI</t>
  </si>
  <si>
    <t>KCTC</t>
  </si>
  <si>
    <t>KCW</t>
  </si>
  <si>
    <t>KC그린홀딩스</t>
  </si>
  <si>
    <t>KC코트렐</t>
  </si>
  <si>
    <t>KEC</t>
  </si>
  <si>
    <t>KG ETS</t>
  </si>
  <si>
    <t>KGP</t>
  </si>
  <si>
    <t>KG모빌리언스</t>
  </si>
  <si>
    <t>KG이니시스</t>
  </si>
  <si>
    <t>KG케미칼</t>
  </si>
  <si>
    <t>KH바텍</t>
  </si>
  <si>
    <t>KINDEX 국고채</t>
  </si>
  <si>
    <t>KINDEX 단기자금</t>
  </si>
  <si>
    <t>KINDEX 레버리지</t>
  </si>
  <si>
    <t>KINDEX 배당성장</t>
  </si>
  <si>
    <t>KINDEX 밸류대형</t>
  </si>
  <si>
    <t>KINDEX 삼성그룹EW</t>
  </si>
  <si>
    <t>KINDEX 삼성그룹SW</t>
  </si>
  <si>
    <t>KINDEX 성장대형F15</t>
  </si>
  <si>
    <t>KINDEX 인버스</t>
  </si>
  <si>
    <t>KINDEX 일본레버리지(</t>
  </si>
  <si>
    <t>KINDEX 중국본토CSI30</t>
  </si>
  <si>
    <t>KINDEX 코스닥스타</t>
  </si>
  <si>
    <t>KINDEX 합성-미국리츠</t>
  </si>
  <si>
    <t>KINDEX 합성-선진국하</t>
  </si>
  <si>
    <t>KINDEX 합성-일본인버</t>
  </si>
  <si>
    <t>KINDEX200</t>
  </si>
  <si>
    <t>KISCO홀딩스</t>
  </si>
  <si>
    <t>KJ프리텍</t>
  </si>
  <si>
    <t>KMH</t>
  </si>
  <si>
    <t>KNN</t>
  </si>
  <si>
    <t>KODEX 10년국채선물</t>
  </si>
  <si>
    <t>KODEX 200</t>
  </si>
  <si>
    <t>KODEX China H</t>
  </si>
  <si>
    <t>KODEX China H 레버리</t>
  </si>
  <si>
    <t>KODEX Japan</t>
  </si>
  <si>
    <t>KODEX MSCI KOREA</t>
  </si>
  <si>
    <t>KODEX 건설</t>
  </si>
  <si>
    <t>KODEX 골드선물(H)</t>
  </si>
  <si>
    <t>KODEX 구리선물(H)</t>
  </si>
  <si>
    <t>KODEX 국고채</t>
  </si>
  <si>
    <t>KODEX 단기채권</t>
  </si>
  <si>
    <t>KODEX 단기채권PLUS</t>
  </si>
  <si>
    <t>KODEX 레버리지</t>
  </si>
  <si>
    <t>KODEX 반도체</t>
  </si>
  <si>
    <t>KODEX 배당성장</t>
  </si>
  <si>
    <t>KODEX 보험</t>
  </si>
  <si>
    <t>KODEX 삼성그룹</t>
  </si>
  <si>
    <t>KODEX 삼성그룹밸류</t>
  </si>
  <si>
    <t>KODEX 소비재</t>
  </si>
  <si>
    <t>KODEX 에너지화학</t>
  </si>
  <si>
    <t>KODEX 운송</t>
  </si>
  <si>
    <t>KODEX 은선물(H)</t>
  </si>
  <si>
    <t>KODEX 은행</t>
  </si>
  <si>
    <t>KODEX 인버스</t>
  </si>
  <si>
    <t>KODEX 인버스국채선물</t>
  </si>
  <si>
    <t>KODEX 자동차</t>
  </si>
  <si>
    <t>KODEX 조선</t>
  </si>
  <si>
    <t>KODEX 중국본토 A50</t>
  </si>
  <si>
    <t>KODEX 증권</t>
  </si>
  <si>
    <t>KODEX 철강</t>
  </si>
  <si>
    <t>KODEX 콩선물(H)</t>
  </si>
  <si>
    <t>KODEX 합성-MSCI독일</t>
  </si>
  <si>
    <t>KODEX 합성-미국IT</t>
  </si>
  <si>
    <t>KODEX 합성-미국금융</t>
  </si>
  <si>
    <t>KODEX 합성-미국바이?19,055</t>
  </si>
  <si>
    <t>KODEX 합성-미국산업?11,275</t>
  </si>
  <si>
    <t>KOSEF 10년국고채</t>
  </si>
  <si>
    <t>KOSEF 10년국고채 레?119,290</t>
  </si>
  <si>
    <t>KOSEF 200</t>
  </si>
  <si>
    <t>KOSEF 200 선물</t>
  </si>
  <si>
    <t>KOSEF KRX100</t>
  </si>
  <si>
    <t>KOSEF 고배당</t>
  </si>
  <si>
    <t>KOSEF 국고채</t>
  </si>
  <si>
    <t>KOSEF 단기자금</t>
  </si>
  <si>
    <t>KOSEF 달러선물</t>
  </si>
  <si>
    <t>KOSEF 달러인버스선물</t>
  </si>
  <si>
    <t>KOSEF 블루칩</t>
  </si>
  <si>
    <t>KOSEF 통안채</t>
  </si>
  <si>
    <t>KOSEF 펀더멘탈대형주</t>
  </si>
  <si>
    <t>KOSEF 합성-인디아(H)</t>
  </si>
  <si>
    <t>KPX그린케미칼</t>
  </si>
  <si>
    <t>KPX생명과학</t>
  </si>
  <si>
    <t>KPX케미칼</t>
  </si>
  <si>
    <t>KPX홀딩스</t>
  </si>
  <si>
    <t>KR모터스</t>
  </si>
  <si>
    <t>KSS해운</t>
  </si>
  <si>
    <t>KStar 200</t>
  </si>
  <si>
    <t>KStar 5대그룹주</t>
  </si>
  <si>
    <t>KStar 5대그룹주장기?127,735</t>
  </si>
  <si>
    <t>KStar 국고채</t>
  </si>
  <si>
    <t>KStar 단기통안채</t>
  </si>
  <si>
    <t>KStar 레버리지</t>
  </si>
  <si>
    <t>KStar 수출주</t>
  </si>
  <si>
    <t>KStar 우량업종</t>
  </si>
  <si>
    <t>KStar 우량회사채</t>
  </si>
  <si>
    <t>KStar 일본레버리지(H</t>
  </si>
  <si>
    <t>KStar 주식혼합</t>
  </si>
  <si>
    <t>KStar 중국본토 CSI10</t>
  </si>
  <si>
    <t>KStar 채권혼합</t>
  </si>
  <si>
    <t>KStar 코스닥엘리트30</t>
  </si>
  <si>
    <t>KT</t>
  </si>
  <si>
    <t>KT&amp;G</t>
  </si>
  <si>
    <t>KTB투자증권</t>
  </si>
  <si>
    <t>KTcs</t>
  </si>
  <si>
    <t>KTH</t>
  </si>
  <si>
    <t>KTOP50</t>
  </si>
  <si>
    <t>KT뮤직</t>
  </si>
  <si>
    <t>KT서브마린</t>
  </si>
  <si>
    <t>LF</t>
  </si>
  <si>
    <t>LG</t>
  </si>
  <si>
    <t>LG디스플레이</t>
  </si>
  <si>
    <t>LG상사</t>
  </si>
  <si>
    <t>LG생명과학</t>
  </si>
  <si>
    <t>LG생명과학우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</si>
  <si>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</si>
  <si>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</si>
  <si>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</si>
  <si>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</si>
  <si>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</si>
  <si>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</si>
  <si>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</si>
  <si>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</si>
  <si>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</si>
  <si>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LG화학</t>
  </si>
  <si>
    <t>LG화학우</t>
  </si>
  <si>
    <t>LIG손해보험</t>
  </si>
  <si>
    <t>LIG에이디피</t>
  </si>
  <si>
    <t>LS</t>
  </si>
  <si>
    <t>LS네트웍스</t>
  </si>
  <si>
    <t>LS네트웍스전환상환2?4,435</t>
  </si>
  <si>
    <t>LS산전</t>
  </si>
  <si>
    <t>MDS테크</t>
  </si>
  <si>
    <t>MH에탄올</t>
  </si>
  <si>
    <t>MPK</t>
  </si>
  <si>
    <t>NAVER</t>
  </si>
  <si>
    <t>NEW</t>
  </si>
  <si>
    <t>NHN엔터테인먼트</t>
  </si>
  <si>
    <t>NH투자증권</t>
  </si>
  <si>
    <t>NH투자증권우</t>
  </si>
  <si>
    <t>NICE</t>
  </si>
  <si>
    <t>NICE평가정보</t>
  </si>
  <si>
    <t>NI스틸</t>
  </si>
  <si>
    <t>NPC</t>
  </si>
  <si>
    <t>NPC우</t>
  </si>
  <si>
    <t>OCI</t>
  </si>
  <si>
    <t>OCI머티리얼즈</t>
  </si>
  <si>
    <t>octo Big Vol ETN</t>
  </si>
  <si>
    <t>octo WISE 배당 ETN</t>
  </si>
  <si>
    <t>Perfex 유럽 고배당 ?12,060</t>
  </si>
  <si>
    <t>PIONEER SRI</t>
  </si>
  <si>
    <t>PN풍년</t>
  </si>
  <si>
    <t>POSCO</t>
  </si>
  <si>
    <t>S&amp;K폴리텍</t>
  </si>
  <si>
    <t>S&amp;TC</t>
  </si>
  <si>
    <t>S&amp;T모티브</t>
  </si>
  <si>
    <t>S&amp;T중공업</t>
  </si>
  <si>
    <t>S&amp;T홀딩스</t>
  </si>
  <si>
    <t>SBI액시즈</t>
  </si>
  <si>
    <t>SBI인베스트먼트</t>
  </si>
  <si>
    <t>SBS</t>
  </si>
  <si>
    <t>SBS미디어홀딩스</t>
  </si>
  <si>
    <t>SBS콘텐츠허브</t>
  </si>
  <si>
    <t>SDN</t>
  </si>
  <si>
    <t>SG&amp;G</t>
  </si>
  <si>
    <t>SGA</t>
  </si>
  <si>
    <t>SG세계물산</t>
  </si>
  <si>
    <t>SG충남방적</t>
  </si>
  <si>
    <t>SH 홀딩스</t>
  </si>
  <si>
    <t>SH에너지화학</t>
  </si>
  <si>
    <t>SIMPAC</t>
  </si>
  <si>
    <t>SIMPAC METALLOY</t>
  </si>
  <si>
    <t>SJM</t>
  </si>
  <si>
    <t>SJM홀딩스</t>
  </si>
  <si>
    <t>SK</t>
  </si>
  <si>
    <t>SK C&amp;C</t>
  </si>
  <si>
    <t>SKC</t>
  </si>
  <si>
    <t>SKC 솔믹스</t>
  </si>
  <si>
    <t>SKC코오롱PI</t>
  </si>
  <si>
    <t>SK가스</t>
  </si>
  <si>
    <t>SK네트웍스</t>
  </si>
  <si>
    <t>SK네트웍스우</t>
  </si>
  <si>
    <t>SK브로드밴드</t>
  </si>
  <si>
    <t>SK우</t>
  </si>
  <si>
    <t>SK이노베이션</t>
  </si>
  <si>
    <t>SK이노베이션우</t>
  </si>
  <si>
    <t>SK증권</t>
  </si>
  <si>
    <t>SK증권우</t>
  </si>
  <si>
    <t>SK컴즈</t>
  </si>
  <si>
    <t>SK케미칼</t>
  </si>
  <si>
    <t>SK케미칼우</t>
  </si>
  <si>
    <t>SK텔레콤</t>
  </si>
  <si>
    <t>SK하이닉스</t>
  </si>
  <si>
    <t>SM C&amp;C</t>
  </si>
  <si>
    <t>SMART 합성-MSCI 선진</t>
  </si>
  <si>
    <t>SNH</t>
  </si>
  <si>
    <t>S-Oil</t>
  </si>
  <si>
    <t>S-Oil우</t>
  </si>
  <si>
    <t>STS반도체</t>
  </si>
  <si>
    <t>STX</t>
  </si>
  <si>
    <t>STX엔진</t>
  </si>
  <si>
    <t>STX중공업</t>
  </si>
  <si>
    <t>TCC동양</t>
  </si>
  <si>
    <t>TIGER 200</t>
  </si>
  <si>
    <t>TIGER IT</t>
  </si>
  <si>
    <t>TIGER KRX100</t>
  </si>
  <si>
    <t>TIGER LG그룹+</t>
  </si>
  <si>
    <t>TIGER S&amp;P500선물(H)</t>
  </si>
  <si>
    <t>TIGER 가치주</t>
  </si>
  <si>
    <t>TIGER 건설기계</t>
  </si>
  <si>
    <t>TIGER 경기방어</t>
  </si>
  <si>
    <t>TIGER 경기소비재</t>
  </si>
  <si>
    <t>TIGER 구리실물</t>
  </si>
  <si>
    <t>TIGER 국채3</t>
  </si>
  <si>
    <t>TIGER 그린</t>
  </si>
  <si>
    <t>TIGER 금속선물(H)</t>
  </si>
  <si>
    <t>TIGER 금융</t>
  </si>
  <si>
    <t>TIGER 금은선물(H)</t>
  </si>
  <si>
    <t>TIGER 나스닥100</t>
  </si>
  <si>
    <t>TIGER 나스닥바이오</t>
  </si>
  <si>
    <t>TIGER 농산물선물(H)</t>
  </si>
  <si>
    <t>TIGER 라틴</t>
  </si>
  <si>
    <t>TIGER 레버리지</t>
  </si>
  <si>
    <t>TIGER 로우볼</t>
  </si>
  <si>
    <t>TIGER 모멘텀</t>
  </si>
  <si>
    <t>TIGER 미드캡</t>
  </si>
  <si>
    <t>TIGER 미디어통신</t>
  </si>
  <si>
    <t>TIGER 반도체</t>
  </si>
  <si>
    <t>TIGER 배당성장</t>
  </si>
  <si>
    <t>TIGER 베타플러스</t>
  </si>
  <si>
    <t>TIGER 삼성그룹</t>
  </si>
  <si>
    <t>TIGER 생활소비재</t>
  </si>
  <si>
    <t>TIGER 소프트웨어</t>
  </si>
  <si>
    <t>TIGER 에너지화학</t>
  </si>
  <si>
    <t>TIGER 원유선물(H)</t>
  </si>
  <si>
    <t>TIGER 유동자금</t>
  </si>
  <si>
    <t>TIGER 은행</t>
  </si>
  <si>
    <t>TIGER 인버스</t>
  </si>
  <si>
    <t>TIGER 자동차</t>
  </si>
  <si>
    <t>TIGER 조선운송</t>
  </si>
  <si>
    <t>TIGER 중국소비테마</t>
  </si>
  <si>
    <t>TIGER 증권</t>
  </si>
  <si>
    <t>TIGER 차이나</t>
  </si>
  <si>
    <t>TIGER 차이나A300</t>
  </si>
  <si>
    <t>TIGER 철강소재</t>
  </si>
  <si>
    <t>TIGER 커버드C200</t>
  </si>
  <si>
    <t>TIGER 코스닥프리미어</t>
  </si>
  <si>
    <t>TIGER 코스피고배당</t>
  </si>
  <si>
    <t>TIGER 합성-단기선진?9,980</t>
  </si>
  <si>
    <t>TIGER 합성-유로스탁?11,595</t>
  </si>
  <si>
    <t>TIGER 합성-일본(H)</t>
  </si>
  <si>
    <t>TIGER 합성-차이나A레</t>
  </si>
  <si>
    <t>TIGER 헬스케어</t>
  </si>
  <si>
    <t>TIGER 현대차그룹+</t>
  </si>
  <si>
    <t>TIGER 화학</t>
  </si>
  <si>
    <t>TIGER합성-MSCI US리?12,460</t>
  </si>
  <si>
    <t>TJ미디어</t>
  </si>
  <si>
    <t>TPC</t>
  </si>
  <si>
    <t>TREX 200</t>
  </si>
  <si>
    <t>TREX 중소형가치</t>
  </si>
  <si>
    <t>TREX 펀더멘탈 200</t>
  </si>
  <si>
    <t>TRUE 코스피 선물매도</t>
  </si>
  <si>
    <t>TRUE 코스피 선물매수</t>
  </si>
  <si>
    <t>WISCOM</t>
  </si>
  <si>
    <t>YBM시사닷컴</t>
  </si>
  <si>
    <t>YG PLUS</t>
  </si>
  <si>
    <t>YTN</t>
  </si>
  <si>
    <t>가비아</t>
  </si>
  <si>
    <t>가온미디어</t>
  </si>
  <si>
    <t>가온전선</t>
  </si>
  <si>
    <t>가희</t>
  </si>
  <si>
    <t>감마누</t>
  </si>
  <si>
    <t>갑을메탈</t>
  </si>
  <si>
    <t>강원랜드</t>
  </si>
  <si>
    <t>갤럭시아컴즈</t>
  </si>
  <si>
    <t>건설화학</t>
  </si>
  <si>
    <t>게임빌</t>
  </si>
  <si>
    <t>경남기업</t>
  </si>
  <si>
    <t>경남스틸</t>
  </si>
  <si>
    <t>경남에너지</t>
  </si>
  <si>
    <t>경남은행</t>
  </si>
  <si>
    <t>경남제약</t>
  </si>
  <si>
    <t>경농</t>
  </si>
  <si>
    <t>경동가스</t>
  </si>
  <si>
    <t>경동나비엔</t>
  </si>
  <si>
    <t>경동제약</t>
  </si>
  <si>
    <t>경방</t>
  </si>
  <si>
    <t>경봉</t>
  </si>
  <si>
    <t>경인양행</t>
  </si>
  <si>
    <t>경인전자</t>
  </si>
  <si>
    <t>경창산업</t>
  </si>
  <si>
    <t>계룡건설</t>
  </si>
  <si>
    <t>계양전기</t>
  </si>
  <si>
    <t>계양전기우</t>
  </si>
  <si>
    <t>고려개발</t>
  </si>
  <si>
    <t>고려반도체</t>
  </si>
  <si>
    <t>고려산업</t>
  </si>
  <si>
    <t>고려신용정보</t>
  </si>
  <si>
    <t>고려아연</t>
  </si>
  <si>
    <t>고려제강</t>
  </si>
  <si>
    <t>고려제약</t>
  </si>
  <si>
    <t>고려포리머</t>
  </si>
  <si>
    <t>고영</t>
  </si>
  <si>
    <t>골든브릿지제2호스팩</t>
  </si>
  <si>
    <t>골든브릿지증권</t>
  </si>
  <si>
    <t>골프존</t>
  </si>
  <si>
    <t>광동제약</t>
  </si>
  <si>
    <t>광림</t>
  </si>
  <si>
    <t>광명전기</t>
  </si>
  <si>
    <t>광전자</t>
  </si>
  <si>
    <t>광주신세계</t>
  </si>
  <si>
    <t>광주은행</t>
  </si>
  <si>
    <t>광진실업</t>
  </si>
  <si>
    <t>광진윈텍</t>
  </si>
  <si>
    <t>광희리츠</t>
  </si>
  <si>
    <t>교보3호스팩</t>
  </si>
  <si>
    <t>교보위드스팩</t>
  </si>
  <si>
    <t>교보증권</t>
  </si>
  <si>
    <t>구영테크</t>
  </si>
  <si>
    <t>국도화학</t>
  </si>
  <si>
    <t>국동</t>
  </si>
  <si>
    <t>국보</t>
  </si>
  <si>
    <t>국보디자인</t>
  </si>
  <si>
    <t>국순당</t>
  </si>
  <si>
    <t>국영지앤엠</t>
  </si>
  <si>
    <t>국일신동</t>
  </si>
  <si>
    <t>국일제지</t>
  </si>
  <si>
    <t>국제디와이</t>
  </si>
  <si>
    <t>국제약품</t>
  </si>
  <si>
    <t>그랜드백화점</t>
  </si>
  <si>
    <t>극동유화</t>
  </si>
  <si>
    <t>근화제약</t>
  </si>
  <si>
    <t>글로벌에스엠</t>
  </si>
  <si>
    <t>금강공업</t>
  </si>
  <si>
    <t>금강공업우</t>
  </si>
  <si>
    <t>금강철강</t>
  </si>
  <si>
    <t>금비</t>
  </si>
  <si>
    <t>금성테크</t>
  </si>
  <si>
    <t>금양</t>
  </si>
  <si>
    <t>금호산업</t>
  </si>
  <si>
    <t>금호산업우</t>
  </si>
  <si>
    <t>금호석유</t>
  </si>
  <si>
    <t>금호석유우</t>
  </si>
  <si>
    <t>금호엔티</t>
  </si>
  <si>
    <t>금호전기</t>
  </si>
  <si>
    <t>금호타이어</t>
  </si>
  <si>
    <t>금화피에스시</t>
  </si>
  <si>
    <t>기가레인</t>
  </si>
  <si>
    <t>기산텔레콤</t>
  </si>
  <si>
    <t>기신정기</t>
  </si>
  <si>
    <t>기아차</t>
  </si>
  <si>
    <t>기업은행</t>
  </si>
  <si>
    <t>깨끗한나라</t>
  </si>
  <si>
    <t>깨끗한나라우</t>
  </si>
  <si>
    <t>나노스</t>
  </si>
  <si>
    <t>나노신소재</t>
  </si>
  <si>
    <t>나노엔텍</t>
  </si>
  <si>
    <t>나노캠텍</t>
  </si>
  <si>
    <t>나라엠앤디</t>
  </si>
  <si>
    <t>나라케이아이씨</t>
  </si>
  <si>
    <t>나스미디어</t>
  </si>
  <si>
    <t>나이벡</t>
  </si>
  <si>
    <t>나이스디앤비</t>
  </si>
  <si>
    <t>나이스정보통신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</si>
  <si>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</si>
  <si>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</si>
  <si>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</si>
  <si>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</si>
  <si>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</si>
  <si>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</si>
  <si>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</si>
  <si>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</si>
  <si>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남화토건</t>
  </si>
  <si>
    <t>내츄럴엔도텍</t>
  </si>
  <si>
    <t>네오아레나</t>
  </si>
  <si>
    <t>네오위즈게임즈</t>
  </si>
  <si>
    <t>네오위즈인터넷</t>
  </si>
  <si>
    <t>네오위즈홀딩스</t>
  </si>
  <si>
    <t>네오티스</t>
  </si>
  <si>
    <t>네오팜</t>
  </si>
  <si>
    <t>네오피델리티</t>
  </si>
  <si>
    <t>네이블</t>
  </si>
  <si>
    <t>네이처셀</t>
  </si>
  <si>
    <t>네패스</t>
  </si>
  <si>
    <t>네패스신소재</t>
  </si>
  <si>
    <t>넥센</t>
  </si>
  <si>
    <t>넥센우</t>
  </si>
  <si>
    <t>넥센타이어</t>
  </si>
  <si>
    <t>넥센타이어1우B</t>
  </si>
  <si>
    <t>넥센테크</t>
  </si>
  <si>
    <t>넥솔론</t>
  </si>
  <si>
    <t>넥스턴</t>
  </si>
  <si>
    <t>넥스트리밍</t>
  </si>
  <si>
    <t>넥스트아이</t>
  </si>
  <si>
    <t>넥스트칩</t>
  </si>
  <si>
    <t>넥슨지티</t>
  </si>
  <si>
    <t>노루페인트</t>
  </si>
  <si>
    <t>노루페인트우</t>
  </si>
  <si>
    <t>노루홀딩스</t>
  </si>
  <si>
    <t>노루홀딩스2우B</t>
  </si>
  <si>
    <t>노루홀딩스우</t>
  </si>
  <si>
    <t>녹십자</t>
  </si>
  <si>
    <t>녹십자셀</t>
  </si>
  <si>
    <t>녹십자엠에스</t>
  </si>
  <si>
    <t>녹십자홀딩스</t>
  </si>
  <si>
    <t>녹십자홀딩스1우</t>
  </si>
  <si>
    <t>녹십자홀딩스2우</t>
  </si>
  <si>
    <t>농심</t>
  </si>
  <si>
    <t>농심홀딩스</t>
  </si>
  <si>
    <t>농우바이오</t>
  </si>
  <si>
    <t>누리텔레콤</t>
  </si>
  <si>
    <t>누리플랜</t>
  </si>
  <si>
    <t>뉴로스</t>
  </si>
  <si>
    <t>뉴보텍</t>
  </si>
  <si>
    <t>뉴인텍</t>
  </si>
  <si>
    <t>뉴프라이드</t>
  </si>
  <si>
    <t>뉴프렉스</t>
  </si>
  <si>
    <t>능률교육</t>
  </si>
  <si>
    <t>다나와</t>
  </si>
  <si>
    <t>다날</t>
  </si>
  <si>
    <t>다믈멀티미디어</t>
  </si>
  <si>
    <t>다산네트웍스</t>
  </si>
  <si>
    <t>다우기술</t>
  </si>
  <si>
    <t>다우데이타</t>
  </si>
  <si>
    <t>다우인큐브</t>
  </si>
  <si>
    <t>다원시스</t>
  </si>
  <si>
    <t>다윈텍</t>
  </si>
  <si>
    <t>다음카카오</t>
  </si>
  <si>
    <t>대경기계</t>
  </si>
  <si>
    <t>대교</t>
  </si>
  <si>
    <t>대교우B</t>
  </si>
  <si>
    <t>대구방송</t>
  </si>
  <si>
    <t>대구백화점</t>
  </si>
  <si>
    <t>대덕GDS</t>
  </si>
  <si>
    <t>대덕GDS우</t>
  </si>
  <si>
    <t>대덕전자</t>
  </si>
  <si>
    <t>대동</t>
  </si>
  <si>
    <t>대동공업</t>
  </si>
  <si>
    <t>대동금속</t>
  </si>
  <si>
    <t>대동기어</t>
  </si>
  <si>
    <t>대동스틸</t>
  </si>
  <si>
    <t>대동전자</t>
  </si>
  <si>
    <t>대륙제관</t>
  </si>
  <si>
    <t>대림B&amp;Co</t>
  </si>
  <si>
    <t>대림산업</t>
  </si>
  <si>
    <t>대림산업우</t>
  </si>
  <si>
    <t>대림제지</t>
  </si>
  <si>
    <t>대림통상</t>
  </si>
  <si>
    <t>대명엔터프라이즈</t>
  </si>
  <si>
    <t>대봉엘에스</t>
  </si>
  <si>
    <t>대상</t>
  </si>
  <si>
    <t>대상3우B</t>
  </si>
  <si>
    <t>대상우</t>
  </si>
  <si>
    <t>대상홀딩스</t>
  </si>
  <si>
    <t>대상홀딩스우</t>
  </si>
  <si>
    <t>대성미생물</t>
  </si>
  <si>
    <t>대성산업</t>
  </si>
  <si>
    <t>대성에너지</t>
  </si>
  <si>
    <t>대성엘텍</t>
  </si>
  <si>
    <t>대성창투</t>
  </si>
  <si>
    <t>대성파인텍</t>
  </si>
  <si>
    <t>대성합동지주</t>
  </si>
  <si>
    <t>대성홀딩스</t>
  </si>
  <si>
    <t>대신정보통신</t>
  </si>
  <si>
    <t>대신증권</t>
  </si>
  <si>
    <t>대신증권2우B</t>
  </si>
  <si>
    <t>대신증권우</t>
  </si>
  <si>
    <t>대아티아이</t>
  </si>
  <si>
    <t>대양금속</t>
  </si>
  <si>
    <t>대양전기공업</t>
  </si>
  <si>
    <t>대양제지</t>
  </si>
  <si>
    <t>대영포장</t>
  </si>
  <si>
    <t>대우 로우볼 ETN</t>
  </si>
  <si>
    <t>대우건설</t>
  </si>
  <si>
    <t>대우부품</t>
  </si>
  <si>
    <t>대우스팩2호</t>
  </si>
  <si>
    <t>대우인터내셔널</t>
  </si>
  <si>
    <t>대우조선해양</t>
  </si>
  <si>
    <t>대우증권</t>
  </si>
  <si>
    <t>대우증권우</t>
  </si>
  <si>
    <t>대웅</t>
  </si>
  <si>
    <t>대웅제약</t>
  </si>
  <si>
    <t>대원강업</t>
  </si>
  <si>
    <t>대원미디어</t>
  </si>
  <si>
    <t>대원산업</t>
  </si>
  <si>
    <t>대원전선</t>
  </si>
  <si>
    <t>대원전선우</t>
  </si>
  <si>
    <t>대원제약</t>
  </si>
  <si>
    <t>대원화성</t>
  </si>
  <si>
    <t>대유신소재</t>
  </si>
  <si>
    <t>대유에이텍</t>
  </si>
  <si>
    <t>대정화금</t>
  </si>
  <si>
    <t>대주산업</t>
  </si>
  <si>
    <t>대주전자재료</t>
  </si>
  <si>
    <t>대진디엠피</t>
  </si>
  <si>
    <t>대창</t>
  </si>
  <si>
    <t>대창단조</t>
  </si>
  <si>
    <t>대창솔루션</t>
  </si>
  <si>
    <t>대창스틸</t>
  </si>
  <si>
    <t>대한과학</t>
  </si>
  <si>
    <t>대한광통신</t>
  </si>
  <si>
    <t>대한뉴팜</t>
  </si>
  <si>
    <t>대한방직</t>
  </si>
  <si>
    <t>대한약품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</si>
  <si>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</si>
  <si>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</si>
  <si>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</si>
  <si>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</si>
  <si>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</si>
  <si>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</si>
  <si>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</si>
  <si>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</si>
  <si>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</si>
  <si>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</si>
  <si>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</si>
  <si>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</si>
  <si>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</si>
  <si>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대호피앤씨</t>
  </si>
  <si>
    <t>대호피앤씨우</t>
  </si>
  <si>
    <t>대화제약</t>
  </si>
  <si>
    <t>더존비즈온</t>
  </si>
  <si>
    <t>덕산네오룩스</t>
  </si>
  <si>
    <t>덕산하이메탈</t>
  </si>
  <si>
    <t>덕성</t>
  </si>
  <si>
    <t>덕성우</t>
  </si>
  <si>
    <t>덕신하우징</t>
  </si>
  <si>
    <t>덕양산업</t>
  </si>
  <si>
    <t>데브시스터즈</t>
  </si>
  <si>
    <t>데코앤이</t>
  </si>
  <si>
    <t>도레이케미칼</t>
  </si>
  <si>
    <t>도이치모터스</t>
  </si>
  <si>
    <t>도화엔지니어링</t>
  </si>
  <si>
    <t>동국S&amp;C</t>
  </si>
  <si>
    <t>동국산업</t>
  </si>
  <si>
    <t>동국실업</t>
  </si>
  <si>
    <t>동국알앤에스</t>
  </si>
  <si>
    <t>동국제강</t>
  </si>
  <si>
    <t>동국제약</t>
  </si>
  <si>
    <t>동남합성</t>
  </si>
  <si>
    <t>동방</t>
  </si>
  <si>
    <t>동방선기</t>
  </si>
  <si>
    <t>동방아그로</t>
  </si>
  <si>
    <t>동부CNI</t>
  </si>
  <si>
    <t>동부건설</t>
  </si>
  <si>
    <t>동부건설우</t>
  </si>
  <si>
    <t>동부라이텍</t>
  </si>
  <si>
    <t>동부로봇</t>
  </si>
  <si>
    <t>동부스팩2호</t>
  </si>
  <si>
    <t>동부제철</t>
  </si>
  <si>
    <t>동부제철우</t>
  </si>
  <si>
    <t>동부증권</t>
  </si>
  <si>
    <t>동부하이텍</t>
  </si>
  <si>
    <t>동부하이텍1우</t>
  </si>
  <si>
    <t>동부하이텍2우B</t>
  </si>
  <si>
    <t>동부화재</t>
  </si>
  <si>
    <t>동북아10호</t>
  </si>
  <si>
    <t>동북아11호</t>
  </si>
  <si>
    <t>동북아12호</t>
  </si>
  <si>
    <t>동북아13호</t>
  </si>
  <si>
    <t>동북아14호</t>
  </si>
  <si>
    <t>동서</t>
  </si>
  <si>
    <t>동성제약</t>
  </si>
  <si>
    <t>동성하이켐</t>
  </si>
  <si>
    <t>동성홀딩스</t>
  </si>
  <si>
    <t>동성화인텍</t>
  </si>
  <si>
    <t>동성화학</t>
  </si>
  <si>
    <t>동신건설</t>
  </si>
  <si>
    <t>동아쏘시오홀딩스</t>
  </si>
  <si>
    <t>동아에스텍</t>
  </si>
  <si>
    <t>동아에스티</t>
  </si>
  <si>
    <t>동아엘텍</t>
  </si>
  <si>
    <t>동아원</t>
  </si>
  <si>
    <t>동아지질</t>
  </si>
  <si>
    <t>동아타이어</t>
  </si>
  <si>
    <t>동아화성</t>
  </si>
  <si>
    <t>동양</t>
  </si>
  <si>
    <t>동양2우B</t>
  </si>
  <si>
    <t>동양3우B</t>
  </si>
  <si>
    <t>동양강철</t>
  </si>
  <si>
    <t>동양고속</t>
  </si>
  <si>
    <t>동양네트웍스</t>
  </si>
  <si>
    <t>동양물산</t>
  </si>
  <si>
    <t>동양생명</t>
  </si>
  <si>
    <t>동양시멘트</t>
  </si>
  <si>
    <t>동양에스텍</t>
  </si>
  <si>
    <t>동양우</t>
  </si>
  <si>
    <t>동양이엔피</t>
  </si>
  <si>
    <t>동양철관</t>
  </si>
  <si>
    <t>동양피엔에프</t>
  </si>
  <si>
    <t>동우</t>
  </si>
  <si>
    <t>동원</t>
  </si>
  <si>
    <t>동원F&amp;B</t>
  </si>
  <si>
    <t>동원개발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</si>
  <si>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</si>
  <si>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</si>
  <si>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</si>
  <si>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</si>
  <si>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</si>
  <si>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</si>
  <si>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동일금속</t>
  </si>
  <si>
    <t>동일기연</t>
  </si>
  <si>
    <t>동일방직</t>
  </si>
  <si>
    <t>동일산업</t>
  </si>
  <si>
    <t>동일제지</t>
  </si>
  <si>
    <t>동일철강</t>
  </si>
  <si>
    <t>동진쎄미켐</t>
  </si>
  <si>
    <t>동화기업</t>
  </si>
  <si>
    <t>동화약품</t>
  </si>
  <si>
    <t>두산</t>
  </si>
  <si>
    <t>두산2우B</t>
  </si>
  <si>
    <t>두산건설</t>
  </si>
  <si>
    <t>두산엔진</t>
  </si>
  <si>
    <t>두산우</t>
  </si>
  <si>
    <t>두산인프라코어</t>
  </si>
  <si>
    <t>두산중공업</t>
  </si>
  <si>
    <t>두올산업</t>
  </si>
  <si>
    <t>드래곤플라이</t>
  </si>
  <si>
    <t>디비케이</t>
  </si>
  <si>
    <t>디스플레이텍</t>
  </si>
  <si>
    <t>디씨엠</t>
  </si>
  <si>
    <t>디아이</t>
  </si>
  <si>
    <t>디아이디</t>
  </si>
  <si>
    <t>디아이씨</t>
  </si>
  <si>
    <t>디에스케이</t>
  </si>
  <si>
    <t>디에이치피코리아</t>
  </si>
  <si>
    <t>디에이테크놀로지</t>
  </si>
  <si>
    <t>디에이피</t>
  </si>
  <si>
    <t>디엔에이링크</t>
  </si>
  <si>
    <t>디엔에프</t>
  </si>
  <si>
    <t>디엠씨</t>
  </si>
  <si>
    <t>디엠티</t>
  </si>
  <si>
    <t>디오</t>
  </si>
  <si>
    <t>디오텍</t>
  </si>
  <si>
    <t>디올메디바이오</t>
  </si>
  <si>
    <t>디와이</t>
  </si>
  <si>
    <t>디와이파워</t>
  </si>
  <si>
    <t>디이엔티</t>
  </si>
  <si>
    <t>디젠스</t>
  </si>
  <si>
    <t>디지아이</t>
  </si>
  <si>
    <t>디지탈옵틱</t>
  </si>
  <si>
    <t>디지털대성</t>
  </si>
  <si>
    <t>디지틀조선</t>
  </si>
  <si>
    <t>디케이디앤아이</t>
  </si>
  <si>
    <t>디케이락</t>
  </si>
  <si>
    <t>디티앤씨</t>
  </si>
  <si>
    <t>디피씨</t>
  </si>
  <si>
    <t>딜리</t>
  </si>
  <si>
    <t>라온시큐어</t>
  </si>
  <si>
    <t>라이브플렉스</t>
  </si>
  <si>
    <t>라이온켐텍</t>
  </si>
  <si>
    <t>락앤락</t>
  </si>
  <si>
    <t>램테크놀러지</t>
  </si>
  <si>
    <t>랩지노믹스</t>
  </si>
  <si>
    <t>레고켐바이오</t>
  </si>
  <si>
    <t>레드로버</t>
  </si>
  <si>
    <t>레드캡투어</t>
  </si>
  <si>
    <t>레이젠</t>
  </si>
  <si>
    <t>로만손</t>
  </si>
  <si>
    <t>로보스타</t>
  </si>
  <si>
    <t>로엔</t>
  </si>
  <si>
    <t>로엔케이</t>
  </si>
  <si>
    <t>로체시스템즈</t>
  </si>
  <si>
    <t>로켓모바일</t>
  </si>
  <si>
    <t>롯데관광개발</t>
  </si>
  <si>
    <t>롯데손해보험</t>
  </si>
  <si>
    <t>롯데쇼핑</t>
  </si>
  <si>
    <t>롯데제과</t>
  </si>
  <si>
    <t>롯데칠성</t>
  </si>
  <si>
    <t>롯데칠성우</t>
  </si>
  <si>
    <t>롯데케미칼</t>
  </si>
  <si>
    <t>롯데푸드</t>
  </si>
  <si>
    <t>롯데하이마트</t>
  </si>
  <si>
    <t>루멘스</t>
  </si>
  <si>
    <t>루미마이크로</t>
  </si>
  <si>
    <t>루보</t>
  </si>
  <si>
    <t>루트로닉</t>
  </si>
  <si>
    <t>르네코</t>
  </si>
  <si>
    <t>리노공업</t>
  </si>
  <si>
    <t>리노스</t>
  </si>
  <si>
    <t>리드코프</t>
  </si>
  <si>
    <t>리젠</t>
  </si>
  <si>
    <t>리켐</t>
  </si>
  <si>
    <t>리홈쿠첸</t>
  </si>
  <si>
    <t>링네트</t>
  </si>
  <si>
    <t>마니커</t>
  </si>
  <si>
    <t>마이다스 커버드콜</t>
  </si>
  <si>
    <t>마이크로컨텍솔</t>
  </si>
  <si>
    <t>마이티 K100</t>
  </si>
  <si>
    <t>마이티 코스피고배당</t>
  </si>
  <si>
    <t>마크로젠</t>
  </si>
  <si>
    <t>만도</t>
  </si>
  <si>
    <t>만호제강</t>
  </si>
  <si>
    <t>매일유업</t>
  </si>
  <si>
    <t>매커스</t>
  </si>
  <si>
    <t>맥스로텍</t>
  </si>
  <si>
    <t>맥쿼리인프라</t>
  </si>
  <si>
    <t>메가스터디</t>
  </si>
  <si>
    <t>메디아나</t>
  </si>
  <si>
    <t>메디톡스</t>
  </si>
  <si>
    <t>메디포스트</t>
  </si>
  <si>
    <t>메디프론</t>
  </si>
  <si>
    <t>메리츠금융지주</t>
  </si>
  <si>
    <t>메리츠종금증권</t>
  </si>
  <si>
    <t>메리츠화재</t>
  </si>
  <si>
    <t>메지온</t>
  </si>
  <si>
    <t>메타바이오메드</t>
  </si>
  <si>
    <t>멜파스</t>
  </si>
  <si>
    <t>명문제약</t>
  </si>
  <si>
    <t>모나리자</t>
  </si>
  <si>
    <t>모나미</t>
  </si>
  <si>
    <t>모다정보통신</t>
  </si>
  <si>
    <t>모두투어</t>
  </si>
  <si>
    <t>모바일리더</t>
  </si>
  <si>
    <t>모베이스</t>
  </si>
  <si>
    <t>모아텍</t>
  </si>
  <si>
    <t>모토닉</t>
  </si>
  <si>
    <t>모헨즈</t>
  </si>
  <si>
    <t>무림P&amp;P</t>
  </si>
  <si>
    <t>무림SP</t>
  </si>
  <si>
    <t>무림페이퍼</t>
  </si>
  <si>
    <t>무학</t>
  </si>
  <si>
    <t>문배철강</t>
  </si>
  <si>
    <t>미동전자통신</t>
  </si>
  <si>
    <t>미디어플렉스</t>
  </si>
  <si>
    <t>미래나노텍</t>
  </si>
  <si>
    <t>미래산업</t>
  </si>
  <si>
    <t>미래에셋 미국 바이백</t>
  </si>
  <si>
    <t>미래에셋증권</t>
  </si>
  <si>
    <t>미래컴퍼니</t>
  </si>
  <si>
    <t>미원상사</t>
  </si>
  <si>
    <t>미원에스씨</t>
  </si>
  <si>
    <t>미원화학</t>
  </si>
  <si>
    <t>미창석유</t>
  </si>
  <si>
    <t>미코</t>
  </si>
  <si>
    <t>바다로19호</t>
  </si>
  <si>
    <t>바다로3호</t>
  </si>
  <si>
    <t>바른손</t>
  </si>
  <si>
    <t>바른손이앤에이</t>
  </si>
  <si>
    <t>바른전자</t>
  </si>
  <si>
    <t>바이넥스</t>
  </si>
  <si>
    <t>바이로메드</t>
  </si>
  <si>
    <t>바이오니아</t>
  </si>
  <si>
    <t>바이오랜드</t>
  </si>
  <si>
    <t>바이오스마트</t>
  </si>
  <si>
    <t>바이오싸인</t>
  </si>
  <si>
    <t>바이오톡스텍</t>
  </si>
  <si>
    <t>바텍</t>
  </si>
  <si>
    <t>방림</t>
  </si>
  <si>
    <t>백광산업</t>
  </si>
  <si>
    <t>백광소재</t>
  </si>
  <si>
    <t>백금T&amp;A</t>
  </si>
  <si>
    <t>백산</t>
  </si>
  <si>
    <t>백산OPC</t>
  </si>
  <si>
    <t>버추얼텍</t>
  </si>
  <si>
    <t>범양건영</t>
  </si>
  <si>
    <t>베리타스</t>
  </si>
  <si>
    <t>베이직하우스</t>
  </si>
  <si>
    <t>벽산</t>
  </si>
  <si>
    <t>보락</t>
  </si>
  <si>
    <t>보령메디앙스</t>
  </si>
  <si>
    <t>보령제약</t>
  </si>
  <si>
    <t>보루네오</t>
  </si>
  <si>
    <t>보성파워텍</t>
  </si>
  <si>
    <t>보타바이오</t>
  </si>
  <si>
    <t>보해양조</t>
  </si>
  <si>
    <t>보해양조우</t>
  </si>
  <si>
    <t>부광약품</t>
  </si>
  <si>
    <t>부국증권</t>
  </si>
  <si>
    <t>부국증권우</t>
  </si>
  <si>
    <t>부국철강</t>
  </si>
  <si>
    <t>부산가스</t>
  </si>
  <si>
    <t>부산방직</t>
  </si>
  <si>
    <t>부산산업</t>
  </si>
  <si>
    <t>부산주공</t>
  </si>
  <si>
    <t>부스타</t>
  </si>
  <si>
    <t>뷰웍스</t>
  </si>
  <si>
    <t>브리지텍</t>
  </si>
  <si>
    <t>블루콤</t>
  </si>
  <si>
    <t>비상교육</t>
  </si>
  <si>
    <t>비씨월드제약</t>
  </si>
  <si>
    <t>비아이이엠티</t>
  </si>
  <si>
    <t>비아트론</t>
  </si>
  <si>
    <t>비에스이</t>
  </si>
  <si>
    <t>비에이치</t>
  </si>
  <si>
    <t>비에이치아이</t>
  </si>
  <si>
    <t>비엠티</t>
  </si>
  <si>
    <t>비츠로셀</t>
  </si>
  <si>
    <t>비츠로시스</t>
  </si>
  <si>
    <t>비츠로테크</t>
  </si>
  <si>
    <t>비트컴퓨터</t>
  </si>
  <si>
    <t>빅솔론</t>
  </si>
  <si>
    <t>빅텍</t>
  </si>
  <si>
    <t>빙그레</t>
  </si>
  <si>
    <t>빛과전자</t>
  </si>
  <si>
    <t>빛샘전자</t>
  </si>
  <si>
    <t>사람인에이치알</t>
  </si>
  <si>
    <t>사조대림</t>
  </si>
  <si>
    <t>사조산업</t>
  </si>
  <si>
    <t>사조씨푸드</t>
  </si>
  <si>
    <t>사조오양</t>
  </si>
  <si>
    <t>사조해표</t>
  </si>
  <si>
    <t>사파이어테크놀로지</t>
  </si>
  <si>
    <t>산성앨엔에스</t>
  </si>
  <si>
    <t>삼강엠앤티</t>
  </si>
  <si>
    <t>삼광글라스</t>
  </si>
  <si>
    <t>삼기오토모티브</t>
  </si>
  <si>
    <t>삼륭물산</t>
  </si>
  <si>
    <t>삼립식품</t>
  </si>
  <si>
    <t>삼목강업</t>
  </si>
  <si>
    <t>삼목에스폼</t>
  </si>
  <si>
    <t>삼보모터스</t>
  </si>
  <si>
    <t>삼보산업</t>
  </si>
  <si>
    <t>삼보판지</t>
  </si>
  <si>
    <t>삼본정밀전자</t>
  </si>
  <si>
    <t>삼부토건</t>
  </si>
  <si>
    <t>삼성SDI</t>
  </si>
  <si>
    <t>삼성SDI우</t>
  </si>
  <si>
    <t>삼성공조</t>
  </si>
  <si>
    <t>삼성물산</t>
  </si>
  <si>
    <t>삼성물산우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</si>
  <si>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</si>
  <si>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</si>
  <si>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</si>
  <si>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</si>
  <si>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</si>
  <si>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</si>
  <si>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</si>
  <si>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삼성정밀화학</t>
  </si>
  <si>
    <t>삼성제약</t>
  </si>
  <si>
    <t>삼성중공업</t>
  </si>
  <si>
    <t>삼성중공우</t>
  </si>
  <si>
    <t>삼성증권</t>
  </si>
  <si>
    <t>삼성출판사</t>
  </si>
  <si>
    <t>삼성카드</t>
  </si>
  <si>
    <t>삼성테크윈</t>
  </si>
  <si>
    <t>삼성화재</t>
  </si>
  <si>
    <t>삼성화재우</t>
  </si>
  <si>
    <t>삼아알미늄</t>
  </si>
  <si>
    <t>삼아제약</t>
  </si>
  <si>
    <t>삼양사</t>
  </si>
  <si>
    <t>삼양사우</t>
  </si>
  <si>
    <t>삼양식품</t>
  </si>
  <si>
    <t>삼양제넥스</t>
  </si>
  <si>
    <t>삼양제넥우</t>
  </si>
  <si>
    <t>삼양통상</t>
  </si>
  <si>
    <t>삼양홀딩스</t>
  </si>
  <si>
    <t>삼양홀딩스우</t>
  </si>
  <si>
    <t>삼영무역</t>
  </si>
  <si>
    <t>삼영엠텍</t>
  </si>
  <si>
    <t>삼영이엔씨</t>
  </si>
  <si>
    <t>삼영전자</t>
  </si>
  <si>
    <t>삼영홀딩스</t>
  </si>
  <si>
    <t>삼영화학</t>
  </si>
  <si>
    <t>삼우엠스</t>
  </si>
  <si>
    <t>삼원강재</t>
  </si>
  <si>
    <t>삼원테크</t>
  </si>
  <si>
    <t>삼익THK</t>
  </si>
  <si>
    <t>삼익악기</t>
  </si>
  <si>
    <t>삼일</t>
  </si>
  <si>
    <t>삼일기업공사</t>
  </si>
  <si>
    <t>삼일제약</t>
  </si>
  <si>
    <t>삼정펄프</t>
  </si>
  <si>
    <t>삼지전자</t>
  </si>
  <si>
    <t>삼진</t>
  </si>
  <si>
    <t>삼진엘앤디</t>
  </si>
  <si>
    <t>삼진제약</t>
  </si>
  <si>
    <t>삼천당제약</t>
  </si>
  <si>
    <t>삼천리</t>
  </si>
  <si>
    <t>삼천리자전거</t>
  </si>
  <si>
    <t>삼현철강</t>
  </si>
  <si>
    <t>삼호</t>
  </si>
  <si>
    <t>삼호개발</t>
  </si>
  <si>
    <t>삼화네트웍스</t>
  </si>
  <si>
    <t>삼화왕관</t>
  </si>
  <si>
    <t>삼화전기</t>
  </si>
  <si>
    <t>삼화전자</t>
  </si>
  <si>
    <t>삼화콘덴서</t>
  </si>
  <si>
    <t>삼화페인트</t>
  </si>
  <si>
    <t>삼환기업</t>
  </si>
  <si>
    <t>삼환기업우</t>
  </si>
  <si>
    <t>삼환까뮤</t>
  </si>
  <si>
    <t>상보</t>
  </si>
  <si>
    <t>상신브레이크</t>
  </si>
  <si>
    <t>상신이디피</t>
  </si>
  <si>
    <t>상아프론테크</t>
  </si>
  <si>
    <t>새로닉스</t>
  </si>
  <si>
    <t>새론오토모티브</t>
  </si>
  <si>
    <t>샘표식품</t>
  </si>
  <si>
    <t>서린바이오</t>
  </si>
  <si>
    <t>서부T&amp;D</t>
  </si>
  <si>
    <t>서산</t>
  </si>
  <si>
    <t>서암기계공업</t>
  </si>
  <si>
    <t>서연</t>
  </si>
  <si>
    <t>서울가스</t>
  </si>
  <si>
    <t>서울반도체</t>
  </si>
  <si>
    <t>서울식품</t>
  </si>
  <si>
    <t>서울식품우</t>
  </si>
  <si>
    <t>서울신용평가</t>
  </si>
  <si>
    <t>서울옥션</t>
  </si>
  <si>
    <t>서울전자통신</t>
  </si>
  <si>
    <t>서울제약</t>
  </si>
  <si>
    <t>서원</t>
  </si>
  <si>
    <t>서원인텍</t>
  </si>
  <si>
    <t>서전기전</t>
  </si>
  <si>
    <t>서진오토모티브</t>
  </si>
  <si>
    <t>서한</t>
  </si>
  <si>
    <t>서호전기</t>
  </si>
  <si>
    <t>서화정보통신</t>
  </si>
  <si>
    <t>서흥</t>
  </si>
  <si>
    <t>서희건설</t>
  </si>
  <si>
    <t>선광</t>
  </si>
  <si>
    <t>선데이토즈</t>
  </si>
  <si>
    <t>선도전기</t>
  </si>
  <si>
    <t>선진</t>
  </si>
  <si>
    <t>선창산업</t>
  </si>
  <si>
    <t>성광벤드</t>
  </si>
  <si>
    <t>성도이엔지</t>
  </si>
  <si>
    <t>성문전자</t>
  </si>
  <si>
    <t>성문전자우</t>
  </si>
  <si>
    <t>성보화학</t>
  </si>
  <si>
    <t>성신양회</t>
  </si>
  <si>
    <t>성신양회2우B</t>
  </si>
  <si>
    <t>성신양회3우B</t>
  </si>
  <si>
    <t>성신양회우</t>
  </si>
  <si>
    <t>성안</t>
  </si>
  <si>
    <t>성우전자</t>
  </si>
  <si>
    <t>성우테크론</t>
  </si>
  <si>
    <t>성우하이텍</t>
  </si>
  <si>
    <t>성지건설</t>
  </si>
  <si>
    <t>성창기업지주</t>
  </si>
  <si>
    <t>성창오토텍</t>
  </si>
  <si>
    <t>성호전자</t>
  </si>
  <si>
    <t>세기상사</t>
  </si>
  <si>
    <t>세동</t>
  </si>
  <si>
    <t>세명전기</t>
  </si>
  <si>
    <t>세방</t>
  </si>
  <si>
    <t>세방2우B</t>
  </si>
  <si>
    <t>세방우</t>
  </si>
  <si>
    <t>세방전지</t>
  </si>
  <si>
    <t>세보엠이씨</t>
  </si>
  <si>
    <t>세아베스틸</t>
  </si>
  <si>
    <t>세아제강</t>
  </si>
  <si>
    <t>세아특수강</t>
  </si>
  <si>
    <t>세아홀딩스</t>
  </si>
  <si>
    <t>세우글로벌</t>
  </si>
  <si>
    <t>세우테크</t>
  </si>
  <si>
    <t>세운메디칼</t>
  </si>
  <si>
    <t>세원물산</t>
  </si>
  <si>
    <t>세원셀론텍</t>
  </si>
  <si>
    <t>세원정공</t>
  </si>
  <si>
    <t>세이브존I&amp;C</t>
  </si>
  <si>
    <t>세종공업</t>
  </si>
  <si>
    <t>세중</t>
  </si>
  <si>
    <t>세진전자</t>
  </si>
  <si>
    <t>세진티에스</t>
  </si>
  <si>
    <t>세코닉스</t>
  </si>
  <si>
    <t>세하</t>
  </si>
  <si>
    <t>세호로보트</t>
  </si>
  <si>
    <t>셀루메드</t>
  </si>
  <si>
    <t>셀트리온</t>
  </si>
  <si>
    <t>셀트리온제약</t>
  </si>
  <si>
    <t>소리바다</t>
  </si>
  <si>
    <t>소셜미디어99</t>
  </si>
  <si>
    <t>소프트맥스</t>
  </si>
  <si>
    <t>소프트센</t>
  </si>
  <si>
    <t>소프트센우</t>
  </si>
  <si>
    <t>소프트포럼</t>
  </si>
  <si>
    <t>손오공</t>
  </si>
  <si>
    <t>솔고바이오</t>
  </si>
  <si>
    <t>솔라시아</t>
  </si>
  <si>
    <t>솔루에타</t>
  </si>
  <si>
    <t>솔본</t>
  </si>
  <si>
    <t>솔브레인</t>
  </si>
  <si>
    <t>솔브레인이엔지</t>
  </si>
  <si>
    <t>송원산업</t>
  </si>
  <si>
    <t>수산중공업</t>
  </si>
  <si>
    <t>수성</t>
  </si>
  <si>
    <t>수출포장</t>
  </si>
  <si>
    <t>슈넬생명과학</t>
  </si>
  <si>
    <t>슈프리마</t>
  </si>
  <si>
    <t>슈피겐코리아</t>
  </si>
  <si>
    <t>스맥</t>
  </si>
  <si>
    <t>스카이라이프</t>
  </si>
  <si>
    <t>스타플렉스</t>
  </si>
  <si>
    <t>스틸앤리소시즈</t>
  </si>
  <si>
    <t>스틸플라워</t>
  </si>
  <si>
    <t>스페코</t>
  </si>
  <si>
    <t>스포츠서울</t>
  </si>
  <si>
    <t>승일</t>
  </si>
  <si>
    <t>승화프리텍</t>
  </si>
  <si>
    <t>시공테크</t>
  </si>
  <si>
    <t>시그네틱스</t>
  </si>
  <si>
    <t>시노펙스</t>
  </si>
  <si>
    <t>시큐브</t>
  </si>
  <si>
    <t>신대양제지</t>
  </si>
  <si>
    <t>신도리코</t>
  </si>
  <si>
    <t>신라교역</t>
  </si>
  <si>
    <t>신라섬유</t>
  </si>
  <si>
    <t>신라에스지</t>
  </si>
  <si>
    <t>신성델타테크</t>
  </si>
  <si>
    <t>신성솔라에너지</t>
  </si>
  <si>
    <t>신성에프에이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</si>
  <si>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</si>
  <si>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</si>
  <si>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</si>
  <si>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</si>
  <si>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</si>
  <si>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</si>
  <si>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</si>
  <si>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</si>
  <si>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신양</t>
  </si>
  <si>
    <t>신영와코루</t>
  </si>
  <si>
    <t>신영증권</t>
  </si>
  <si>
    <t>신영증권우</t>
  </si>
  <si>
    <t>신우</t>
  </si>
  <si>
    <t>신원</t>
  </si>
  <si>
    <t>신원우</t>
  </si>
  <si>
    <t>신원종합개발</t>
  </si>
  <si>
    <t>신일건업</t>
  </si>
  <si>
    <t>신일산업</t>
  </si>
  <si>
    <t>신일제약</t>
  </si>
  <si>
    <t>신진에스엠</t>
  </si>
  <si>
    <t>신풍제약</t>
  </si>
  <si>
    <t>신풍제약우</t>
  </si>
  <si>
    <t>신풍제지</t>
  </si>
  <si>
    <t>신한</t>
  </si>
  <si>
    <t>신한 K200 USD 선물 ?9,830</t>
  </si>
  <si>
    <t>신한 USD K200 선물 ?10,155</t>
  </si>
  <si>
    <t>신한제2호SPAC</t>
  </si>
  <si>
    <t>신한지주</t>
  </si>
  <si>
    <t>신화실업</t>
  </si>
  <si>
    <t>신화인터텍</t>
  </si>
  <si>
    <t>신화콘텍</t>
  </si>
  <si>
    <t>신흥</t>
  </si>
  <si>
    <t>신흥기계</t>
  </si>
  <si>
    <t>실리콘웍스</t>
  </si>
  <si>
    <t>심텍</t>
  </si>
  <si>
    <t>쌍방울</t>
  </si>
  <si>
    <t>쌍용머티리얼</t>
  </si>
  <si>
    <t>쌍용양회</t>
  </si>
  <si>
    <t>쌍용양회3우B</t>
  </si>
  <si>
    <t>쌍용양회우</t>
  </si>
  <si>
    <t>쌍용정보통신</t>
  </si>
  <si>
    <t>쌍용차</t>
  </si>
  <si>
    <t>써니전자</t>
  </si>
  <si>
    <t>쎄니트</t>
  </si>
  <si>
    <t>쎄미시스코</t>
  </si>
  <si>
    <t>쎄트렉아이</t>
  </si>
  <si>
    <t>쎌바이오텍</t>
  </si>
  <si>
    <t>쏠리드</t>
  </si>
  <si>
    <t>씨그널정보통신</t>
  </si>
  <si>
    <t>씨씨에스</t>
  </si>
  <si>
    <t>씨앤비텍</t>
  </si>
  <si>
    <t>씨앤케이인터</t>
  </si>
  <si>
    <t>씨에스윈드</t>
  </si>
  <si>
    <t>씨엑스씨종합캐피탈</t>
  </si>
  <si>
    <t>씨엔플러스</t>
  </si>
  <si>
    <t>씨유메디칼</t>
  </si>
  <si>
    <t>씨젠</t>
  </si>
  <si>
    <t>씨케이에이치</t>
  </si>
  <si>
    <t>씨큐브</t>
  </si>
  <si>
    <t>씨티씨바이오</t>
  </si>
  <si>
    <t>씨티엘</t>
  </si>
  <si>
    <t>아가방컴퍼니</t>
  </si>
  <si>
    <t>아나패스</t>
  </si>
  <si>
    <t>아남전자</t>
  </si>
  <si>
    <t>아남전자우</t>
  </si>
  <si>
    <t>아남정보기술</t>
  </si>
  <si>
    <t>아로마소프트</t>
  </si>
  <si>
    <t>아리온</t>
  </si>
  <si>
    <t>아모레G</t>
  </si>
  <si>
    <t>아모레G우</t>
  </si>
  <si>
    <t>아모레퍼시픽</t>
  </si>
  <si>
    <t>아모레퍼시픽우</t>
  </si>
  <si>
    <t>아모텍</t>
  </si>
  <si>
    <t>아미노로직스</t>
  </si>
  <si>
    <t>아미코젠</t>
  </si>
  <si>
    <t>아바코</t>
  </si>
  <si>
    <t>아바텍</t>
  </si>
  <si>
    <t>아비스타</t>
  </si>
  <si>
    <t>아비코전자</t>
  </si>
  <si>
    <t>아세아</t>
  </si>
  <si>
    <t>아세아시멘트</t>
  </si>
  <si>
    <t>아세아제지</t>
  </si>
  <si>
    <t>아세아텍</t>
  </si>
  <si>
    <t>아스트</t>
  </si>
  <si>
    <t>아시아10호</t>
  </si>
  <si>
    <t>아시아11호</t>
  </si>
  <si>
    <t>아시아12호</t>
  </si>
  <si>
    <t>아시아13호</t>
  </si>
  <si>
    <t>아시아14호</t>
  </si>
  <si>
    <t>아시아15호</t>
  </si>
  <si>
    <t>아시아나항공</t>
  </si>
  <si>
    <t>아이넷스쿨</t>
  </si>
  <si>
    <t>아이디스</t>
  </si>
  <si>
    <t>아이디스홀딩스</t>
  </si>
  <si>
    <t>아이디에스</t>
  </si>
  <si>
    <t>아이리버</t>
  </si>
  <si>
    <t>아이마켓코리아</t>
  </si>
  <si>
    <t>아이센스</t>
  </si>
  <si>
    <t>아이씨디</t>
  </si>
  <si>
    <t>아이씨케이</t>
  </si>
  <si>
    <t>아이앤씨</t>
  </si>
  <si>
    <t>아이에스동서</t>
  </si>
  <si>
    <t>아이에스이커머스</t>
  </si>
  <si>
    <t>아이에이</t>
  </si>
  <si>
    <t>아이엠</t>
  </si>
  <si>
    <t>아이원스</t>
  </si>
  <si>
    <t>아이즈비전</t>
  </si>
  <si>
    <t>아이컴포넌트</t>
  </si>
  <si>
    <t>아이크래프트</t>
  </si>
  <si>
    <t>아이텍반도체</t>
  </si>
  <si>
    <t>아이티센</t>
  </si>
  <si>
    <t>아주캐피탈</t>
  </si>
  <si>
    <t>아즈텍WB</t>
  </si>
  <si>
    <t>아진엑스텍</t>
  </si>
  <si>
    <t>아큐픽스</t>
  </si>
  <si>
    <t>아트라스BX</t>
  </si>
  <si>
    <t>아티스</t>
  </si>
  <si>
    <t>아프리카TV</t>
  </si>
  <si>
    <t>안국약품</t>
  </si>
  <si>
    <t>안랩</t>
  </si>
  <si>
    <t>알서포트</t>
  </si>
  <si>
    <t>알에프세미</t>
  </si>
  <si>
    <t>알에프텍</t>
  </si>
  <si>
    <t>알테오젠</t>
  </si>
  <si>
    <t>알톤스포츠</t>
  </si>
  <si>
    <t>알티캐스트</t>
  </si>
  <si>
    <t>알파칩스</t>
  </si>
  <si>
    <t>애강리메텍</t>
  </si>
  <si>
    <t>애경유화</t>
  </si>
  <si>
    <t>액토즈소프트</t>
  </si>
  <si>
    <t>액트</t>
  </si>
  <si>
    <t>양지사</t>
  </si>
  <si>
    <t>어보브반도체</t>
  </si>
  <si>
    <t>에너지솔루션</t>
  </si>
  <si>
    <t>에너토크</t>
  </si>
  <si>
    <t>에넥스</t>
  </si>
  <si>
    <t>에듀박스</t>
  </si>
  <si>
    <t>에리트베이직</t>
  </si>
  <si>
    <t>에머슨퍼시픽</t>
  </si>
  <si>
    <t>에버다임</t>
  </si>
  <si>
    <t>에스넷</t>
  </si>
  <si>
    <t>에스디시스템</t>
  </si>
  <si>
    <t>에스맥</t>
  </si>
  <si>
    <t>에스씨디</t>
  </si>
  <si>
    <t>에스아이리소스</t>
  </si>
  <si>
    <t>에스앤더블류</t>
  </si>
  <si>
    <t>에스앤씨엔진그룹</t>
  </si>
  <si>
    <t>에스앤에스텍</t>
  </si>
  <si>
    <t>에스에너지</t>
  </si>
  <si>
    <t>에스에이엠티</t>
  </si>
  <si>
    <t>에스에이티</t>
  </si>
  <si>
    <t>에스에프씨</t>
  </si>
  <si>
    <t>에스에프에이</t>
  </si>
  <si>
    <t>에스엔유</t>
  </si>
  <si>
    <t>에스엘</t>
  </si>
  <si>
    <t>에스엠</t>
  </si>
  <si>
    <t>에스원</t>
  </si>
  <si>
    <t>에스코넥</t>
  </si>
  <si>
    <t>에스텍</t>
  </si>
  <si>
    <t>에스텍파마</t>
  </si>
  <si>
    <t>에스티아이</t>
  </si>
  <si>
    <t>에스티오</t>
  </si>
  <si>
    <t>에스티큐브</t>
  </si>
  <si>
    <t>에스폴리텍</t>
  </si>
  <si>
    <t>에스피지</t>
  </si>
  <si>
    <t>에쎈테크</t>
  </si>
  <si>
    <t>에쓰씨엔지니어링</t>
  </si>
  <si>
    <t>에이디칩스</t>
  </si>
  <si>
    <t>에이디테크놀로지</t>
  </si>
  <si>
    <t>에이모션</t>
  </si>
  <si>
    <t>에이블씨엔씨</t>
  </si>
  <si>
    <t>에이스침대</t>
  </si>
  <si>
    <t>에이스테크</t>
  </si>
  <si>
    <t>에이스하이텍</t>
  </si>
  <si>
    <t>에이씨티</t>
  </si>
  <si>
    <t>에이엔피</t>
  </si>
  <si>
    <t>에이치엘비</t>
  </si>
  <si>
    <t>에이테크솔루션</t>
  </si>
  <si>
    <t>에이텍</t>
  </si>
  <si>
    <t>에이티넘인베스트</t>
  </si>
  <si>
    <t>에이티세미콘</t>
  </si>
  <si>
    <t>에이티테크놀러지</t>
  </si>
  <si>
    <t>에임하이</t>
  </si>
  <si>
    <t>에코에너지</t>
  </si>
  <si>
    <t>에코프로</t>
  </si>
  <si>
    <t>에코플라스틱</t>
  </si>
  <si>
    <t>에프알텍</t>
  </si>
  <si>
    <t>에프에스티</t>
  </si>
  <si>
    <t>에프엔씨엔터</t>
  </si>
  <si>
    <t>에프티이앤이</t>
  </si>
  <si>
    <t>엑사이엔씨</t>
  </si>
  <si>
    <t>엑세스바이오</t>
  </si>
  <si>
    <t>엔브이에이치코리아</t>
  </si>
  <si>
    <t>엔씨소프트</t>
  </si>
  <si>
    <t>엔알디</t>
  </si>
  <si>
    <t>엔알케이</t>
  </si>
  <si>
    <t>엔에스브이</t>
  </si>
  <si>
    <t>엔에이치스팩2호</t>
  </si>
  <si>
    <t>엔케이</t>
  </si>
  <si>
    <t>엔텔스</t>
  </si>
  <si>
    <t>엔티피아</t>
  </si>
  <si>
    <t>엔피케이</t>
  </si>
  <si>
    <t>엘 에너지</t>
  </si>
  <si>
    <t>엘디티</t>
  </si>
  <si>
    <t>엘비세미콘</t>
  </si>
  <si>
    <t>엘아이지스팩2호</t>
  </si>
  <si>
    <t>엘앤에프</t>
  </si>
  <si>
    <t>엘엠에스</t>
  </si>
  <si>
    <t>엘오티베큠</t>
  </si>
  <si>
    <t>엘컴텍</t>
  </si>
  <si>
    <t>엘티씨</t>
  </si>
  <si>
    <t>엘티에스</t>
  </si>
  <si>
    <t>엠게임</t>
  </si>
  <si>
    <t>엠벤처투자</t>
  </si>
  <si>
    <t>엠씨넥스</t>
  </si>
  <si>
    <t>엠에스씨</t>
  </si>
  <si>
    <t>엠에스오토텍</t>
  </si>
  <si>
    <t>엠제이비</t>
  </si>
  <si>
    <t>엠케이전자</t>
  </si>
  <si>
    <t>엠케이트렌드</t>
  </si>
  <si>
    <t>엠피씨</t>
  </si>
  <si>
    <t>연이정보통신</t>
  </si>
  <si>
    <t>영남제분</t>
  </si>
  <si>
    <t>영백씨엠</t>
  </si>
  <si>
    <t>영보화학</t>
  </si>
  <si>
    <t>영신금속</t>
  </si>
  <si>
    <t>영우디에스피</t>
  </si>
  <si>
    <t>영우통신</t>
  </si>
  <si>
    <t>영원무역</t>
  </si>
  <si>
    <t>영원무역홀딩스</t>
  </si>
  <si>
    <t>영인프런티어</t>
  </si>
  <si>
    <t>영진약품</t>
  </si>
  <si>
    <t>영진코퍼레이션</t>
  </si>
  <si>
    <t>영풍</t>
  </si>
  <si>
    <t>영풍정밀</t>
  </si>
  <si>
    <t>영풍제지</t>
  </si>
  <si>
    <t>영화금속</t>
  </si>
  <si>
    <t>영흥철강</t>
  </si>
  <si>
    <t>예림당</t>
  </si>
  <si>
    <t>예스24</t>
  </si>
  <si>
    <t>예스코</t>
  </si>
  <si>
    <t>오공</t>
  </si>
  <si>
    <t>오디텍</t>
  </si>
  <si>
    <t>오뚜기</t>
  </si>
  <si>
    <t>오로라</t>
  </si>
  <si>
    <t>오르비텍</t>
  </si>
  <si>
    <t>오리엔탈정공</t>
  </si>
  <si>
    <t>오리엔트바이오</t>
  </si>
  <si>
    <t>오리엔트정공</t>
  </si>
  <si>
    <t>오리온</t>
  </si>
  <si>
    <t>오리콤</t>
  </si>
  <si>
    <t>오상자이엘</t>
  </si>
  <si>
    <t>오성엘에스티</t>
  </si>
  <si>
    <t>오스코텍</t>
  </si>
  <si>
    <t>오스템</t>
  </si>
  <si>
    <t>오스템임플란트</t>
  </si>
  <si>
    <t>오이솔루션</t>
  </si>
  <si>
    <t>오킨스전자</t>
  </si>
  <si>
    <t>오텍</t>
  </si>
  <si>
    <t>오픈베이스</t>
  </si>
  <si>
    <t>온세텔레콤</t>
  </si>
  <si>
    <t>옴니시스템</t>
  </si>
  <si>
    <t>옴니텔</t>
  </si>
  <si>
    <t>옵트론텍</t>
  </si>
  <si>
    <t>옵티시스</t>
  </si>
  <si>
    <t>와이디온라인</t>
  </si>
  <si>
    <t>와이비로드</t>
  </si>
  <si>
    <t>와이솔</t>
  </si>
  <si>
    <t>와이엔텍</t>
  </si>
  <si>
    <t>와이엠씨</t>
  </si>
  <si>
    <t>와이즈파워</t>
  </si>
  <si>
    <t>와이지엔터테인먼트</t>
  </si>
  <si>
    <t>와이지-원</t>
  </si>
  <si>
    <t>와토스코리아</t>
  </si>
  <si>
    <t>완리</t>
  </si>
  <si>
    <t>용현BM</t>
  </si>
  <si>
    <t>우노앤컴퍼니</t>
  </si>
  <si>
    <t>우리SL스팩</t>
  </si>
  <si>
    <t>우리기술</t>
  </si>
  <si>
    <t>우리기술투자</t>
  </si>
  <si>
    <t>우리넷</t>
  </si>
  <si>
    <t>우리들제약</t>
  </si>
  <si>
    <t>우리들휴브레인</t>
  </si>
  <si>
    <t>우리로광통신</t>
  </si>
  <si>
    <t>우리산업</t>
  </si>
  <si>
    <t>우리스팩2호</t>
  </si>
  <si>
    <t>우리스팩3호</t>
  </si>
  <si>
    <t>우리은행</t>
  </si>
  <si>
    <t>우리이앤엘</t>
  </si>
  <si>
    <t>우리이티아이</t>
  </si>
  <si>
    <t>우리조명</t>
  </si>
  <si>
    <t>우리종금</t>
  </si>
  <si>
    <t>우림기계</t>
  </si>
  <si>
    <t>우성I&amp;C</t>
  </si>
  <si>
    <t>우성사료</t>
  </si>
  <si>
    <t>우수AMS</t>
  </si>
  <si>
    <t>우신시스템</t>
  </si>
  <si>
    <t>우양에이치씨</t>
  </si>
  <si>
    <t>우원개발</t>
  </si>
  <si>
    <t>우전앤한단</t>
  </si>
  <si>
    <t>우주일렉트로</t>
  </si>
  <si>
    <t>우진</t>
  </si>
  <si>
    <t>우진비앤지</t>
  </si>
  <si>
    <t>우진플라임</t>
  </si>
  <si>
    <t>울트라건설</t>
  </si>
  <si>
    <t>울트라건설우</t>
  </si>
  <si>
    <t>웅진씽크빅</t>
  </si>
  <si>
    <t>웅진에너지</t>
  </si>
  <si>
    <t>웅진홀딩스</t>
  </si>
  <si>
    <t>원림</t>
  </si>
  <si>
    <t>원익</t>
  </si>
  <si>
    <t>원익IPS</t>
  </si>
  <si>
    <t>원익QnC</t>
  </si>
  <si>
    <t>원익머트리얼즈</t>
  </si>
  <si>
    <t>원익큐브</t>
  </si>
  <si>
    <t>원일특강</t>
  </si>
  <si>
    <t>원풍</t>
  </si>
  <si>
    <t>원풍물산</t>
  </si>
  <si>
    <t>월덱스</t>
  </si>
  <si>
    <t>웨이브일렉트로</t>
  </si>
  <si>
    <t>웨이포트</t>
  </si>
  <si>
    <t>웰메이드예당</t>
  </si>
  <si>
    <t>웰크론</t>
  </si>
  <si>
    <t>웰크론강원</t>
  </si>
  <si>
    <t>웰크론한텍</t>
  </si>
  <si>
    <t>웹젠</t>
  </si>
  <si>
    <t>위노바</t>
  </si>
  <si>
    <t>위닉스</t>
  </si>
  <si>
    <t>위메이드</t>
  </si>
  <si>
    <t>위즈코프</t>
  </si>
  <si>
    <t>위지트</t>
  </si>
  <si>
    <t>윈스</t>
  </si>
  <si>
    <t>윈팩</t>
  </si>
  <si>
    <t>윈포넷</t>
  </si>
  <si>
    <t>윈하이텍</t>
  </si>
  <si>
    <t>윌비스</t>
  </si>
  <si>
    <t>유나이티드제약</t>
  </si>
  <si>
    <t>유니더스</t>
  </si>
  <si>
    <t>유니드</t>
  </si>
  <si>
    <t>유니셈</t>
  </si>
  <si>
    <t>유니슨</t>
  </si>
  <si>
    <t>유니온</t>
  </si>
  <si>
    <t>유니켐</t>
  </si>
  <si>
    <t>유니퀘스트</t>
  </si>
  <si>
    <t>유니크</t>
  </si>
  <si>
    <t>유니테스트</t>
  </si>
  <si>
    <t>유라테크</t>
  </si>
  <si>
    <t>유비벨록스</t>
  </si>
  <si>
    <t>유비케어</t>
  </si>
  <si>
    <t>유비쿼스</t>
  </si>
  <si>
    <t>유성기업</t>
  </si>
  <si>
    <t>유성티엔에스</t>
  </si>
  <si>
    <t>유수홀딩스</t>
  </si>
  <si>
    <t>유신</t>
  </si>
  <si>
    <t>유아이디</t>
  </si>
  <si>
    <t>유아이엘</t>
  </si>
  <si>
    <t>유안타제1호스팩</t>
  </si>
  <si>
    <t>유안타증권</t>
  </si>
  <si>
    <t>유안타증권우</t>
  </si>
  <si>
    <t>유양디앤유</t>
  </si>
  <si>
    <t>유엔젤</t>
  </si>
  <si>
    <t>유원컴텍</t>
  </si>
  <si>
    <t>유유제약</t>
  </si>
  <si>
    <t>유유제약1우</t>
  </si>
  <si>
    <t>유유제약2우B</t>
  </si>
  <si>
    <t>유진기업</t>
  </si>
  <si>
    <t>유진로봇</t>
  </si>
  <si>
    <t>유진스팩1호</t>
  </si>
  <si>
    <t>유진테크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</si>
  <si>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</si>
  <si>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</si>
  <si>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</si>
  <si>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</si>
  <si>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</si>
  <si>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</si>
  <si>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</si>
  <si>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이건창호</t>
  </si>
  <si>
    <t>이구산업</t>
  </si>
  <si>
    <t>이그잭스</t>
  </si>
  <si>
    <t>이-글 벳</t>
  </si>
  <si>
    <t>이글루시큐리티</t>
  </si>
  <si>
    <t>이너스텍</t>
  </si>
  <si>
    <t>이노와이어리스</t>
  </si>
  <si>
    <t>이노칩</t>
  </si>
  <si>
    <t>이녹스</t>
  </si>
  <si>
    <t>이니텍</t>
  </si>
  <si>
    <t>이디</t>
  </si>
  <si>
    <t>이라이콤</t>
  </si>
  <si>
    <t>이랜텍</t>
  </si>
  <si>
    <t>이루온</t>
  </si>
  <si>
    <t>이마트</t>
  </si>
  <si>
    <t>이미지스</t>
  </si>
  <si>
    <t>이상네트웍스</t>
  </si>
  <si>
    <t>이수앱지스</t>
  </si>
  <si>
    <t>이수페타시스</t>
  </si>
  <si>
    <t>이수화학</t>
  </si>
  <si>
    <t>이스타코</t>
  </si>
  <si>
    <t>이스트소프트</t>
  </si>
  <si>
    <t>이스트아시아홀딩스</t>
  </si>
  <si>
    <t>이씨에스</t>
  </si>
  <si>
    <t>이엔쓰리</t>
  </si>
  <si>
    <t>이엔에프테크놀로지</t>
  </si>
  <si>
    <t>이엘케이</t>
  </si>
  <si>
    <t>이엠넷</t>
  </si>
  <si>
    <t>이엠코리아</t>
  </si>
  <si>
    <t>이엠텍</t>
  </si>
  <si>
    <t>이연제약</t>
  </si>
  <si>
    <t>이오테크닉스</t>
  </si>
  <si>
    <t>이원컴포텍</t>
  </si>
  <si>
    <t>이월드</t>
  </si>
  <si>
    <t>이젠텍</t>
  </si>
  <si>
    <t>이지바이오</t>
  </si>
  <si>
    <t>이지웰페어</t>
  </si>
  <si>
    <t>이코리아리츠</t>
  </si>
  <si>
    <t>이큐스앤자루</t>
  </si>
  <si>
    <t>이크레더블</t>
  </si>
  <si>
    <t>이테크건설</t>
  </si>
  <si>
    <t>이트레이드증권</t>
  </si>
  <si>
    <t>이트론</t>
  </si>
  <si>
    <t>이퓨쳐</t>
  </si>
  <si>
    <t>이필름</t>
  </si>
  <si>
    <t>이화공영</t>
  </si>
  <si>
    <t>이화산업</t>
  </si>
  <si>
    <t>이화전기</t>
  </si>
  <si>
    <t>인디에프</t>
  </si>
  <si>
    <t>인바디</t>
  </si>
  <si>
    <t>인선이엔티</t>
  </si>
  <si>
    <t>인성정보</t>
  </si>
  <si>
    <t>인지디스플레</t>
  </si>
  <si>
    <t>인지컨트롤스</t>
  </si>
  <si>
    <t>인천도시가스</t>
  </si>
  <si>
    <t>인탑스</t>
  </si>
  <si>
    <t>인터로조</t>
  </si>
  <si>
    <t>인터엠</t>
  </si>
  <si>
    <t>인터지스</t>
  </si>
  <si>
    <t>인터파크</t>
  </si>
  <si>
    <t>인터파크INT</t>
  </si>
  <si>
    <t>인터플렉스</t>
  </si>
  <si>
    <t>인테그레이티드에너지</t>
  </si>
  <si>
    <t>인텍플러스</t>
  </si>
  <si>
    <t>인트로메딕</t>
  </si>
  <si>
    <t>인트론바이오</t>
  </si>
  <si>
    <t>인팩</t>
  </si>
  <si>
    <t>인포바인</t>
  </si>
  <si>
    <t>인포뱅크</t>
  </si>
  <si>
    <t>인포피아</t>
  </si>
  <si>
    <t>인프라웨어</t>
  </si>
  <si>
    <t>인피니트헬스케어</t>
  </si>
  <si>
    <t>인화정공</t>
  </si>
  <si>
    <t>일경산업개발</t>
  </si>
  <si>
    <t>일동제약</t>
  </si>
  <si>
    <t>일성건설</t>
  </si>
  <si>
    <t>일성건설2우B</t>
  </si>
  <si>
    <t>일성신약</t>
  </si>
  <si>
    <t>일신바이오</t>
  </si>
  <si>
    <t>일신방직</t>
  </si>
  <si>
    <t>일신석재</t>
  </si>
  <si>
    <t>일야</t>
  </si>
  <si>
    <t>일양약품</t>
  </si>
  <si>
    <t>일양약품우</t>
  </si>
  <si>
    <t>일정실업</t>
  </si>
  <si>
    <t>일지테크</t>
  </si>
  <si>
    <t>일진다이아</t>
  </si>
  <si>
    <t>일진디스플</t>
  </si>
  <si>
    <t>일진머티리얼즈</t>
  </si>
  <si>
    <t>일진전기</t>
  </si>
  <si>
    <t>일진파워</t>
  </si>
  <si>
    <t>일진홀딩스</t>
  </si>
  <si>
    <t>잉크테크</t>
  </si>
  <si>
    <t>자연과환경</t>
  </si>
  <si>
    <t>자화전자</t>
  </si>
  <si>
    <t>잘만테크</t>
  </si>
  <si>
    <t>재영솔루텍</t>
  </si>
  <si>
    <t>전방</t>
  </si>
  <si>
    <t>전파기지국</t>
  </si>
  <si>
    <t>정상제이엘에스</t>
  </si>
  <si>
    <t>정원엔시스</t>
  </si>
  <si>
    <t>제낙스</t>
  </si>
  <si>
    <t>제넥신</t>
  </si>
  <si>
    <t>제닉</t>
  </si>
  <si>
    <t>제로투세븐</t>
  </si>
  <si>
    <t>제룡산업</t>
  </si>
  <si>
    <t>제룡전기</t>
  </si>
  <si>
    <t>제미니투자</t>
  </si>
  <si>
    <t>제우스</t>
  </si>
  <si>
    <t>제이브이엠</t>
  </si>
  <si>
    <t>제이비어뮤즈먼트</t>
  </si>
  <si>
    <t>제이씨케미칼</t>
  </si>
  <si>
    <t>제이씨현시스템</t>
  </si>
  <si>
    <t>제이엔케이히터</t>
  </si>
  <si>
    <t>제이엠아이</t>
  </si>
  <si>
    <t>제이엠티</t>
  </si>
  <si>
    <t>제이웨이</t>
  </si>
  <si>
    <t>제이콘텐트리</t>
  </si>
  <si>
    <t>제이티</t>
  </si>
  <si>
    <t>제일기획</t>
  </si>
  <si>
    <t>제일모직</t>
  </si>
  <si>
    <t>제일바이오</t>
  </si>
  <si>
    <t>제일약품</t>
  </si>
  <si>
    <t>제일연마</t>
  </si>
  <si>
    <t>제일제강</t>
  </si>
  <si>
    <t>제일테크노스</t>
  </si>
  <si>
    <t>제주반도체</t>
  </si>
  <si>
    <t>제주은행</t>
  </si>
  <si>
    <t>젠트로</t>
  </si>
  <si>
    <t>젬백스</t>
  </si>
  <si>
    <t>젬백스테크놀러지</t>
  </si>
  <si>
    <t>조광ILI</t>
  </si>
  <si>
    <t>조광페인트</t>
  </si>
  <si>
    <t>조광피혁</t>
  </si>
  <si>
    <t>조비</t>
  </si>
  <si>
    <t>조선내화</t>
  </si>
  <si>
    <t>조선선재</t>
  </si>
  <si>
    <t>조아제약</t>
  </si>
  <si>
    <t>조이맥스</t>
  </si>
  <si>
    <t>조이시티</t>
  </si>
  <si>
    <t>조일알미늄</t>
  </si>
  <si>
    <t>조흥</t>
  </si>
  <si>
    <t>종근당</t>
  </si>
  <si>
    <t>종근당바이오</t>
  </si>
  <si>
    <t>종근당홀딩스</t>
  </si>
  <si>
    <t>좋은사람들</t>
  </si>
  <si>
    <t>주성엔지니어링</t>
  </si>
  <si>
    <t>주연테크</t>
  </si>
  <si>
    <t>중국원양자원</t>
  </si>
  <si>
    <t>중앙백신</t>
  </si>
  <si>
    <t>중앙에너비스</t>
  </si>
  <si>
    <t>중앙오션</t>
  </si>
  <si>
    <t>지디</t>
  </si>
  <si>
    <t>지스마트글로벌</t>
  </si>
  <si>
    <t>지아이블루</t>
  </si>
  <si>
    <t>지어소프트</t>
  </si>
  <si>
    <t>지에스이</t>
  </si>
  <si>
    <t>지에스인스트루</t>
  </si>
  <si>
    <t>지엔씨에너지</t>
  </si>
  <si>
    <t>지엔코</t>
  </si>
  <si>
    <t>지엠비코리아</t>
  </si>
  <si>
    <t>지엠피</t>
  </si>
  <si>
    <t>지역난방공사</t>
  </si>
  <si>
    <t>지코</t>
  </si>
  <si>
    <t>지트리비앤티</t>
  </si>
  <si>
    <t>진도</t>
  </si>
  <si>
    <t>진로발효</t>
  </si>
  <si>
    <t>진매트릭스</t>
  </si>
  <si>
    <t>진바이오텍</t>
  </si>
  <si>
    <t>진성티이씨</t>
  </si>
  <si>
    <t>진양산업</t>
  </si>
  <si>
    <t>진양제약</t>
  </si>
  <si>
    <t>진양폴리</t>
  </si>
  <si>
    <t>진양홀딩스</t>
  </si>
  <si>
    <t>진양화학</t>
  </si>
  <si>
    <t>진원생명과학</t>
  </si>
  <si>
    <t>진흥기업</t>
  </si>
  <si>
    <t>진흥기업2우B</t>
  </si>
  <si>
    <t>진흥기업우B</t>
  </si>
  <si>
    <t>차디오스텍</t>
  </si>
  <si>
    <t>차바이오텍</t>
  </si>
  <si>
    <t>차이나그레이트</t>
  </si>
  <si>
    <t>차이나하오란</t>
  </si>
  <si>
    <t>참엔지니어링</t>
  </si>
  <si>
    <t>참좋은레져</t>
  </si>
  <si>
    <t>창해에탄올</t>
  </si>
  <si>
    <t>처음앤씨</t>
  </si>
  <si>
    <t>천일고속</t>
  </si>
  <si>
    <t>청담러닝</t>
  </si>
  <si>
    <t>청보산업</t>
  </si>
  <si>
    <t>청호컴넷</t>
  </si>
  <si>
    <t>체시스</t>
  </si>
  <si>
    <t>초록뱀</t>
  </si>
  <si>
    <t>카스</t>
  </si>
  <si>
    <t>카프로</t>
  </si>
  <si>
    <t>캐스텍코리아</t>
  </si>
  <si>
    <t>캔들미디어</t>
  </si>
  <si>
    <t>캠시스</t>
  </si>
  <si>
    <t>컴투스</t>
  </si>
  <si>
    <t>케이디미디어</t>
  </si>
  <si>
    <t>케이디씨</t>
  </si>
  <si>
    <t>케이맥</t>
  </si>
  <si>
    <t>케이비제3호스팩</t>
  </si>
  <si>
    <t>케이비제4호스팩</t>
  </si>
  <si>
    <t>케이비제5호스팩</t>
  </si>
  <si>
    <t>케이비제6호스팩</t>
  </si>
  <si>
    <t>케이비캐피탈</t>
  </si>
  <si>
    <t>케이사인</t>
  </si>
  <si>
    <t>케이씨에스</t>
  </si>
  <si>
    <t>케이씨텍</t>
  </si>
  <si>
    <t>케이씨티</t>
  </si>
  <si>
    <t>케이씨피드</t>
  </si>
  <si>
    <t>케이아이엔엑스</t>
  </si>
  <si>
    <t>케이에스씨비</t>
  </si>
  <si>
    <t>케이에스피</t>
  </si>
  <si>
    <t>케이엔더블유</t>
  </si>
  <si>
    <t>케이엘넷</t>
  </si>
  <si>
    <t>케이엘티</t>
  </si>
  <si>
    <t>케이엠</t>
  </si>
  <si>
    <t>케이엠더블유</t>
  </si>
  <si>
    <t>케이엠알앤씨</t>
  </si>
  <si>
    <t>케이탑리츠</t>
  </si>
  <si>
    <t>케이티롤</t>
  </si>
  <si>
    <t>케이티비스팩1호</t>
  </si>
  <si>
    <t>케이티스</t>
  </si>
  <si>
    <t>케이피에프</t>
  </si>
  <si>
    <t>케이피엠테크</t>
  </si>
  <si>
    <t>케이피티</t>
  </si>
  <si>
    <t>켐트로닉스</t>
  </si>
  <si>
    <t>코나아이</t>
  </si>
  <si>
    <t>코닉글로리</t>
  </si>
  <si>
    <t>코다코</t>
  </si>
  <si>
    <t>코데즈컴바인</t>
  </si>
  <si>
    <t>코디에스</t>
  </si>
  <si>
    <t>코라오홀딩스</t>
  </si>
  <si>
    <t>코렌</t>
  </si>
  <si>
    <t>코렌텍</t>
  </si>
  <si>
    <t>코리아01호</t>
  </si>
  <si>
    <t>코리아02호</t>
  </si>
  <si>
    <t>코리아03호</t>
  </si>
  <si>
    <t>코리아04호</t>
  </si>
  <si>
    <t>코리아나</t>
  </si>
  <si>
    <t>코리아써우</t>
  </si>
  <si>
    <t>코리아써키트</t>
  </si>
  <si>
    <t>코리아써키트2우B</t>
  </si>
  <si>
    <t>코리아에스이</t>
  </si>
  <si>
    <t>코리아에프티</t>
  </si>
  <si>
    <t>코리안리</t>
  </si>
  <si>
    <t>코맥스</t>
  </si>
  <si>
    <t>코메론</t>
  </si>
  <si>
    <t>코미팜</t>
  </si>
  <si>
    <t>코센</t>
  </si>
  <si>
    <t>코스맥스</t>
  </si>
  <si>
    <t>코스맥스비티아이</t>
  </si>
  <si>
    <t>코스모신소재</t>
  </si>
  <si>
    <t>코스모화학</t>
  </si>
  <si>
    <t>코스온</t>
  </si>
  <si>
    <t>코아로직</t>
  </si>
  <si>
    <t>코아스</t>
  </si>
  <si>
    <t>코아크로스</t>
  </si>
  <si>
    <t>코엔텍</t>
  </si>
  <si>
    <t>코오롱</t>
  </si>
  <si>
    <t>코오롱글로벌</t>
  </si>
  <si>
    <t>코오롱글로벌우</t>
  </si>
  <si>
    <t>코오롱머티리얼</t>
  </si>
  <si>
    <t>코오롱생명과학</t>
  </si>
  <si>
    <t>코오롱우</t>
  </si>
  <si>
    <t>코오롱인더</t>
  </si>
  <si>
    <t>코오롱인더우</t>
  </si>
  <si>
    <t>코오롱플라스틱</t>
  </si>
  <si>
    <t>코원</t>
  </si>
  <si>
    <t>코웨이</t>
  </si>
  <si>
    <t>코위버</t>
  </si>
  <si>
    <t>코이즈</t>
  </si>
  <si>
    <t>코콤</t>
  </si>
  <si>
    <t>코크렙15호</t>
  </si>
  <si>
    <t>코텍</t>
  </si>
  <si>
    <t>코프라</t>
  </si>
  <si>
    <t>콜마비앤에이치</t>
  </si>
  <si>
    <t>콤텍시스템</t>
  </si>
  <si>
    <t>쿠쿠전자</t>
  </si>
  <si>
    <t>큐렉소</t>
  </si>
  <si>
    <t>큐로컴</t>
  </si>
  <si>
    <t>큐로홀딩스</t>
  </si>
  <si>
    <t>큐브스</t>
  </si>
  <si>
    <t>큐에스아이</t>
  </si>
  <si>
    <t>큐캐피탈</t>
  </si>
  <si>
    <t>크라운제과</t>
  </si>
  <si>
    <t>크라운제우</t>
  </si>
  <si>
    <t>크레듀</t>
  </si>
  <si>
    <t>크로바하이텍</t>
  </si>
  <si>
    <t>크루셜텍</t>
  </si>
  <si>
    <t>크리스탈</t>
  </si>
  <si>
    <t>크린앤사이언스</t>
  </si>
  <si>
    <t>키스톤글로벌</t>
  </si>
  <si>
    <t>키움스팩2호</t>
  </si>
  <si>
    <t>키움증권</t>
  </si>
  <si>
    <t>키이스트</t>
  </si>
  <si>
    <t>탑금속</t>
  </si>
  <si>
    <t>탑엔지니어링</t>
  </si>
  <si>
    <t>태경산업</t>
  </si>
  <si>
    <t>태경화학</t>
  </si>
  <si>
    <t>태광</t>
  </si>
  <si>
    <t>태광산업</t>
  </si>
  <si>
    <t>태림포장</t>
  </si>
  <si>
    <t>태양</t>
  </si>
  <si>
    <t>태양금속</t>
  </si>
  <si>
    <t>태양금속우</t>
  </si>
  <si>
    <t>태양기전</t>
  </si>
  <si>
    <t>태영건설</t>
  </si>
  <si>
    <t>태영건설우</t>
  </si>
  <si>
    <t>태웅</t>
  </si>
  <si>
    <t>태원물산</t>
  </si>
  <si>
    <t>태창파로스</t>
  </si>
  <si>
    <t>태평양물산</t>
  </si>
  <si>
    <t>테고사이언스</t>
  </si>
  <si>
    <t>테라세미콘</t>
  </si>
  <si>
    <t>테라셈</t>
  </si>
  <si>
    <t>테라젠이텍스</t>
  </si>
  <si>
    <t>테스</t>
  </si>
  <si>
    <t>테스나</t>
  </si>
  <si>
    <t>테크윙</t>
  </si>
  <si>
    <t>텍셀네트컴</t>
  </si>
  <si>
    <t>텔레칩스</t>
  </si>
  <si>
    <t>텔레필드</t>
  </si>
  <si>
    <t>텔코웨어</t>
  </si>
  <si>
    <t>텔콘</t>
  </si>
  <si>
    <t>토비스</t>
  </si>
  <si>
    <t>토탈소프트</t>
  </si>
  <si>
    <t>토필드</t>
  </si>
  <si>
    <t>톱텍</t>
  </si>
  <si>
    <t>투비소프트</t>
  </si>
  <si>
    <t>트러스제7호</t>
  </si>
  <si>
    <t>트레이스</t>
  </si>
  <si>
    <t>트루윈</t>
  </si>
  <si>
    <t>특수건설</t>
  </si>
  <si>
    <t>티브이로직</t>
  </si>
  <si>
    <t>티씨케이</t>
  </si>
  <si>
    <t>티에스엠텍</t>
  </si>
  <si>
    <t>티에스이</t>
  </si>
  <si>
    <t>티에이치엔</t>
  </si>
  <si>
    <t>티엘아이</t>
  </si>
  <si>
    <t>티웨이홀딩스</t>
  </si>
  <si>
    <t>티이씨앤코</t>
  </si>
  <si>
    <t>티케이케미칼</t>
  </si>
  <si>
    <t>티플랙스</t>
  </si>
  <si>
    <t>티피씨글로벌</t>
  </si>
  <si>
    <t>팀스</t>
  </si>
  <si>
    <t>팅크웨어</t>
  </si>
  <si>
    <t>파나진</t>
  </si>
  <si>
    <t>파라다이스</t>
  </si>
  <si>
    <t>파라텍</t>
  </si>
  <si>
    <t>파루</t>
  </si>
  <si>
    <t>파미셀</t>
  </si>
  <si>
    <t>파버나인</t>
  </si>
  <si>
    <t>파세코</t>
  </si>
  <si>
    <t>파수닷컴</t>
  </si>
  <si>
    <t>파워 K100</t>
  </si>
  <si>
    <t>파워 K200</t>
  </si>
  <si>
    <t>파워 국고채 ETF</t>
  </si>
  <si>
    <t>파워고배당저변동성</t>
  </si>
  <si>
    <t>파워로직스</t>
  </si>
  <si>
    <t>파이오링크</t>
  </si>
  <si>
    <t>파인디앤씨</t>
  </si>
  <si>
    <t>파인디지털</t>
  </si>
  <si>
    <t>파인테크닉스</t>
  </si>
  <si>
    <t>파캔OPC</t>
  </si>
  <si>
    <t>파트론</t>
  </si>
  <si>
    <t>파티게임즈</t>
  </si>
  <si>
    <t>판타지오</t>
  </si>
  <si>
    <t>팜스웰바이오</t>
  </si>
  <si>
    <t>팜스코</t>
  </si>
  <si>
    <t>팜스토리</t>
  </si>
  <si>
    <t>팬엔터테인먼트</t>
  </si>
  <si>
    <t>팬오션</t>
  </si>
  <si>
    <t>퍼스텍</t>
  </si>
  <si>
    <t>퍼시스</t>
  </si>
  <si>
    <t>페이퍼코리아</t>
  </si>
  <si>
    <t>평산차업 KDR</t>
  </si>
  <si>
    <t>평화산업</t>
  </si>
  <si>
    <t>평화정공</t>
  </si>
  <si>
    <t>평화홀딩스</t>
  </si>
  <si>
    <t>포메탈</t>
  </si>
  <si>
    <t>포비스티앤씨</t>
  </si>
  <si>
    <t>포스코 ICT</t>
  </si>
  <si>
    <t>포스코강판</t>
  </si>
  <si>
    <t>포스코엠텍</t>
  </si>
  <si>
    <t>포스코켐텍</t>
  </si>
  <si>
    <t>포스코플랜텍</t>
  </si>
  <si>
    <t>포시에스</t>
  </si>
  <si>
    <t>포인트아이</t>
  </si>
  <si>
    <t>포티스</t>
  </si>
  <si>
    <t>폴리비전</t>
  </si>
  <si>
    <t>푸드웰</t>
  </si>
  <si>
    <t>푸른기술</t>
  </si>
  <si>
    <t>푸른저축은행</t>
  </si>
  <si>
    <t>풀무원</t>
  </si>
  <si>
    <t>풍강</t>
  </si>
  <si>
    <t>풍국주정</t>
  </si>
  <si>
    <t>풍산</t>
  </si>
  <si>
    <t>풍산홀딩스</t>
  </si>
  <si>
    <t>프럼파스트</t>
  </si>
  <si>
    <t>프로텍</t>
  </si>
  <si>
    <t>프리엠스</t>
  </si>
  <si>
    <t>프리젠</t>
  </si>
  <si>
    <t>플랜티넷</t>
  </si>
  <si>
    <t>플레이위드</t>
  </si>
  <si>
    <t>플렉스컴</t>
  </si>
  <si>
    <t>피델릭스</t>
  </si>
  <si>
    <t>피씨디렉트</t>
  </si>
  <si>
    <t>피앤이솔루션</t>
  </si>
  <si>
    <t>피에스엠씨</t>
  </si>
  <si>
    <t>피에스케이</t>
  </si>
  <si>
    <t>피에스텍</t>
  </si>
  <si>
    <t>피엔티</t>
  </si>
  <si>
    <t>피엘에이</t>
  </si>
  <si>
    <t>피제이메탈</t>
  </si>
  <si>
    <t>피제이전자</t>
  </si>
  <si>
    <t>필룩스</t>
  </si>
  <si>
    <t>필링크</t>
  </si>
  <si>
    <t>필코전자</t>
  </si>
  <si>
    <t>하나금융지주</t>
  </si>
  <si>
    <t>하나마이크론</t>
  </si>
  <si>
    <t>하나머스트2호스팩</t>
  </si>
  <si>
    <t>하나머스트3호스팩</t>
  </si>
  <si>
    <t>하나머스트스팩</t>
  </si>
  <si>
    <t>하나투어</t>
  </si>
  <si>
    <t>하림</t>
  </si>
  <si>
    <t>하림홀딩스</t>
  </si>
  <si>
    <t>하이골드12호</t>
  </si>
  <si>
    <t>하이골드2호</t>
  </si>
  <si>
    <t>하이골드3호</t>
  </si>
  <si>
    <t>하이골드8호</t>
  </si>
  <si>
    <t>하이로닉</t>
  </si>
  <si>
    <t>하이록코리아</t>
  </si>
  <si>
    <t>하이비젼시스템</t>
  </si>
  <si>
    <t>하이셈</t>
  </si>
  <si>
    <t>하이소닉</t>
  </si>
  <si>
    <t>하이스틸</t>
  </si>
  <si>
    <t>하이쎌</t>
  </si>
  <si>
    <t>하이제2호스팩</t>
  </si>
  <si>
    <t>하이텍팜</t>
  </si>
  <si>
    <t>하이트론</t>
  </si>
  <si>
    <t>하이트진로</t>
  </si>
  <si>
    <t>하이트진로2우B</t>
  </si>
  <si>
    <t>하이트진로홀딩스</t>
  </si>
  <si>
    <t>하이트진로홀딩스우</t>
  </si>
  <si>
    <t>하츠</t>
  </si>
  <si>
    <t>한광</t>
  </si>
  <si>
    <t>한국2호스팩</t>
  </si>
  <si>
    <t>한국가구</t>
  </si>
  <si>
    <t>한국가스공사</t>
  </si>
  <si>
    <t>한국경제TV</t>
  </si>
  <si>
    <t>한국공항</t>
  </si>
  <si>
    <t>한국금융지주</t>
  </si>
  <si>
    <t>한국금융지주우</t>
  </si>
  <si>
    <t>한국기업평가</t>
  </si>
  <si>
    <t>한국내화</t>
  </si>
  <si>
    <t>한국단자</t>
  </si>
  <si>
    <t>한국사이버결제</t>
  </si>
  <si>
    <t>한국석유</t>
  </si>
  <si>
    <t>한국선재</t>
  </si>
  <si>
    <t>한국쉘석유</t>
  </si>
  <si>
    <t>한국알콜</t>
  </si>
  <si>
    <t>한국유리</t>
  </si>
  <si>
    <t>한국유리우</t>
  </si>
  <si>
    <t>한국자원투자개발</t>
  </si>
  <si>
    <t>한국전력</t>
  </si>
  <si>
    <t>한국전자금융</t>
  </si>
  <si>
    <t>한국전자인증</t>
  </si>
  <si>
    <t>한국전자홀딩스</t>
  </si>
  <si>
    <t>한국정밀기계</t>
  </si>
  <si>
    <t>한국정보공학</t>
  </si>
  <si>
    <t>한국정보인증</t>
  </si>
  <si>
    <t>한국정보통신</t>
  </si>
  <si>
    <t>한국제지</t>
  </si>
  <si>
    <t>한국종합기술</t>
  </si>
  <si>
    <t>한국주강</t>
  </si>
  <si>
    <t>한국주철관</t>
  </si>
  <si>
    <t>한국철강</t>
  </si>
  <si>
    <t>한국카본</t>
  </si>
  <si>
    <t>한국캐피탈</t>
  </si>
  <si>
    <t>한국컴퓨터</t>
  </si>
  <si>
    <t>한국콜마</t>
  </si>
  <si>
    <t>한국콜마홀딩스</t>
  </si>
  <si>
    <t>한국큐빅</t>
  </si>
  <si>
    <t>한국타이어</t>
  </si>
  <si>
    <t>한국타이어월드와이드</t>
  </si>
  <si>
    <t>한국테크놀로지</t>
  </si>
  <si>
    <t>한국테크놀로지우</t>
  </si>
  <si>
    <t>한국토지신탁</t>
  </si>
  <si>
    <t>한국특수형강</t>
  </si>
  <si>
    <t>한국팩키지</t>
  </si>
  <si>
    <t>한국프랜지</t>
  </si>
  <si>
    <t>한국항공우주</t>
  </si>
  <si>
    <t>한국화장품</t>
  </si>
  <si>
    <t>한국화장품제조</t>
  </si>
  <si>
    <t>한글과컴퓨터</t>
  </si>
  <si>
    <t>한네트</t>
  </si>
  <si>
    <t>한농화성</t>
  </si>
  <si>
    <t>한독</t>
  </si>
  <si>
    <t>한라</t>
  </si>
  <si>
    <t>한라IMS</t>
  </si>
  <si>
    <t>한라비스테온공조</t>
  </si>
  <si>
    <t>한라홀딩스</t>
  </si>
  <si>
    <t>한미글로벌</t>
  </si>
  <si>
    <t>한미반도체</t>
  </si>
  <si>
    <t>한미사이언스</t>
  </si>
  <si>
    <t>한미약품</t>
  </si>
  <si>
    <t>한빛소프트</t>
  </si>
  <si>
    <t>한샘</t>
  </si>
  <si>
    <t>한섬</t>
  </si>
  <si>
    <t>한성기업</t>
  </si>
  <si>
    <t>한세실업</t>
  </si>
  <si>
    <t>한세예스24홀딩스</t>
  </si>
  <si>
    <t>한솔PNS</t>
  </si>
  <si>
    <t>한솔넥스지</t>
  </si>
  <si>
    <t>한솔로지스틱스</t>
  </si>
  <si>
    <t>한솔신텍</t>
  </si>
  <si>
    <t>한솔아트원제지</t>
  </si>
  <si>
    <t>한솔아트원제지2우B</t>
  </si>
  <si>
    <t>한솔인티큐브</t>
  </si>
  <si>
    <t>한솔제지</t>
  </si>
  <si>
    <t>한솔케미칼</t>
  </si>
  <si>
    <t>한솔테크닉스</t>
  </si>
  <si>
    <t>한솔홀딩스</t>
  </si>
  <si>
    <t>한솔홈데코</t>
  </si>
  <si>
    <t>한스바이오메드</t>
  </si>
  <si>
    <t>한신공영</t>
  </si>
  <si>
    <t>한신기계</t>
  </si>
  <si>
    <t>한양디지텍</t>
  </si>
  <si>
    <t>한양이엔지</t>
  </si>
  <si>
    <t>한양증권</t>
  </si>
  <si>
    <t>한양증권우</t>
  </si>
  <si>
    <t>한올바이오파마</t>
  </si>
  <si>
    <t>한익스프레스</t>
  </si>
  <si>
    <t>한일네트웍스</t>
  </si>
  <si>
    <t>한일단조</t>
  </si>
  <si>
    <t>한일사료</t>
  </si>
  <si>
    <t>한일시멘트</t>
  </si>
  <si>
    <t>한일이화</t>
  </si>
  <si>
    <t>한일진공</t>
  </si>
  <si>
    <t>한일철강</t>
  </si>
  <si>
    <t>한일화학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</si>
  <si>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</si>
  <si>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</si>
  <si>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</si>
  <si>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</si>
  <si>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</si>
  <si>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</si>
  <si>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</si>
  <si>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</si>
  <si>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한진피앤씨</t>
  </si>
  <si>
    <t>한진해운</t>
  </si>
  <si>
    <t>한창</t>
  </si>
  <si>
    <t>한창산업</t>
  </si>
  <si>
    <t>한창제지</t>
  </si>
  <si>
    <t>한화</t>
  </si>
  <si>
    <t>한화갤러리아타임월드</t>
  </si>
  <si>
    <t>한화생명</t>
  </si>
  <si>
    <t>한화손해보험</t>
  </si>
  <si>
    <t>한화우</t>
  </si>
  <si>
    <t>한화케미칼</t>
  </si>
  <si>
    <t>한화케미칼우</t>
  </si>
  <si>
    <t>한화투자증권</t>
  </si>
  <si>
    <t>한화투자증권우</t>
  </si>
  <si>
    <t>한화화인케미칼</t>
  </si>
  <si>
    <t>핫텍</t>
  </si>
  <si>
    <t>해덕파워웨이</t>
  </si>
  <si>
    <t>해성산업</t>
  </si>
  <si>
    <t>해성옵틱스</t>
  </si>
  <si>
    <t>해피드림</t>
  </si>
  <si>
    <t>행남자기</t>
  </si>
  <si>
    <t>헤스본</t>
  </si>
  <si>
    <t>현대EP</t>
  </si>
  <si>
    <t>현대건설</t>
  </si>
  <si>
    <t>현대건설우</t>
  </si>
  <si>
    <t>현대공업</t>
  </si>
  <si>
    <t>현대그린푸드</t>
  </si>
  <si>
    <t>현대글로비스</t>
  </si>
  <si>
    <t>현대드림스팩2호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</si>
  <si>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</si>
  <si>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</si>
  <si>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</si>
  <si>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</si>
  <si>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</si>
  <si>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</si>
  <si>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</si>
  <si>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현대산업</t>
  </si>
  <si>
    <t>현대상사</t>
  </si>
  <si>
    <t>현대상선</t>
  </si>
  <si>
    <t>현대시멘트</t>
  </si>
  <si>
    <t>현대아이비티</t>
  </si>
  <si>
    <t>현대약품</t>
  </si>
  <si>
    <t>현대에이블스팩1호</t>
  </si>
  <si>
    <t>현대에이치씨엔</t>
  </si>
  <si>
    <t>현대엘리베이</t>
  </si>
  <si>
    <t>현대위아</t>
  </si>
  <si>
    <t>현대정보기술</t>
  </si>
  <si>
    <t>현대제철</t>
  </si>
  <si>
    <t>현대중공업</t>
  </si>
  <si>
    <t>현대증권</t>
  </si>
  <si>
    <t>현대차</t>
  </si>
  <si>
    <t>현대차2우B</t>
  </si>
  <si>
    <t>현대차3우B</t>
  </si>
  <si>
    <t>현대차우</t>
  </si>
  <si>
    <t>현대통신</t>
  </si>
  <si>
    <t>현대페인트</t>
  </si>
  <si>
    <t>현대하이스코</t>
  </si>
  <si>
    <t>현대해상</t>
  </si>
  <si>
    <t>현대홈쇼핑</t>
  </si>
  <si>
    <t>현우산업</t>
  </si>
  <si>
    <t>현진소재</t>
  </si>
  <si>
    <t>혜인</t>
  </si>
  <si>
    <t>호텔신라</t>
  </si>
  <si>
    <t>호텔신라우</t>
  </si>
  <si>
    <t>홈센타</t>
  </si>
  <si>
    <t>홈캐스트</t>
  </si>
  <si>
    <t>화성</t>
  </si>
  <si>
    <t>화성산업</t>
  </si>
  <si>
    <t>화승알앤에이</t>
  </si>
  <si>
    <t>화승인더</t>
  </si>
  <si>
    <t>화신</t>
  </si>
  <si>
    <t>화신정공</t>
  </si>
  <si>
    <t>화신테크</t>
  </si>
  <si>
    <t>화인베스틸</t>
  </si>
  <si>
    <t>화일약품</t>
  </si>
  <si>
    <t>화진</t>
  </si>
  <si>
    <t>화천기계</t>
  </si>
  <si>
    <t>화천기공</t>
  </si>
  <si>
    <t>환인제약</t>
  </si>
  <si>
    <t>황금에스티</t>
  </si>
  <si>
    <t>효성</t>
  </si>
  <si>
    <t>효성ITX</t>
  </si>
  <si>
    <t>효성오앤비</t>
  </si>
  <si>
    <t>후성</t>
  </si>
  <si>
    <t>휘닉스소재</t>
  </si>
  <si>
    <t>휠라코리아</t>
  </si>
  <si>
    <t>휴니드</t>
  </si>
  <si>
    <t>휴맥스</t>
  </si>
  <si>
    <t>휴맥스홀딩스</t>
  </si>
  <si>
    <t>휴메딕스</t>
  </si>
  <si>
    <t>휴바이론</t>
  </si>
  <si>
    <t>휴비스</t>
  </si>
  <si>
    <t>휴비츠</t>
  </si>
  <si>
    <t>휴스틸</t>
  </si>
  <si>
    <t>휴온스</t>
  </si>
  <si>
    <t>휴켐스</t>
  </si>
  <si>
    <t>흥구석유</t>
  </si>
  <si>
    <t>흥국</t>
  </si>
  <si>
    <t>흥국화재</t>
  </si>
  <si>
    <t>흥국화재2우B</t>
  </si>
  <si>
    <t>흥국화재우</t>
  </si>
  <si>
    <t>흥아해운</t>
  </si>
  <si>
    <t>희림</t>
  </si>
  <si>
    <t>NO</t>
    <phoneticPr fontId="4" type="noConversion"/>
  </si>
  <si>
    <t>MIN</t>
    <phoneticPr fontId="4" type="noConversion"/>
  </si>
  <si>
    <t>MAX</t>
    <phoneticPr fontId="4" type="noConversion"/>
  </si>
  <si>
    <t>RAND_UL</t>
    <phoneticPr fontId="4" type="noConversion"/>
  </si>
  <si>
    <t>RAND_LL</t>
    <phoneticPr fontId="4" type="noConversion"/>
  </si>
  <si>
    <t>1~28</t>
    <phoneticPr fontId="4" type="noConversion"/>
  </si>
  <si>
    <t>i+1~29</t>
    <phoneticPr fontId="4" type="noConversion"/>
  </si>
  <si>
    <t>X_i</t>
    <phoneticPr fontId="4" type="noConversion"/>
  </si>
  <si>
    <t>rand_no</t>
    <phoneticPr fontId="4" type="noConversion"/>
  </si>
  <si>
    <t>rand_X</t>
    <phoneticPr fontId="4" type="noConversion"/>
  </si>
  <si>
    <t>rand_UL</t>
    <phoneticPr fontId="4" type="noConversion"/>
  </si>
  <si>
    <t>rand_LL</t>
    <phoneticPr fontId="4" type="noConversion"/>
  </si>
  <si>
    <t>X_j</t>
    <phoneticPr fontId="4" type="noConversion"/>
  </si>
  <si>
    <t>#STOCK</t>
    <phoneticPr fontId="4" type="noConversion"/>
  </si>
  <si>
    <t>평균주가상승률</t>
    <phoneticPr fontId="4" type="noConversion"/>
  </si>
  <si>
    <t>LIFT_CUT</t>
    <phoneticPr fontId="4" type="noConversion"/>
  </si>
  <si>
    <t>LIFT</t>
    <phoneticPr fontId="4" type="noConversion"/>
  </si>
  <si>
    <t>CHK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</si>
</sst>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.000"/>
    <numFmt numFmtId="177" formatCode="0_);[Red]\(0\)"/>
    <numFmt numFmtId="178" formatCode="_(* #,##0_);_(* \(#,##0\);_(* &quot;-&quot;_);_(@_)"/>
  </numFmts>
  <fonts count="6" x14ac:knownFonts="1">
    <font>
      <sz val="9"/>
      <color theme="1"/>
      <name val="Trebuchet MS"/>
      <family val="2"/>
      <charset val="129"/>
    </font>
    <font>
      <sz val="9"/>
      <color theme="1"/>
      <name val="Trebuchet MS"/>
      <family val="2"/>
      <charset val="129"/>
    </font>
    <font>
      <sz val="11"/>
      <color theme="1"/>
      <name val="맑은 고딕"/>
      <family val="2"/>
      <charset val="129"/>
      <scheme val="minor"/>
    </font>
    <font>
      <sz val="9"/>
      <color theme="1"/>
      <name val="돋움"/>
      <family val="3"/>
      <charset val="129"/>
    </font>
    <font>
      <sz val="8"/>
      <name val="Trebuchet MS"/>
      <family val="2"/>
      <charset val="129"/>
    </font>
    <font>
      <sz val="9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3" fillId="0" borderId="1" xfId="3" applyFont="1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>
      <alignment vertical="center"/>
    </xf>
    <xf numFmtId="49" fontId="5" fillId="0" borderId="1" xfId="3" applyNumberFormat="1" applyFont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5" fillId="0" borderId="0" xfId="3" applyFont="1">
      <alignment vertical="center"/>
    </xf>
    <xf numFmtId="0" fontId="0" fillId="0" borderId="0" xfId="0" applyAlignment="1">
      <alignment horizontal="center" vertical="center"/>
    </xf>
    <xf numFmtId="9" fontId="0" fillId="0" borderId="0" xfId="2" applyFont="1">
      <alignment vertical="center"/>
    </xf>
    <xf numFmtId="41" fontId="0" fillId="0" borderId="0" xfId="1" applyFont="1">
      <alignment vertical="center"/>
    </xf>
    <xf numFmtId="176" fontId="0" fillId="0" borderId="0" xfId="0" applyNumberFormat="1">
      <alignment vertical="center"/>
    </xf>
    <xf numFmtId="1" fontId="0" fillId="0" borderId="0" xfId="0" applyNumberFormat="1">
      <alignment vertical="center"/>
    </xf>
    <xf numFmtId="177" fontId="5" fillId="0" borderId="0" xfId="3" applyNumberFormat="1" applyFont="1">
      <alignment vertical="center"/>
    </xf>
    <xf numFmtId="9" fontId="0" fillId="0" borderId="0" xfId="0" applyNumberFormat="1">
      <alignment vertical="center"/>
    </xf>
    <xf numFmtId="0" fontId="0" fillId="0" borderId="0" xfId="0" applyBorder="1">
      <alignment vertical="center"/>
    </xf>
    <xf numFmtId="0" fontId="0" fillId="0" borderId="3" xfId="0" applyBorder="1">
      <alignment vertical="center"/>
    </xf>
    <xf numFmtId="0" fontId="0" fillId="3" borderId="3" xfId="0" applyFill="1" applyBorder="1">
      <alignment vertical="center"/>
    </xf>
    <xf numFmtId="0" fontId="0" fillId="4" borderId="3" xfId="0" applyFill="1" applyBorder="1">
      <alignment vertical="center"/>
    </xf>
    <xf numFmtId="0" fontId="3" fillId="0" borderId="3" xfId="0" applyFont="1" applyBorder="1">
      <alignment vertical="center"/>
    </xf>
    <xf numFmtId="9" fontId="0" fillId="0" borderId="3" xfId="2" applyFont="1" applyBorder="1">
      <alignment vertical="center"/>
    </xf>
    <xf numFmtId="9" fontId="0" fillId="0" borderId="3" xfId="0" applyNumberFormat="1" applyBorder="1">
      <alignment vertical="center"/>
    </xf>
    <xf numFmtId="0" fontId="0" fillId="0" borderId="3" xfId="2" applyNumberFormat="1" applyFont="1" applyBorder="1">
      <alignment vertical="center"/>
    </xf>
    <xf numFmtId="0" fontId="0" fillId="0" borderId="3" xfId="0" applyNumberFormat="1" applyBorder="1">
      <alignment vertical="center"/>
    </xf>
    <xf numFmtId="0" fontId="0" fillId="0" borderId="3" xfId="0" applyBorder="1" applyAlignment="1">
      <alignment horizontal="center" vertical="center"/>
    </xf>
  </cellXfs>
  <cellStyles count="6">
    <cellStyle name="백분율" xfId="2" builtinId="5"/>
    <cellStyle name="백분율 2" xfId="4"/>
    <cellStyle name="쉼표 [0]" xfId="1" builtinId="6"/>
    <cellStyle name="쉼표 [0] 2" xfId="5"/>
    <cellStyle name="표준" xfId="0" builtinId="0"/>
    <cellStyle name="표준 2" xf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2134"/>
  <sheetViews>
    <sheetView showGridLines="0" tabSelected="1" topLeftCell="Z1" workbookViewId="0">
      <selection activeCell="AK7" sqref="AK7"/>
    </sheetView>
  </sheetViews>
  <sheetFormatPr defaultRowHeight="15" x14ac:dyDescent="0.35"/>
  <cols>
    <col min="1" max="1" width="22.6640625" customWidth="1"/>
    <col min="2" max="2" width="5" bestFit="1" customWidth="1"/>
    <col min="3" max="4" width="4.6640625" bestFit="1" customWidth="1"/>
    <col min="5" max="5" width="4.33203125" bestFit="1" customWidth="1"/>
    <col min="6" max="6" width="13.6640625" bestFit="1" customWidth="1"/>
    <col min="7" max="7" width="16" bestFit="1" customWidth="1"/>
    <col min="8" max="8" width="15" bestFit="1" customWidth="1"/>
    <col min="9" max="9" width="18.33203125" bestFit="1" customWidth="1"/>
    <col min="10" max="10" width="12.83203125" bestFit="1" customWidth="1"/>
    <col min="11" max="13" width="16" bestFit="1" customWidth="1"/>
    <col min="14" max="14" width="10.5" bestFit="1" customWidth="1"/>
    <col min="15" max="15" width="8.6640625" bestFit="1" customWidth="1"/>
    <col min="16" max="16" width="9" bestFit="1" customWidth="1"/>
    <col min="17" max="18" width="8" bestFit="1" customWidth="1"/>
    <col min="19" max="19" width="8.5" bestFit="1" customWidth="1"/>
    <col min="20" max="20" width="9" bestFit="1" customWidth="1"/>
    <col min="21" max="21" width="10" bestFit="1" customWidth="1"/>
    <col min="22" max="22" width="14" bestFit="1" customWidth="1"/>
    <col min="23" max="23" width="11.5" bestFit="1" customWidth="1"/>
    <col min="24" max="24" width="6.6640625" bestFit="1" customWidth="1"/>
    <col min="25" max="25" width="12.1640625" bestFit="1" customWidth="1"/>
    <col min="26" max="26" width="11.83203125" bestFit="1" customWidth="1"/>
    <col min="27" max="27" width="12.83203125" bestFit="1" customWidth="1"/>
    <col min="28" max="28" width="13.33203125" bestFit="1" customWidth="1"/>
    <col min="29" max="29" width="7.6640625" bestFit="1" customWidth="1"/>
    <col min="30" max="30" width="11.83203125" bestFit="1" customWidth="1"/>
    <col min="31" max="31" width="12.1640625" bestFit="1" customWidth="1"/>
    <col min="35" max="35" width="19.1640625" customWidth="1"/>
    <col min="36" max="36" width="20.1640625" customWidth="1"/>
    <col min="38" max="38" width="20.1640625" customWidth="1"/>
    <col min="39" max="39" width="22.1640625" customWidth="1"/>
    <col min="40" max="40" width="14.83203125" customWidth="1"/>
    <col min="41" max="41" width="20.1640625" customWidth="1"/>
    <col min="42" max="42" width="9.1640625" bestFit="1" customWidth="1"/>
    <col min="43" max="43" width="16.1640625" customWidth="1"/>
  </cols>
  <sheetData>
    <row r="1" spans="1:43" x14ac:dyDescent="0.35">
      <c r="AQ1" s="15" t="s">
        <v>2169</v>
      </c>
    </row>
    <row r="2" spans="1:43" x14ac:dyDescent="0.35">
      <c r="AH2" s="15"/>
      <c r="AI2" s="15" t="s">
        <v>2159</v>
      </c>
      <c r="AJ2" s="15" t="s">
        <v>2160</v>
      </c>
      <c r="AQ2" s="21">
        <v>1</v>
      </c>
    </row>
    <row r="3" spans="1:43" x14ac:dyDescent="0.35">
      <c r="A3" t="s">
        <v>2157</v>
      </c>
      <c r="B3">
        <f ca="1">(B5-B4)*RAND()+B4</f>
        <v>3.9504512466984298</v>
      </c>
      <c r="C3">
        <f t="shared" ref="C3:F3" ca="1" si="0">(C5-C3)*RAND()+C3</f>
        <v>0</v>
      </c>
      <c r="D3">
        <f t="shared" ca="1" si="0"/>
        <v>0</v>
      </c>
      <c r="E3">
        <f t="shared" ca="1" si="0"/>
        <v>0</v>
      </c>
      <c r="F3">
        <f t="shared" ref="F3" ca="1" si="1">(F5-F4)*RAND()+F4</f>
        <v>1319355.6965163313</v>
      </c>
      <c r="G3">
        <f t="shared" ref="G3:AD3" ca="1" si="2">(G5-G3)*RAND()+G3</f>
        <v>0</v>
      </c>
      <c r="H3">
        <f t="shared" ca="1" si="2"/>
        <v>0</v>
      </c>
      <c r="I3">
        <f t="shared" ca="1" si="2"/>
        <v>0</v>
      </c>
      <c r="J3">
        <f t="shared" ref="J3" ca="1" si="3">(J5-J4)*RAND()+J4</f>
        <v>23747.121336049186</v>
      </c>
      <c r="K3">
        <f t="shared" ref="K3:AD3" ca="1" si="4">(K5-K3)*RAND()+K3</f>
        <v>0</v>
      </c>
      <c r="L3">
        <f t="shared" ca="1" si="4"/>
        <v>0</v>
      </c>
      <c r="M3">
        <f t="shared" ca="1" si="4"/>
        <v>0</v>
      </c>
      <c r="N3">
        <f t="shared" ref="N3" ca="1" si="5">(N5-N4)*RAND()+N4</f>
        <v>35927.977010750452</v>
      </c>
      <c r="O3">
        <f t="shared" ref="O3:AD3" ca="1" si="6">(O5-O3)*RAND()+O3</f>
        <v>0</v>
      </c>
      <c r="P3">
        <f t="shared" ca="1" si="6"/>
        <v>0</v>
      </c>
      <c r="Q3">
        <f t="shared" ca="1" si="6"/>
        <v>0</v>
      </c>
      <c r="R3">
        <f t="shared" ref="R3" ca="1" si="7">(R5-R4)*RAND()+R4</f>
        <v>154.90180051268956</v>
      </c>
      <c r="S3">
        <f t="shared" ref="S3:AD3" ca="1" si="8">(S5-S3)*RAND()+S3</f>
        <v>0</v>
      </c>
      <c r="T3">
        <f t="shared" ca="1" si="8"/>
        <v>0</v>
      </c>
      <c r="U3">
        <f t="shared" ca="1" si="8"/>
        <v>0</v>
      </c>
      <c r="V3">
        <f t="shared" ref="V3" ca="1" si="9">(V5-V4)*RAND()+V4</f>
        <v>135023.4972325358</v>
      </c>
      <c r="W3">
        <f t="shared" ref="W3:AD3" ca="1" si="10">(W5-W3)*RAND()+W3</f>
        <v>0</v>
      </c>
      <c r="X3">
        <f t="shared" ca="1" si="10"/>
        <v>0</v>
      </c>
      <c r="Y3">
        <f t="shared" ca="1" si="10"/>
        <v>0</v>
      </c>
      <c r="Z3">
        <f t="shared" ref="Z3" ca="1" si="11">(Z5-Z4)*RAND()+Z4</f>
        <v>2002794.7981718825</v>
      </c>
      <c r="AA3">
        <f t="shared" ref="AA3:AD3" ca="1" si="12">(AA5-AA3)*RAND()+AA3</f>
        <v>0</v>
      </c>
      <c r="AB3">
        <f t="shared" ca="1" si="12"/>
        <v>0</v>
      </c>
      <c r="AC3">
        <f t="shared" ca="1" si="12"/>
        <v>0</v>
      </c>
      <c r="AD3">
        <f t="shared" ref="AD3" ca="1" si="13">(AD5-AD4)*RAND()+AD4</f>
        <v>788079.17796976678</v>
      </c>
      <c r="AH3" s="15"/>
      <c r="AI3" s="15" t="s">
        <v>2161</v>
      </c>
      <c r="AJ3" s="15" t="s">
        <v>2166</v>
      </c>
      <c r="AQ3" s="15" t="s">
        <v>2170</v>
      </c>
    </row>
    <row r="4" spans="1:43" x14ac:dyDescent="0.35">
      <c r="A4" t="s">
        <v>2158</v>
      </c>
      <c r="B4">
        <f ca="1">(B5-B6)*RAND()+B6</f>
        <v>3.5452972051659808</v>
      </c>
      <c r="C4">
        <f t="shared" ref="C4:F4" ca="1" si="14">(C5-C6)*RAND()+C6</f>
        <v>12.149360432675216</v>
      </c>
      <c r="D4">
        <f t="shared" ca="1" si="14"/>
        <v>13.578748735496486</v>
      </c>
      <c r="E4">
        <f t="shared" ca="1" si="14"/>
        <v>3.9074716519444506</v>
      </c>
      <c r="F4">
        <f t="shared" ca="1" si="14"/>
        <v>612448.00247664994</v>
      </c>
      <c r="G4">
        <f t="shared" ref="G4" ca="1" si="15">(G5-G6)*RAND()+G6</f>
        <v>115988.92659664046</v>
      </c>
      <c r="H4">
        <f t="shared" ref="H4" ca="1" si="16">(H5-H6)*RAND()+H6</f>
        <v>-3162.1170201775576</v>
      </c>
      <c r="I4">
        <f t="shared" ref="I4:J4" ca="1" si="17">(I5-I6)*RAND()+I6</f>
        <v>55683.489374912082</v>
      </c>
      <c r="J4">
        <f t="shared" ca="1" si="17"/>
        <v>22624.558311873148</v>
      </c>
      <c r="K4">
        <f t="shared" ref="K4" ca="1" si="18">(K5-K6)*RAND()+K6</f>
        <v>2269949.7566272677</v>
      </c>
      <c r="L4">
        <f t="shared" ref="L4" ca="1" si="19">(L5-L6)*RAND()+L6</f>
        <v>993989.32167213748</v>
      </c>
      <c r="M4">
        <f t="shared" ref="M4:N4" ca="1" si="20">(M5-M6)*RAND()+M6</f>
        <v>605503.57508282235</v>
      </c>
      <c r="N4">
        <f t="shared" ca="1" si="20"/>
        <v>24297.008469929457</v>
      </c>
      <c r="O4">
        <f t="shared" ref="O4" ca="1" si="21">(O5-O6)*RAND()+O6</f>
        <v>-44.349245767300118</v>
      </c>
      <c r="P4">
        <f t="shared" ref="P4" ca="1" si="22">(P5-P6)*RAND()+P6</f>
        <v>4956.3652958819193</v>
      </c>
      <c r="Q4">
        <f t="shared" ref="Q4:R4" ca="1" si="23">(Q5-Q6)*RAND()+Q6</f>
        <v>184.78807416539357</v>
      </c>
      <c r="R4">
        <f t="shared" ca="1" si="23"/>
        <v>139.85494058778977</v>
      </c>
      <c r="S4">
        <f t="shared" ref="S4" ca="1" si="24">(S5-S6)*RAND()+S6</f>
        <v>-4279.8782671918016</v>
      </c>
      <c r="T4">
        <f t="shared" ref="T4" ca="1" si="25">(T5-T6)*RAND()+T6</f>
        <v>1069342.865469597</v>
      </c>
      <c r="U4">
        <f t="shared" ref="U4:V4" ca="1" si="26">(U5-U6)*RAND()+U6</f>
        <v>9168693.5955140833</v>
      </c>
      <c r="V4">
        <f t="shared" ca="1" si="26"/>
        <v>53642.287768470487</v>
      </c>
      <c r="W4">
        <f t="shared" ref="W4" ca="1" si="27">(W5-W6)*RAND()+W6</f>
        <v>-616.63018699955865</v>
      </c>
      <c r="X4">
        <f t="shared" ref="X4" ca="1" si="28">(X5-X6)*RAND()+X6</f>
        <v>0.30285577253905516</v>
      </c>
      <c r="Y4">
        <f t="shared" ref="Y4:Z4" ca="1" si="29">(Y5-Y6)*RAND()+Y6</f>
        <v>1765692.2711021723</v>
      </c>
      <c r="Z4">
        <f t="shared" ca="1" si="29"/>
        <v>672288.37368975463</v>
      </c>
      <c r="AA4">
        <f t="shared" ref="AA4" ca="1" si="30">(AA5-AA6)*RAND()+AA6</f>
        <v>363781.53154790896</v>
      </c>
      <c r="AB4">
        <f t="shared" ref="AB4" ca="1" si="31">(AB5-AB6)*RAND()+AB6</f>
        <v>0.69973606727523485</v>
      </c>
      <c r="AC4">
        <f t="shared" ref="AC4:AD4" ca="1" si="32">(AC5-AC6)*RAND()+AC6</f>
        <v>9993.2320940582467</v>
      </c>
      <c r="AD4">
        <f t="shared" ca="1" si="32"/>
        <v>365636.34078244446</v>
      </c>
      <c r="AH4" s="15" t="s">
        <v>2162</v>
      </c>
      <c r="AI4" s="15">
        <f ca="1">RANDBETWEEN(1,28)</f>
        <v>10</v>
      </c>
      <c r="AJ4" s="15">
        <f ca="1">RANDBETWEEN(AI4+1,29)</f>
        <v>13</v>
      </c>
      <c r="AQ4" s="20">
        <f ca="1">AQ6/$AE$7</f>
        <v>-442.13249338288415</v>
      </c>
    </row>
    <row r="5" spans="1:43" x14ac:dyDescent="0.35">
      <c r="A5" t="s">
        <v>2156</v>
      </c>
      <c r="B5">
        <f>MAX(B10:B2132)</f>
        <v>17</v>
      </c>
      <c r="C5">
        <f t="shared" ref="C5:F5" si="33">MAX(C10:C2132)</f>
        <v>16</v>
      </c>
      <c r="D5">
        <f t="shared" si="33"/>
        <v>16</v>
      </c>
      <c r="E5">
        <f t="shared" si="33"/>
        <v>18</v>
      </c>
      <c r="F5">
        <f t="shared" si="33"/>
        <v>1378255</v>
      </c>
      <c r="G5">
        <f t="shared" ref="G5:AD5" si="34">MAX(G10:G2132)</f>
        <v>139250</v>
      </c>
      <c r="H5">
        <f t="shared" si="34"/>
        <v>96.83</v>
      </c>
      <c r="I5">
        <f t="shared" si="34"/>
        <v>145918</v>
      </c>
      <c r="J5">
        <f t="shared" si="34"/>
        <v>28386.53</v>
      </c>
      <c r="K5">
        <f t="shared" si="34"/>
        <v>2560713</v>
      </c>
      <c r="L5">
        <f t="shared" si="34"/>
        <v>2382149</v>
      </c>
      <c r="M5">
        <f t="shared" si="34"/>
        <v>1326771</v>
      </c>
      <c r="N5">
        <f t="shared" si="34"/>
        <v>44444.19</v>
      </c>
      <c r="O5">
        <f t="shared" si="34"/>
        <v>147.77000000000001</v>
      </c>
      <c r="P5">
        <f t="shared" si="34"/>
        <v>13800</v>
      </c>
      <c r="Q5">
        <f t="shared" si="34"/>
        <v>655.71</v>
      </c>
      <c r="R5">
        <f t="shared" si="34"/>
        <v>212.31</v>
      </c>
      <c r="S5">
        <f t="shared" si="34"/>
        <v>96784</v>
      </c>
      <c r="T5">
        <f t="shared" si="34"/>
        <v>1885013</v>
      </c>
      <c r="U5">
        <f t="shared" si="34"/>
        <v>18788061</v>
      </c>
      <c r="V5">
        <f t="shared" si="34"/>
        <v>240359</v>
      </c>
      <c r="W5">
        <f t="shared" si="34"/>
        <v>9918.75</v>
      </c>
      <c r="X5">
        <f t="shared" si="34"/>
        <v>0.99565990549156225</v>
      </c>
      <c r="Y5">
        <f t="shared" si="34"/>
        <v>3374000</v>
      </c>
      <c r="Z5">
        <f t="shared" si="34"/>
        <v>2144000</v>
      </c>
      <c r="AA5">
        <f t="shared" si="34"/>
        <v>3260000</v>
      </c>
      <c r="AB5">
        <f t="shared" si="34"/>
        <v>1</v>
      </c>
      <c r="AC5">
        <f t="shared" si="34"/>
        <v>17117.227007502082</v>
      </c>
      <c r="AD5">
        <f t="shared" si="34"/>
        <v>2200541.2429378531</v>
      </c>
      <c r="AH5" s="15" t="s">
        <v>2163</v>
      </c>
      <c r="AI5" s="16" t="str">
        <f ca="1">INDEX($B$9:$AC$9,AI4)</f>
        <v>자산총계(억원)</v>
      </c>
      <c r="AJ5" s="17" t="str">
        <f ca="1">INDEX($B$9:$AD$9,AJ4)</f>
        <v>유보율(%)</v>
      </c>
      <c r="AL5" s="16" t="str">
        <f ca="1">AI5</f>
        <v>자산총계(억원)</v>
      </c>
      <c r="AM5" s="16" t="str">
        <f ca="1">AL5</f>
        <v>자산총계(억원)</v>
      </c>
      <c r="AN5" s="17" t="str">
        <f ca="1">AJ5</f>
        <v>유보율(%)</v>
      </c>
      <c r="AO5" s="17" t="str">
        <f ca="1">AN5</f>
        <v>유보율(%)</v>
      </c>
      <c r="AP5" s="15" t="s">
        <v>2167</v>
      </c>
      <c r="AQ5" s="18" t="s">
        <v>2168</v>
      </c>
    </row>
    <row r="6" spans="1:43" x14ac:dyDescent="0.35">
      <c r="A6" t="s">
        <v>2155</v>
      </c>
      <c r="B6">
        <f>MIN(B10:B2132)</f>
        <v>0</v>
      </c>
      <c r="C6">
        <f t="shared" ref="C6:F6" si="35">MIN(C10:C2132)</f>
        <v>0</v>
      </c>
      <c r="D6">
        <f t="shared" si="35"/>
        <v>0</v>
      </c>
      <c r="E6">
        <f t="shared" si="35"/>
        <v>0</v>
      </c>
      <c r="F6">
        <f t="shared" si="35"/>
        <v>0</v>
      </c>
      <c r="G6">
        <f t="shared" ref="G6:AD6" si="36">MIN(G10:G2132)</f>
        <v>-19233</v>
      </c>
      <c r="H6">
        <f t="shared" si="36"/>
        <v>-4681.88</v>
      </c>
      <c r="I6">
        <f t="shared" si="36"/>
        <v>-17547</v>
      </c>
      <c r="J6">
        <f t="shared" si="36"/>
        <v>-4291.46</v>
      </c>
      <c r="K6">
        <f t="shared" si="36"/>
        <v>0</v>
      </c>
      <c r="L6">
        <f t="shared" si="36"/>
        <v>0</v>
      </c>
      <c r="M6">
        <f t="shared" si="36"/>
        <v>-499</v>
      </c>
      <c r="N6">
        <f t="shared" si="36"/>
        <v>-663.42</v>
      </c>
      <c r="O6">
        <f t="shared" si="36"/>
        <v>-202.49</v>
      </c>
      <c r="P6">
        <f t="shared" si="36"/>
        <v>0</v>
      </c>
      <c r="Q6">
        <f t="shared" si="36"/>
        <v>0</v>
      </c>
      <c r="R6">
        <f t="shared" si="36"/>
        <v>0</v>
      </c>
      <c r="S6">
        <f t="shared" si="36"/>
        <v>-75947</v>
      </c>
      <c r="T6">
        <f t="shared" si="36"/>
        <v>-28189</v>
      </c>
      <c r="U6">
        <f t="shared" si="36"/>
        <v>0</v>
      </c>
      <c r="V6">
        <f t="shared" si="36"/>
        <v>-13993</v>
      </c>
      <c r="W6">
        <f t="shared" si="36"/>
        <v>-11522.54</v>
      </c>
      <c r="X6">
        <f t="shared" si="36"/>
        <v>2.0833580419377565E-6</v>
      </c>
      <c r="Y6">
        <f t="shared" si="36"/>
        <v>0</v>
      </c>
      <c r="Z6">
        <f t="shared" si="36"/>
        <v>0</v>
      </c>
      <c r="AA6">
        <f t="shared" si="36"/>
        <v>0</v>
      </c>
      <c r="AB6">
        <f t="shared" si="36"/>
        <v>0</v>
      </c>
      <c r="AC6">
        <f t="shared" si="36"/>
        <v>-2248.0133370380659</v>
      </c>
      <c r="AD6">
        <f t="shared" si="36"/>
        <v>-1773.6864406779678</v>
      </c>
      <c r="AH6" s="15" t="s">
        <v>2164</v>
      </c>
      <c r="AI6" s="15">
        <f ca="1">INDEX($B$3:$AD$3,AI4)</f>
        <v>25138.914268533219</v>
      </c>
      <c r="AJ6" s="15">
        <f ca="1">INDEX($B$3:$AD$3,AJ4)</f>
        <v>35927.977010750452</v>
      </c>
      <c r="AL6" s="15" t="str">
        <f ca="1">"&gt;="&amp;AI7</f>
        <v>&gt;=2269949.75662727</v>
      </c>
      <c r="AM6" s="15" t="str">
        <f ca="1">"&lt;="&amp;AI6</f>
        <v>&lt;=25138.9142685332</v>
      </c>
      <c r="AN6" s="15" t="str">
        <f ca="1">"&gt;="&amp;AJ7</f>
        <v>&gt;=24297.0084699295</v>
      </c>
      <c r="AO6" s="15" t="str">
        <f ca="1">"&lt;="&amp;AJ6</f>
        <v>&lt;=35927.9770107505</v>
      </c>
      <c r="AP6" s="15">
        <f ca="1">DCOUNTA($A$9:$AE$2132,1,AL5:AO6)</f>
        <v>0</v>
      </c>
      <c r="AQ6" s="19">
        <f ca="1">IFERROR(DAVERAGE($A$9:$AE$2132,$AE$9,AL5:AO6),-100)</f>
        <v>-100</v>
      </c>
    </row>
    <row r="7" spans="1:43" x14ac:dyDescent="0.35">
      <c r="A7" t="s">
        <v>2154</v>
      </c>
      <c r="B7">
        <v>1</v>
      </c>
      <c r="C7">
        <v>2</v>
      </c>
      <c r="D7">
        <v>3</v>
      </c>
      <c r="E7">
        <v>4</v>
      </c>
      <c r="F7">
        <v>5</v>
      </c>
      <c r="G7">
        <v>6</v>
      </c>
      <c r="H7">
        <v>7</v>
      </c>
      <c r="I7">
        <v>8</v>
      </c>
      <c r="J7">
        <v>9</v>
      </c>
      <c r="K7">
        <v>10</v>
      </c>
      <c r="L7">
        <v>11</v>
      </c>
      <c r="M7">
        <v>12</v>
      </c>
      <c r="N7">
        <v>13</v>
      </c>
      <c r="O7">
        <v>14</v>
      </c>
      <c r="P7">
        <v>15</v>
      </c>
      <c r="Q7">
        <v>16</v>
      </c>
      <c r="R7">
        <v>17</v>
      </c>
      <c r="S7">
        <v>18</v>
      </c>
      <c r="T7">
        <v>19</v>
      </c>
      <c r="U7">
        <v>20</v>
      </c>
      <c r="V7">
        <v>21</v>
      </c>
      <c r="W7">
        <v>22</v>
      </c>
      <c r="X7">
        <v>23</v>
      </c>
      <c r="Y7">
        <v>24</v>
      </c>
      <c r="Z7">
        <v>25</v>
      </c>
      <c r="AA7">
        <v>26</v>
      </c>
      <c r="AB7">
        <v>27</v>
      </c>
      <c r="AC7">
        <v>28</v>
      </c>
      <c r="AD7">
        <v>29</v>
      </c>
      <c r="AE7" s="13">
        <f>AVERAGE(AE10:AE2132)</f>
        <v>0.22617654548497657</v>
      </c>
      <c r="AH7" s="15" t="s">
        <v>2165</v>
      </c>
      <c r="AI7" s="15">
        <f ca="1">INDEX($B$4:$AD$4,AI4)</f>
        <v>2269949.7566272677</v>
      </c>
      <c r="AJ7" s="15">
        <f ca="1">INDEX($B$4:$AD$4,AJ4)</f>
        <v>24297.008469929457</v>
      </c>
      <c r="AL7" s="23" t="str">
        <f>"&gt;="</f>
        <v>&gt;=</v>
      </c>
      <c r="AM7" s="23"/>
      <c r="AN7" s="23"/>
      <c r="AO7" s="23"/>
    </row>
    <row r="8" spans="1:43" x14ac:dyDescent="0.35">
      <c r="AE8" s="13"/>
      <c r="AH8" s="14"/>
      <c r="AI8" s="14"/>
      <c r="AJ8" s="14"/>
      <c r="AQ8" s="15" t="s">
        <v>2171</v>
      </c>
    </row>
    <row r="9" spans="1:43" ht="15.75" thickBot="1" x14ac:dyDescent="0.4">
      <c r="A9" s="1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11</v>
      </c>
      <c r="L9" s="4" t="s">
        <v>12</v>
      </c>
      <c r="M9" s="4" t="s">
        <v>13</v>
      </c>
      <c r="N9" s="4" t="s">
        <v>14</v>
      </c>
      <c r="O9" s="4" t="s">
        <v>15</v>
      </c>
      <c r="P9" s="4" t="s">
        <v>16</v>
      </c>
      <c r="Q9" s="4" t="s">
        <v>17</v>
      </c>
      <c r="R9" s="4" t="s">
        <v>18</v>
      </c>
      <c r="S9" s="4" t="s">
        <v>19</v>
      </c>
      <c r="T9" s="4" t="s">
        <v>20</v>
      </c>
      <c r="U9" s="4" t="s">
        <v>21</v>
      </c>
      <c r="V9" s="4" t="s">
        <v>22</v>
      </c>
      <c r="W9" s="4" t="s">
        <v>23</v>
      </c>
      <c r="X9" s="5" t="s">
        <v>24</v>
      </c>
      <c r="Y9" s="5" t="s">
        <v>25</v>
      </c>
      <c r="Z9" s="5" t="s">
        <v>26</v>
      </c>
      <c r="AA9" s="5" t="s">
        <v>27</v>
      </c>
      <c r="AB9" s="5" t="s">
        <v>28</v>
      </c>
      <c r="AC9" s="5" t="s">
        <v>29</v>
      </c>
      <c r="AD9" s="5" t="s">
        <v>30</v>
      </c>
      <c r="AE9" s="3" t="s">
        <v>5</v>
      </c>
      <c r="AQ9" s="22">
        <f ca="1">IF(AQ4&gt;=AQ2,1,0)</f>
        <v>0</v>
      </c>
    </row>
    <row r="10" spans="1:43" x14ac:dyDescent="0.35">
      <c r="A10" s="6" t="s">
        <v>31</v>
      </c>
      <c r="B10" s="7">
        <v>0</v>
      </c>
      <c r="C10" s="7">
        <v>8</v>
      </c>
      <c r="D10" s="7">
        <v>2</v>
      </c>
      <c r="E10" s="7">
        <v>8</v>
      </c>
      <c r="F10">
        <v>177</v>
      </c>
      <c r="G10">
        <v>-9</v>
      </c>
      <c r="H10">
        <v>-4.93</v>
      </c>
      <c r="I10">
        <v>-20</v>
      </c>
      <c r="J10">
        <v>-11.07</v>
      </c>
      <c r="K10">
        <v>664</v>
      </c>
      <c r="L10">
        <v>257</v>
      </c>
      <c r="M10">
        <v>407</v>
      </c>
      <c r="N10">
        <v>99.16</v>
      </c>
      <c r="O10">
        <v>-6.26</v>
      </c>
      <c r="P10">
        <v>0</v>
      </c>
      <c r="Q10">
        <v>2.5499999999999998</v>
      </c>
      <c r="R10">
        <v>4.1500000000000004</v>
      </c>
      <c r="S10">
        <v>-64</v>
      </c>
      <c r="T10">
        <v>941</v>
      </c>
      <c r="U10">
        <v>577</v>
      </c>
      <c r="V10">
        <v>16</v>
      </c>
      <c r="W10">
        <v>72.39</v>
      </c>
      <c r="X10" s="10">
        <v>0.15771524564995065</v>
      </c>
      <c r="Y10" s="9">
        <v>4400</v>
      </c>
      <c r="Z10" s="9">
        <v>2290</v>
      </c>
      <c r="AA10" s="9">
        <v>3265</v>
      </c>
      <c r="AB10" s="10">
        <v>0.46208530805687204</v>
      </c>
      <c r="AC10" s="11">
        <v>11.323701028063351</v>
      </c>
      <c r="AD10" s="9">
        <v>3015.4604519774011</v>
      </c>
      <c r="AE10" s="8">
        <v>0.41036717062634992</v>
      </c>
    </row>
    <row r="11" spans="1:43" x14ac:dyDescent="0.35">
      <c r="A11" s="6" t="s">
        <v>32</v>
      </c>
      <c r="B11" s="7">
        <v>0</v>
      </c>
      <c r="C11" s="7">
        <v>0</v>
      </c>
      <c r="D11" s="7">
        <v>0</v>
      </c>
      <c r="E11" s="7">
        <v>18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s="10">
        <v>0.739795882753846</v>
      </c>
      <c r="Y11" s="9">
        <v>20415</v>
      </c>
      <c r="Z11" s="9">
        <v>18950</v>
      </c>
      <c r="AA11" s="9">
        <v>20090</v>
      </c>
      <c r="AB11" s="10">
        <v>0.77815699658703075</v>
      </c>
      <c r="AC11" s="11">
        <v>15.768824673520422</v>
      </c>
      <c r="AD11" s="9">
        <v>19219.717514124295</v>
      </c>
      <c r="AE11" s="8">
        <v>3.1578947368421054E-2</v>
      </c>
    </row>
    <row r="12" spans="1:43" x14ac:dyDescent="0.35">
      <c r="A12" s="6" t="s">
        <v>33</v>
      </c>
      <c r="B12" s="7">
        <v>0</v>
      </c>
      <c r="C12" s="7">
        <v>0</v>
      </c>
      <c r="D12" s="7">
        <v>0</v>
      </c>
      <c r="E12" s="7">
        <v>18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s="10">
        <v>0.80264404411713308</v>
      </c>
      <c r="Y12" s="9">
        <v>20940</v>
      </c>
      <c r="Z12" s="9">
        <v>19305</v>
      </c>
      <c r="AA12" s="9">
        <v>20715</v>
      </c>
      <c r="AB12" s="10">
        <v>0.86238532110091748</v>
      </c>
      <c r="AC12" s="11">
        <v>19.496387885523752</v>
      </c>
      <c r="AD12" s="9">
        <v>19634.943502824859</v>
      </c>
      <c r="AE12" s="8">
        <v>3.523238380809595E-2</v>
      </c>
    </row>
    <row r="13" spans="1:43" x14ac:dyDescent="0.35">
      <c r="A13" s="6" t="s">
        <v>34</v>
      </c>
      <c r="B13" s="7">
        <v>13</v>
      </c>
      <c r="C13" s="7">
        <v>2</v>
      </c>
      <c r="D13" s="7">
        <v>0</v>
      </c>
      <c r="E13" s="7">
        <v>3</v>
      </c>
      <c r="F13">
        <v>4922</v>
      </c>
      <c r="G13">
        <v>420</v>
      </c>
      <c r="H13">
        <v>8.5299999999999994</v>
      </c>
      <c r="I13">
        <v>187</v>
      </c>
      <c r="J13">
        <v>3.79</v>
      </c>
      <c r="K13">
        <v>8687</v>
      </c>
      <c r="L13">
        <v>6648</v>
      </c>
      <c r="M13">
        <v>2039</v>
      </c>
      <c r="N13">
        <v>1741.74</v>
      </c>
      <c r="O13">
        <v>9.58</v>
      </c>
      <c r="P13">
        <v>19.36</v>
      </c>
      <c r="Q13">
        <v>1.79</v>
      </c>
      <c r="R13">
        <v>0.73</v>
      </c>
      <c r="S13">
        <v>842</v>
      </c>
      <c r="T13">
        <v>9123</v>
      </c>
      <c r="U13">
        <v>22225</v>
      </c>
      <c r="V13">
        <v>2338</v>
      </c>
      <c r="W13">
        <v>3.99</v>
      </c>
      <c r="X13" s="10">
        <v>0.65970982630527053</v>
      </c>
      <c r="Y13" s="9">
        <v>18050</v>
      </c>
      <c r="Z13" s="9">
        <v>15000</v>
      </c>
      <c r="AA13" s="9">
        <v>15800</v>
      </c>
      <c r="AB13" s="10">
        <v>0.26229508196721313</v>
      </c>
      <c r="AC13" s="11">
        <v>-38.594053903862175</v>
      </c>
      <c r="AD13" s="9">
        <v>17730.451977401128</v>
      </c>
      <c r="AE13" s="8">
        <v>-3.6585365853658534E-2</v>
      </c>
    </row>
    <row r="14" spans="1:43" x14ac:dyDescent="0.35">
      <c r="A14" s="6" t="s">
        <v>35</v>
      </c>
      <c r="B14" s="7">
        <v>10</v>
      </c>
      <c r="C14" s="7">
        <v>2</v>
      </c>
      <c r="D14" s="7">
        <v>2</v>
      </c>
      <c r="E14" s="7">
        <v>4</v>
      </c>
      <c r="F14">
        <v>189</v>
      </c>
      <c r="G14">
        <v>108</v>
      </c>
      <c r="H14">
        <v>57.35</v>
      </c>
      <c r="I14">
        <v>81</v>
      </c>
      <c r="J14">
        <v>42.77</v>
      </c>
      <c r="K14">
        <v>4909</v>
      </c>
      <c r="L14">
        <v>398</v>
      </c>
      <c r="M14">
        <v>4511</v>
      </c>
      <c r="N14">
        <v>596.26</v>
      </c>
      <c r="O14">
        <v>1.96</v>
      </c>
      <c r="P14">
        <v>117.77</v>
      </c>
      <c r="Q14">
        <v>2.42</v>
      </c>
      <c r="R14">
        <v>50.38</v>
      </c>
      <c r="S14">
        <v>681</v>
      </c>
      <c r="T14">
        <v>33142</v>
      </c>
      <c r="U14">
        <v>1592</v>
      </c>
      <c r="V14">
        <v>109</v>
      </c>
      <c r="W14">
        <v>101.22</v>
      </c>
      <c r="X14" s="10">
        <v>0.35946955449762896</v>
      </c>
      <c r="Y14" s="9">
        <v>102500</v>
      </c>
      <c r="Z14" s="9">
        <v>79900</v>
      </c>
      <c r="AA14" s="9">
        <v>90900</v>
      </c>
      <c r="AB14" s="10">
        <v>0.48672566371681414</v>
      </c>
      <c r="AC14" s="11">
        <v>182.41455959988886</v>
      </c>
      <c r="AD14" s="9">
        <v>87478.022598870055</v>
      </c>
      <c r="AE14" s="8">
        <v>0.13767209011264081</v>
      </c>
    </row>
    <row r="15" spans="1:43" x14ac:dyDescent="0.35">
      <c r="A15" s="6" t="s">
        <v>36</v>
      </c>
      <c r="B15" s="7">
        <v>5</v>
      </c>
      <c r="C15" s="7">
        <v>2</v>
      </c>
      <c r="D15" s="7">
        <v>6</v>
      </c>
      <c r="E15" s="7">
        <v>5</v>
      </c>
      <c r="F15">
        <v>1066</v>
      </c>
      <c r="G15">
        <v>23</v>
      </c>
      <c r="H15">
        <v>2.12</v>
      </c>
      <c r="I15">
        <v>15</v>
      </c>
      <c r="J15">
        <v>1.4</v>
      </c>
      <c r="K15">
        <v>2031</v>
      </c>
      <c r="L15">
        <v>1009</v>
      </c>
      <c r="M15">
        <v>1022</v>
      </c>
      <c r="N15">
        <v>927.92</v>
      </c>
      <c r="O15">
        <v>1.98</v>
      </c>
      <c r="P15">
        <v>76.09</v>
      </c>
      <c r="Q15">
        <v>1.81</v>
      </c>
      <c r="R15">
        <v>1.07</v>
      </c>
      <c r="S15">
        <v>92</v>
      </c>
      <c r="T15">
        <v>3871</v>
      </c>
      <c r="U15">
        <v>6567</v>
      </c>
      <c r="V15">
        <v>92</v>
      </c>
      <c r="W15">
        <v>20.41</v>
      </c>
      <c r="X15" s="10">
        <v>0.73502775709601287</v>
      </c>
      <c r="Y15" s="9">
        <v>9870</v>
      </c>
      <c r="Z15" s="9">
        <v>5960</v>
      </c>
      <c r="AA15" s="9">
        <v>9290</v>
      </c>
      <c r="AB15" s="10">
        <v>0.85166240409207161</v>
      </c>
      <c r="AC15" s="11">
        <v>54.095304251180885</v>
      </c>
      <c r="AD15" s="9">
        <v>5317.593220338983</v>
      </c>
      <c r="AE15" s="8">
        <v>0.53807947019867552</v>
      </c>
    </row>
    <row r="16" spans="1:43" x14ac:dyDescent="0.35">
      <c r="A16" s="6" t="s">
        <v>37</v>
      </c>
      <c r="B16" s="7">
        <v>0</v>
      </c>
      <c r="C16" s="7">
        <v>0</v>
      </c>
      <c r="D16" s="7">
        <v>0</v>
      </c>
      <c r="E16" s="7">
        <v>18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s="10">
        <v>0.80159745011016381</v>
      </c>
      <c r="Y16" s="9">
        <v>26250</v>
      </c>
      <c r="Z16" s="9">
        <v>24245</v>
      </c>
      <c r="AA16" s="9">
        <v>25940</v>
      </c>
      <c r="AB16" s="10">
        <v>0.84538653366583538</v>
      </c>
      <c r="AC16" s="11">
        <v>24.073631564323428</v>
      </c>
      <c r="AD16" s="9">
        <v>24631.087570621468</v>
      </c>
      <c r="AE16" s="8">
        <v>3.9679358717434866E-2</v>
      </c>
    </row>
    <row r="17" spans="1:31" x14ac:dyDescent="0.35">
      <c r="A17" s="6" t="s">
        <v>38</v>
      </c>
      <c r="B17" s="7">
        <v>0</v>
      </c>
      <c r="C17" s="7">
        <v>0</v>
      </c>
      <c r="D17" s="7">
        <v>0</v>
      </c>
      <c r="E17" s="7">
        <v>18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s="10">
        <v>0.7678047180188452</v>
      </c>
      <c r="Y17" s="9">
        <v>9735</v>
      </c>
      <c r="Z17" s="9">
        <v>8885</v>
      </c>
      <c r="AA17" s="9">
        <v>9695</v>
      </c>
      <c r="AB17" s="10">
        <v>0.95294117647058818</v>
      </c>
      <c r="AC17" s="11">
        <v>13.017504862461793</v>
      </c>
      <c r="AD17" s="9">
        <v>8979.1327683615818</v>
      </c>
      <c r="AE17" s="8">
        <v>4.6976241900647947E-2</v>
      </c>
    </row>
    <row r="18" spans="1:31" x14ac:dyDescent="0.35">
      <c r="A18" s="6" t="s">
        <v>39</v>
      </c>
      <c r="B18" s="7">
        <v>0</v>
      </c>
      <c r="C18" s="7">
        <v>0</v>
      </c>
      <c r="D18" s="7">
        <v>0</v>
      </c>
      <c r="E18" s="7">
        <v>18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s="10">
        <v>0.64157939858491719</v>
      </c>
      <c r="Y18" s="9">
        <v>16810</v>
      </c>
      <c r="Z18" s="9">
        <v>15670</v>
      </c>
      <c r="AA18" s="9">
        <v>16445</v>
      </c>
      <c r="AB18" s="10">
        <v>0.67982456140350878</v>
      </c>
      <c r="AC18" s="11">
        <v>11.771047513198109</v>
      </c>
      <c r="AD18" s="9">
        <v>15946.816384180791</v>
      </c>
      <c r="AE18" s="8">
        <v>2.1428571428571429E-2</v>
      </c>
    </row>
    <row r="19" spans="1:31" x14ac:dyDescent="0.35">
      <c r="A19" s="6" t="s">
        <v>40</v>
      </c>
      <c r="B19" s="7">
        <v>0</v>
      </c>
      <c r="C19" s="7">
        <v>0</v>
      </c>
      <c r="D19" s="7">
        <v>0</v>
      </c>
      <c r="E19" s="7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s="10">
        <v>0.80641960080670938</v>
      </c>
      <c r="Y19" s="9">
        <v>9365</v>
      </c>
      <c r="Z19" s="9">
        <v>8615</v>
      </c>
      <c r="AA19" s="9">
        <v>9325</v>
      </c>
      <c r="AB19" s="10">
        <v>0.94666666666666666</v>
      </c>
      <c r="AC19" s="11">
        <v>11.875104195609891</v>
      </c>
      <c r="AD19" s="9">
        <v>8684.3926553672318</v>
      </c>
      <c r="AE19" s="8">
        <v>5.5461233729485006E-2</v>
      </c>
    </row>
    <row r="20" spans="1:31" x14ac:dyDescent="0.35">
      <c r="A20" s="6" t="s">
        <v>41</v>
      </c>
      <c r="B20" s="7">
        <v>0</v>
      </c>
      <c r="C20" s="7">
        <v>0</v>
      </c>
      <c r="D20" s="7">
        <v>0</v>
      </c>
      <c r="E20" s="7">
        <v>18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s="10">
        <v>0.76295327760497411</v>
      </c>
      <c r="Y20" s="9">
        <v>11700</v>
      </c>
      <c r="Z20" s="9">
        <v>10560</v>
      </c>
      <c r="AA20" s="9">
        <v>11400</v>
      </c>
      <c r="AB20" s="10">
        <v>0.73684210526315785</v>
      </c>
      <c r="AC20" s="11">
        <v>15.934565156988052</v>
      </c>
      <c r="AD20" s="9">
        <v>10743.91242937853</v>
      </c>
      <c r="AE20" s="8">
        <v>5.0207277752187932E-2</v>
      </c>
    </row>
    <row r="21" spans="1:31" x14ac:dyDescent="0.35">
      <c r="A21" s="6" t="s">
        <v>42</v>
      </c>
      <c r="B21" s="7">
        <v>0</v>
      </c>
      <c r="C21" s="7">
        <v>0</v>
      </c>
      <c r="D21" s="7">
        <v>0</v>
      </c>
      <c r="E21" s="7">
        <v>18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s="10">
        <v>0.62371402590730474</v>
      </c>
      <c r="Y21" s="9">
        <v>11220</v>
      </c>
      <c r="Z21" s="9">
        <v>10300</v>
      </c>
      <c r="AA21" s="9">
        <v>10995</v>
      </c>
      <c r="AB21" s="10">
        <v>0.75543478260869568</v>
      </c>
      <c r="AC21" s="11">
        <v>11.764656849124757</v>
      </c>
      <c r="AD21" s="9">
        <v>10501.677966101695</v>
      </c>
      <c r="AE21" s="8">
        <v>2.5652985074626867E-2</v>
      </c>
    </row>
    <row r="22" spans="1:31" x14ac:dyDescent="0.35">
      <c r="A22" s="6" t="s">
        <v>43</v>
      </c>
      <c r="B22" s="7">
        <v>0</v>
      </c>
      <c r="C22" s="7">
        <v>0</v>
      </c>
      <c r="D22" s="7">
        <v>0</v>
      </c>
      <c r="E22" s="7">
        <v>18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s="10">
        <v>0.5106072398187651</v>
      </c>
      <c r="Y22" s="9">
        <v>5680</v>
      </c>
      <c r="Z22" s="9">
        <v>5375</v>
      </c>
      <c r="AA22" s="9">
        <v>5570</v>
      </c>
      <c r="AB22" s="10">
        <v>0.63934426229508201</v>
      </c>
      <c r="AC22" s="11">
        <v>2.6580994720755764</v>
      </c>
      <c r="AD22" s="9">
        <v>5440.0112994350284</v>
      </c>
      <c r="AE22" s="8">
        <v>9.9728014505893019E-3</v>
      </c>
    </row>
    <row r="23" spans="1:31" x14ac:dyDescent="0.35">
      <c r="A23" s="6" t="s">
        <v>44</v>
      </c>
      <c r="B23" s="7">
        <v>0</v>
      </c>
      <c r="C23" s="7">
        <v>0</v>
      </c>
      <c r="D23" s="7">
        <v>0</v>
      </c>
      <c r="E23" s="7">
        <v>18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s="10">
        <v>0.97773169799774973</v>
      </c>
      <c r="Y23" s="9">
        <v>103410</v>
      </c>
      <c r="Z23" s="9">
        <v>102750</v>
      </c>
      <c r="AA23" s="9">
        <v>103410</v>
      </c>
      <c r="AB23" s="10">
        <v>1</v>
      </c>
      <c r="AC23" s="11">
        <v>10.406362878577383</v>
      </c>
      <c r="AD23" s="9">
        <v>102763.18926553671</v>
      </c>
      <c r="AE23" s="8">
        <v>6.4233576642335763E-3</v>
      </c>
    </row>
    <row r="24" spans="1:31" x14ac:dyDescent="0.35">
      <c r="A24" s="6" t="s">
        <v>45</v>
      </c>
      <c r="B24" s="7">
        <v>0</v>
      </c>
      <c r="C24" s="7">
        <v>0</v>
      </c>
      <c r="D24" s="7">
        <v>0</v>
      </c>
      <c r="E24" s="7">
        <v>18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s="10">
        <v>0.70878842956289356</v>
      </c>
      <c r="Y24" s="9">
        <v>107540</v>
      </c>
      <c r="Z24" s="9">
        <v>105545</v>
      </c>
      <c r="AA24" s="9">
        <v>107495</v>
      </c>
      <c r="AB24" s="10">
        <v>0.97744360902255634</v>
      </c>
      <c r="AC24" s="11">
        <v>22.28410669630453</v>
      </c>
      <c r="AD24" s="9">
        <v>106091.41807909604</v>
      </c>
      <c r="AE24" s="8">
        <v>1.6357017917080319E-2</v>
      </c>
    </row>
    <row r="25" spans="1:31" x14ac:dyDescent="0.35">
      <c r="A25" s="6" t="s">
        <v>46</v>
      </c>
      <c r="B25" s="7">
        <v>0</v>
      </c>
      <c r="C25" s="7">
        <v>0</v>
      </c>
      <c r="D25" s="7">
        <v>0</v>
      </c>
      <c r="E25" s="7">
        <v>18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s="10">
        <v>0.28600368043616797</v>
      </c>
      <c r="Y25" s="9">
        <v>6740</v>
      </c>
      <c r="Z25" s="9">
        <v>6245</v>
      </c>
      <c r="AA25" s="9">
        <v>6680</v>
      </c>
      <c r="AB25" s="10">
        <v>0.87878787878787878</v>
      </c>
      <c r="AC25" s="11">
        <v>3.7771603223117531</v>
      </c>
      <c r="AD25" s="9">
        <v>6360.629943502825</v>
      </c>
      <c r="AE25" s="8">
        <v>6.4541832669322716E-2</v>
      </c>
    </row>
    <row r="26" spans="1:31" x14ac:dyDescent="0.35">
      <c r="A26" s="6" t="s">
        <v>47</v>
      </c>
      <c r="B26" s="7">
        <v>0</v>
      </c>
      <c r="C26" s="7">
        <v>0</v>
      </c>
      <c r="D26" s="7">
        <v>0</v>
      </c>
      <c r="E26" s="7">
        <v>18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s="10">
        <v>0.8681775822030583</v>
      </c>
      <c r="Y26" s="9">
        <v>4940</v>
      </c>
      <c r="Z26" s="9">
        <v>4270</v>
      </c>
      <c r="AA26" s="9">
        <v>4795</v>
      </c>
      <c r="AB26" s="10">
        <v>0.78358208955223885</v>
      </c>
      <c r="AC26" s="11">
        <v>8.9695748819116421</v>
      </c>
      <c r="AD26" s="9">
        <v>4342.6779661016953</v>
      </c>
      <c r="AE26" s="8">
        <v>7.9954954954954957E-2</v>
      </c>
    </row>
    <row r="27" spans="1:31" x14ac:dyDescent="0.35">
      <c r="A27" s="6" t="s">
        <v>48</v>
      </c>
      <c r="B27" s="7">
        <v>0</v>
      </c>
      <c r="C27" s="7">
        <v>0</v>
      </c>
      <c r="D27" s="7">
        <v>0</v>
      </c>
      <c r="E27" s="7">
        <v>18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s="10">
        <v>0.54328705168323721</v>
      </c>
      <c r="Y27" s="9">
        <v>11045</v>
      </c>
      <c r="Z27" s="9">
        <v>10290</v>
      </c>
      <c r="AA27" s="9">
        <v>10825</v>
      </c>
      <c r="AB27" s="10">
        <v>0.70860927152317876</v>
      </c>
      <c r="AC27" s="11">
        <v>8.801055848846902</v>
      </c>
      <c r="AD27" s="9">
        <v>10440.401129943504</v>
      </c>
      <c r="AE27" s="8">
        <v>7.4453234062354587E-3</v>
      </c>
    </row>
    <row r="28" spans="1:31" x14ac:dyDescent="0.35">
      <c r="A28" s="6" t="s">
        <v>49</v>
      </c>
      <c r="B28" s="7">
        <v>0</v>
      </c>
      <c r="C28" s="7">
        <v>0</v>
      </c>
      <c r="D28" s="7">
        <v>0</v>
      </c>
      <c r="E28" s="7">
        <v>18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s="10">
        <v>0.48260378223560935</v>
      </c>
      <c r="Y28" s="9">
        <v>10080</v>
      </c>
      <c r="Z28" s="9">
        <v>9505</v>
      </c>
      <c r="AA28" s="9">
        <v>9700</v>
      </c>
      <c r="AB28" s="10">
        <v>0.33913043478260868</v>
      </c>
      <c r="AC28" s="11">
        <v>-8.7484806741755126</v>
      </c>
      <c r="AD28" s="9">
        <v>10206.636415201363</v>
      </c>
      <c r="AE28" s="8">
        <v>0</v>
      </c>
    </row>
    <row r="29" spans="1:31" x14ac:dyDescent="0.35">
      <c r="A29" s="6" t="s">
        <v>50</v>
      </c>
      <c r="B29" s="7">
        <v>0</v>
      </c>
      <c r="C29" s="7">
        <v>0</v>
      </c>
      <c r="D29" s="7">
        <v>0</v>
      </c>
      <c r="E29" s="7">
        <v>18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s="10">
        <v>0.73294492748767692</v>
      </c>
      <c r="Y29" s="9">
        <v>9885</v>
      </c>
      <c r="Z29" s="9">
        <v>8815</v>
      </c>
      <c r="AA29" s="9">
        <v>9725</v>
      </c>
      <c r="AB29" s="10">
        <v>0.85046728971962615</v>
      </c>
      <c r="AC29" s="11">
        <v>13.856210058349541</v>
      </c>
      <c r="AD29" s="9">
        <v>8966.1355932203387</v>
      </c>
      <c r="AE29" s="8">
        <v>4.6261430876815494E-2</v>
      </c>
    </row>
    <row r="30" spans="1:31" x14ac:dyDescent="0.35">
      <c r="A30" s="6" t="s">
        <v>51</v>
      </c>
      <c r="B30" s="7">
        <v>0</v>
      </c>
      <c r="C30" s="7">
        <v>0</v>
      </c>
      <c r="D30" s="7">
        <v>0</v>
      </c>
      <c r="E30" s="7">
        <v>18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s="10">
        <v>3.6855506147429815E-2</v>
      </c>
      <c r="Y30" s="9">
        <v>9955</v>
      </c>
      <c r="Z30" s="9">
        <v>9315</v>
      </c>
      <c r="AA30" s="9">
        <v>9625</v>
      </c>
      <c r="AB30" s="10">
        <v>0.484375</v>
      </c>
      <c r="AC30" s="11">
        <v>1.7682689636009998</v>
      </c>
      <c r="AD30" s="9">
        <v>9641.7344632768363</v>
      </c>
      <c r="AE30" s="8">
        <v>3.126628452318916E-3</v>
      </c>
    </row>
    <row r="31" spans="1:31" x14ac:dyDescent="0.35">
      <c r="A31" s="6" t="s">
        <v>52</v>
      </c>
      <c r="B31" s="7">
        <v>0</v>
      </c>
      <c r="C31" s="7">
        <v>0</v>
      </c>
      <c r="D31" s="7">
        <v>0</v>
      </c>
      <c r="E31" s="7">
        <v>18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s="10">
        <v>0.14525811626756924</v>
      </c>
      <c r="Y31" s="9">
        <v>12000</v>
      </c>
      <c r="Z31" s="9">
        <v>10130</v>
      </c>
      <c r="AA31" s="9">
        <v>10890</v>
      </c>
      <c r="AB31" s="10">
        <v>0.40641711229946526</v>
      </c>
      <c r="AC31" s="11">
        <v>-9.3564879133092518</v>
      </c>
      <c r="AD31" s="9">
        <v>11341.372881355932</v>
      </c>
      <c r="AE31" s="8">
        <v>-3.8834951456310676E-2</v>
      </c>
    </row>
    <row r="32" spans="1:31" x14ac:dyDescent="0.35">
      <c r="A32" s="6" t="s">
        <v>53</v>
      </c>
      <c r="B32" s="7">
        <v>0</v>
      </c>
      <c r="C32" s="7">
        <v>16</v>
      </c>
      <c r="D32" s="7">
        <v>2</v>
      </c>
      <c r="E32" s="7">
        <v>0</v>
      </c>
      <c r="F32">
        <v>380</v>
      </c>
      <c r="G32">
        <v>50</v>
      </c>
      <c r="H32">
        <v>13.09</v>
      </c>
      <c r="I32">
        <v>43</v>
      </c>
      <c r="J32">
        <v>11.34</v>
      </c>
      <c r="K32">
        <v>480</v>
      </c>
      <c r="L32">
        <v>61</v>
      </c>
      <c r="M32">
        <v>419</v>
      </c>
      <c r="N32">
        <v>481.99</v>
      </c>
      <c r="O32">
        <v>14.46</v>
      </c>
      <c r="P32">
        <v>9.4700000000000006</v>
      </c>
      <c r="Q32">
        <v>1.44</v>
      </c>
      <c r="R32">
        <v>1.07</v>
      </c>
      <c r="S32">
        <v>397</v>
      </c>
      <c r="T32">
        <v>2609</v>
      </c>
      <c r="U32">
        <v>3503</v>
      </c>
      <c r="V32">
        <v>78</v>
      </c>
      <c r="W32">
        <v>7.03</v>
      </c>
      <c r="X32" s="10">
        <v>0.37858990478868509</v>
      </c>
      <c r="Y32" s="9">
        <v>5060</v>
      </c>
      <c r="Z32" s="9">
        <v>3120</v>
      </c>
      <c r="AA32" s="9">
        <v>5000</v>
      </c>
      <c r="AB32" s="10">
        <v>0.96907216494845361</v>
      </c>
      <c r="AC32" s="11">
        <v>15.850097249235896</v>
      </c>
      <c r="AD32" s="9">
        <v>3116.9887005649716</v>
      </c>
      <c r="AE32" s="8">
        <v>0.5625</v>
      </c>
    </row>
    <row r="33" spans="1:31" x14ac:dyDescent="0.35">
      <c r="A33" s="6" t="s">
        <v>54</v>
      </c>
      <c r="B33" s="7">
        <v>8</v>
      </c>
      <c r="C33" s="7">
        <v>8</v>
      </c>
      <c r="D33" s="7">
        <v>2</v>
      </c>
      <c r="E33" s="7">
        <v>0</v>
      </c>
      <c r="F33">
        <v>33031</v>
      </c>
      <c r="G33">
        <v>1125</v>
      </c>
      <c r="H33">
        <v>3.4</v>
      </c>
      <c r="I33">
        <v>976</v>
      </c>
      <c r="J33">
        <v>2.95</v>
      </c>
      <c r="K33">
        <v>11838</v>
      </c>
      <c r="L33">
        <v>6326</v>
      </c>
      <c r="M33">
        <v>5512</v>
      </c>
      <c r="N33">
        <v>2137.0700000000002</v>
      </c>
      <c r="O33">
        <v>25.96</v>
      </c>
      <c r="P33">
        <v>19.32</v>
      </c>
      <c r="Q33">
        <v>3.72</v>
      </c>
      <c r="R33">
        <v>0.56999999999999995</v>
      </c>
      <c r="S33">
        <v>3960</v>
      </c>
      <c r="T33">
        <v>20586</v>
      </c>
      <c r="U33">
        <v>134055</v>
      </c>
      <c r="V33">
        <v>2060</v>
      </c>
      <c r="W33">
        <v>9.15</v>
      </c>
      <c r="X33" s="10">
        <v>0.93316616158761312</v>
      </c>
      <c r="Y33" s="9">
        <v>105000</v>
      </c>
      <c r="Z33" s="9">
        <v>71400</v>
      </c>
      <c r="AA33" s="9">
        <v>105000</v>
      </c>
      <c r="AB33" s="10">
        <v>1</v>
      </c>
      <c r="AC33" s="11">
        <v>501.57265907196432</v>
      </c>
      <c r="AD33" s="9">
        <v>69625.367231638418</v>
      </c>
      <c r="AE33" s="8">
        <v>0.39072847682119205</v>
      </c>
    </row>
    <row r="34" spans="1:31" x14ac:dyDescent="0.35">
      <c r="A34" s="6" t="s">
        <v>55</v>
      </c>
      <c r="B34" s="7">
        <v>2</v>
      </c>
      <c r="C34" s="7">
        <v>11</v>
      </c>
      <c r="D34" s="7">
        <v>3</v>
      </c>
      <c r="E34" s="7">
        <v>2</v>
      </c>
      <c r="F34">
        <v>4044</v>
      </c>
      <c r="G34">
        <v>3557</v>
      </c>
      <c r="H34">
        <v>87.95</v>
      </c>
      <c r="I34">
        <v>3564</v>
      </c>
      <c r="J34">
        <v>88.13</v>
      </c>
      <c r="K34">
        <v>45395</v>
      </c>
      <c r="L34">
        <v>9887</v>
      </c>
      <c r="M34">
        <v>35508</v>
      </c>
      <c r="N34">
        <v>203</v>
      </c>
      <c r="O34">
        <v>11.34</v>
      </c>
      <c r="P34">
        <v>8.65</v>
      </c>
      <c r="Q34">
        <v>0.96</v>
      </c>
      <c r="R34">
        <v>7.62</v>
      </c>
      <c r="S34">
        <v>1677</v>
      </c>
      <c r="T34">
        <v>15142</v>
      </c>
      <c r="U34">
        <v>1902</v>
      </c>
      <c r="V34">
        <v>0</v>
      </c>
      <c r="W34">
        <v>0</v>
      </c>
      <c r="X34" s="10">
        <v>0.4054330046617583</v>
      </c>
      <c r="Y34" s="9">
        <v>15500</v>
      </c>
      <c r="Z34" s="9">
        <v>13500</v>
      </c>
      <c r="AA34" s="9">
        <v>14700</v>
      </c>
      <c r="AB34" s="10">
        <v>0.6</v>
      </c>
      <c r="AC34" s="11">
        <v>17.84940261183662</v>
      </c>
      <c r="AD34" s="9">
        <v>13935.593220338984</v>
      </c>
      <c r="AE34" s="8">
        <v>-1.3422818791946308E-2</v>
      </c>
    </row>
    <row r="35" spans="1:31" x14ac:dyDescent="0.35">
      <c r="A35" s="6" t="s">
        <v>56</v>
      </c>
      <c r="B35" s="7">
        <v>8</v>
      </c>
      <c r="C35" s="7">
        <v>1</v>
      </c>
      <c r="D35" s="7">
        <v>1</v>
      </c>
      <c r="E35" s="7">
        <v>8</v>
      </c>
      <c r="F35">
        <v>1786</v>
      </c>
      <c r="G35">
        <v>277</v>
      </c>
      <c r="H35">
        <v>15.49</v>
      </c>
      <c r="I35">
        <v>195</v>
      </c>
      <c r="J35">
        <v>10.92</v>
      </c>
      <c r="K35">
        <v>6100</v>
      </c>
      <c r="L35">
        <v>2350</v>
      </c>
      <c r="M35">
        <v>3750</v>
      </c>
      <c r="N35">
        <v>8836.5499999999993</v>
      </c>
      <c r="O35">
        <v>5.33</v>
      </c>
      <c r="P35">
        <v>8.4499999999999993</v>
      </c>
      <c r="Q35">
        <v>0.59</v>
      </c>
      <c r="R35">
        <v>1.23</v>
      </c>
      <c r="S35">
        <v>30939</v>
      </c>
      <c r="T35">
        <v>446207</v>
      </c>
      <c r="U35">
        <v>212569</v>
      </c>
      <c r="V35">
        <v>355</v>
      </c>
      <c r="W35">
        <v>9.42</v>
      </c>
      <c r="X35" s="10">
        <v>0.75250641304406407</v>
      </c>
      <c r="Y35" s="9">
        <v>311000</v>
      </c>
      <c r="Z35" s="9">
        <v>246000</v>
      </c>
      <c r="AA35" s="9">
        <v>301000</v>
      </c>
      <c r="AB35" s="10">
        <v>0.84615384615384615</v>
      </c>
      <c r="AC35" s="11">
        <v>1126.4517921644904</v>
      </c>
      <c r="AD35" s="9">
        <v>246059.88700564974</v>
      </c>
      <c r="AE35" s="8">
        <v>0.15769230769230769</v>
      </c>
    </row>
    <row r="36" spans="1:31" x14ac:dyDescent="0.35">
      <c r="A36" s="6" t="s">
        <v>57</v>
      </c>
      <c r="B36" s="7">
        <v>0</v>
      </c>
      <c r="C36" s="7">
        <v>0</v>
      </c>
      <c r="D36" s="7">
        <v>0</v>
      </c>
      <c r="E36" s="7">
        <v>18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10">
        <v>1.0738039055385829E-2</v>
      </c>
      <c r="Y36" s="9">
        <v>189500</v>
      </c>
      <c r="Z36" s="9">
        <v>164000</v>
      </c>
      <c r="AA36" s="9">
        <v>170000</v>
      </c>
      <c r="AB36" s="10">
        <v>0.23529411764705882</v>
      </c>
      <c r="AC36" s="11">
        <v>33.939983328702418</v>
      </c>
      <c r="AD36" s="9">
        <v>171289.83050847458</v>
      </c>
      <c r="AE36" s="8">
        <v>-2.9325513196480938E-3</v>
      </c>
    </row>
    <row r="37" spans="1:31" x14ac:dyDescent="0.35">
      <c r="A37" s="6" t="s">
        <v>58</v>
      </c>
      <c r="B37" s="7">
        <v>3</v>
      </c>
      <c r="C37" s="7">
        <v>5</v>
      </c>
      <c r="D37" s="7">
        <v>4</v>
      </c>
      <c r="E37" s="7">
        <v>6</v>
      </c>
      <c r="F37">
        <v>1245</v>
      </c>
      <c r="G37">
        <v>50</v>
      </c>
      <c r="H37">
        <v>4.0199999999999996</v>
      </c>
      <c r="I37">
        <v>40</v>
      </c>
      <c r="J37">
        <v>3.25</v>
      </c>
      <c r="K37">
        <v>1450</v>
      </c>
      <c r="L37">
        <v>863</v>
      </c>
      <c r="M37">
        <v>587</v>
      </c>
      <c r="N37">
        <v>27.9</v>
      </c>
      <c r="O37">
        <v>9.25</v>
      </c>
      <c r="P37">
        <v>11.23</v>
      </c>
      <c r="Q37">
        <v>1.1000000000000001</v>
      </c>
      <c r="R37">
        <v>0.36</v>
      </c>
      <c r="S37">
        <v>301</v>
      </c>
      <c r="T37">
        <v>3079</v>
      </c>
      <c r="U37">
        <v>9305</v>
      </c>
      <c r="V37">
        <v>76</v>
      </c>
      <c r="W37">
        <v>7.26</v>
      </c>
      <c r="X37" s="10">
        <v>0.86994788980906002</v>
      </c>
      <c r="Y37" s="9">
        <v>7890</v>
      </c>
      <c r="Z37" s="9">
        <v>1815</v>
      </c>
      <c r="AA37" s="9">
        <v>7810</v>
      </c>
      <c r="AB37" s="10">
        <v>0.9868312757201646</v>
      </c>
      <c r="AC37" s="11">
        <v>103.52639622117256</v>
      </c>
      <c r="AD37" s="9">
        <v>640.52824858757049</v>
      </c>
      <c r="AE37" s="8">
        <v>2.2008196721311477</v>
      </c>
    </row>
    <row r="38" spans="1:31" x14ac:dyDescent="0.35">
      <c r="A38" s="6" t="s">
        <v>59</v>
      </c>
      <c r="B38" s="7">
        <v>6</v>
      </c>
      <c r="C38" s="7">
        <v>5</v>
      </c>
      <c r="D38" s="7">
        <v>0</v>
      </c>
      <c r="E38" s="7">
        <v>7</v>
      </c>
      <c r="F38">
        <v>985</v>
      </c>
      <c r="G38">
        <v>561</v>
      </c>
      <c r="H38">
        <v>56.92</v>
      </c>
      <c r="I38">
        <v>422</v>
      </c>
      <c r="J38">
        <v>42.85</v>
      </c>
      <c r="K38">
        <v>29788</v>
      </c>
      <c r="L38">
        <v>3301</v>
      </c>
      <c r="M38">
        <v>26487</v>
      </c>
      <c r="N38">
        <v>1700.57</v>
      </c>
      <c r="O38">
        <v>1.6</v>
      </c>
      <c r="P38">
        <v>105.05</v>
      </c>
      <c r="Q38">
        <v>1.86</v>
      </c>
      <c r="R38">
        <v>44.89</v>
      </c>
      <c r="S38">
        <v>1485</v>
      </c>
      <c r="T38">
        <v>84080</v>
      </c>
      <c r="U38">
        <v>3475</v>
      </c>
      <c r="V38">
        <v>581</v>
      </c>
      <c r="W38">
        <v>82.51</v>
      </c>
      <c r="X38" s="10">
        <v>5.8965215044285431E-2</v>
      </c>
      <c r="Y38" s="9">
        <v>182500</v>
      </c>
      <c r="Z38" s="9">
        <v>153000</v>
      </c>
      <c r="AA38" s="9">
        <v>172000</v>
      </c>
      <c r="AB38" s="10">
        <v>0.64406779661016944</v>
      </c>
      <c r="AC38" s="11">
        <v>102.30619616560155</v>
      </c>
      <c r="AD38" s="9">
        <v>165762.9943502825</v>
      </c>
      <c r="AE38" s="8">
        <v>0.12418300653594772</v>
      </c>
    </row>
    <row r="39" spans="1:31" x14ac:dyDescent="0.35">
      <c r="A39" s="6" t="s">
        <v>60</v>
      </c>
      <c r="B39" s="7">
        <v>12</v>
      </c>
      <c r="C39" s="7">
        <v>1</v>
      </c>
      <c r="D39" s="7">
        <v>0</v>
      </c>
      <c r="E39" s="7">
        <v>5</v>
      </c>
      <c r="F39">
        <v>8645</v>
      </c>
      <c r="G39">
        <v>714</v>
      </c>
      <c r="H39">
        <v>8.26</v>
      </c>
      <c r="I39">
        <v>333</v>
      </c>
      <c r="J39">
        <v>3.85</v>
      </c>
      <c r="K39">
        <v>11503</v>
      </c>
      <c r="L39">
        <v>6775</v>
      </c>
      <c r="M39">
        <v>4728</v>
      </c>
      <c r="N39">
        <v>4368.76</v>
      </c>
      <c r="O39">
        <v>7.21</v>
      </c>
      <c r="P39">
        <v>34.35</v>
      </c>
      <c r="Q39">
        <v>2.54</v>
      </c>
      <c r="R39">
        <v>1.32</v>
      </c>
      <c r="S39">
        <v>1572</v>
      </c>
      <c r="T39">
        <v>21252</v>
      </c>
      <c r="U39">
        <v>40853</v>
      </c>
      <c r="V39">
        <v>1330</v>
      </c>
      <c r="W39">
        <v>10.76</v>
      </c>
      <c r="X39" s="10">
        <v>0.13260413554118941</v>
      </c>
      <c r="Y39" s="9">
        <v>65100</v>
      </c>
      <c r="Z39" s="9">
        <v>54000</v>
      </c>
      <c r="AA39" s="9">
        <v>63000</v>
      </c>
      <c r="AB39" s="10">
        <v>0.81081081081081086</v>
      </c>
      <c r="AC39" s="11">
        <v>50.155598777438179</v>
      </c>
      <c r="AD39" s="9">
        <v>59185.254237288136</v>
      </c>
      <c r="AE39" s="8">
        <v>0.16666666666666666</v>
      </c>
    </row>
    <row r="40" spans="1:31" x14ac:dyDescent="0.35">
      <c r="A40" s="6" t="s">
        <v>61</v>
      </c>
      <c r="B40" s="7">
        <v>5</v>
      </c>
      <c r="C40" s="7">
        <v>11</v>
      </c>
      <c r="D40" s="7">
        <v>2</v>
      </c>
      <c r="E40" s="7">
        <v>0</v>
      </c>
      <c r="F40">
        <v>11541</v>
      </c>
      <c r="G40">
        <v>-24</v>
      </c>
      <c r="H40">
        <v>-0.21</v>
      </c>
      <c r="I40">
        <v>713</v>
      </c>
      <c r="J40">
        <v>6.18</v>
      </c>
      <c r="K40">
        <v>20558</v>
      </c>
      <c r="L40">
        <v>7301</v>
      </c>
      <c r="M40">
        <v>13257</v>
      </c>
      <c r="N40">
        <v>587.14</v>
      </c>
      <c r="O40">
        <v>5.52</v>
      </c>
      <c r="P40">
        <v>20.66</v>
      </c>
      <c r="Q40">
        <v>2.27</v>
      </c>
      <c r="R40">
        <v>1.28</v>
      </c>
      <c r="S40">
        <v>1849</v>
      </c>
      <c r="T40">
        <v>16832</v>
      </c>
      <c r="U40">
        <v>29925</v>
      </c>
      <c r="V40">
        <v>2908</v>
      </c>
      <c r="W40">
        <v>5.09</v>
      </c>
      <c r="X40" s="10">
        <v>0.76880184542353502</v>
      </c>
      <c r="Y40" s="9">
        <v>55800</v>
      </c>
      <c r="Z40" s="9">
        <v>36700</v>
      </c>
      <c r="AA40" s="9">
        <v>53300</v>
      </c>
      <c r="AB40" s="10">
        <v>0.86910994764397909</v>
      </c>
      <c r="AC40" s="11">
        <v>254.82911919977767</v>
      </c>
      <c r="AD40" s="9">
        <v>36789.378531073446</v>
      </c>
      <c r="AE40" s="8">
        <v>0.45231607629427795</v>
      </c>
    </row>
    <row r="41" spans="1:31" x14ac:dyDescent="0.35">
      <c r="A41" s="6" t="s">
        <v>62</v>
      </c>
      <c r="B41" s="7">
        <v>3</v>
      </c>
      <c r="C41" s="7">
        <v>12</v>
      </c>
      <c r="D41" s="7">
        <v>3</v>
      </c>
      <c r="E41" s="7">
        <v>0</v>
      </c>
      <c r="F41">
        <v>40788</v>
      </c>
      <c r="G41">
        <v>1086</v>
      </c>
      <c r="H41">
        <v>2.66</v>
      </c>
      <c r="I41">
        <v>323</v>
      </c>
      <c r="J41">
        <v>0.79</v>
      </c>
      <c r="K41">
        <v>37120</v>
      </c>
      <c r="L41">
        <v>14598</v>
      </c>
      <c r="M41">
        <v>22522</v>
      </c>
      <c r="N41">
        <v>2338</v>
      </c>
      <c r="O41">
        <v>1.44</v>
      </c>
      <c r="P41">
        <v>105.77</v>
      </c>
      <c r="Q41">
        <v>2.35</v>
      </c>
      <c r="R41">
        <v>0.84</v>
      </c>
      <c r="S41">
        <v>1853</v>
      </c>
      <c r="T41">
        <v>83569</v>
      </c>
      <c r="U41">
        <v>234129</v>
      </c>
      <c r="V41">
        <v>1970</v>
      </c>
      <c r="W41">
        <v>26.9</v>
      </c>
      <c r="X41" s="10">
        <v>5.9946891794778252E-2</v>
      </c>
      <c r="Y41" s="9">
        <v>200000</v>
      </c>
      <c r="Z41" s="9">
        <v>163500</v>
      </c>
      <c r="AA41" s="9">
        <v>191000</v>
      </c>
      <c r="AB41" s="10">
        <v>0.75342465753424659</v>
      </c>
      <c r="AC41" s="11">
        <v>-138.13559322033899</v>
      </c>
      <c r="AD41" s="9">
        <v>187788.13559322033</v>
      </c>
      <c r="AE41" s="8">
        <v>5.263157894736842E-3</v>
      </c>
    </row>
    <row r="42" spans="1:31" x14ac:dyDescent="0.35">
      <c r="A42" s="6" t="s">
        <v>63</v>
      </c>
      <c r="B42" s="7">
        <v>3</v>
      </c>
      <c r="C42" s="7">
        <v>6</v>
      </c>
      <c r="D42" s="7">
        <v>6</v>
      </c>
      <c r="E42" s="7">
        <v>3</v>
      </c>
      <c r="F42">
        <v>1563</v>
      </c>
      <c r="G42">
        <v>65</v>
      </c>
      <c r="H42">
        <v>4.13</v>
      </c>
      <c r="I42">
        <v>33</v>
      </c>
      <c r="J42">
        <v>2.09</v>
      </c>
      <c r="K42">
        <v>1012</v>
      </c>
      <c r="L42">
        <v>539</v>
      </c>
      <c r="M42">
        <v>473</v>
      </c>
      <c r="N42">
        <v>162.01</v>
      </c>
      <c r="O42">
        <v>7.13</v>
      </c>
      <c r="P42">
        <v>27.2</v>
      </c>
      <c r="Q42">
        <v>1.9</v>
      </c>
      <c r="R42">
        <v>0.56999999999999995</v>
      </c>
      <c r="S42">
        <v>91</v>
      </c>
      <c r="T42">
        <v>1301</v>
      </c>
      <c r="U42">
        <v>4327</v>
      </c>
      <c r="V42">
        <v>93</v>
      </c>
      <c r="W42">
        <v>12.66</v>
      </c>
      <c r="X42" s="10">
        <v>0.67520971671423613</v>
      </c>
      <c r="Y42" s="9">
        <v>2810</v>
      </c>
      <c r="Z42" s="9">
        <v>2475</v>
      </c>
      <c r="AA42" s="9">
        <v>2755</v>
      </c>
      <c r="AB42" s="10">
        <v>0.83582089552238803</v>
      </c>
      <c r="AC42" s="11">
        <v>3.8327313142539596</v>
      </c>
      <c r="AD42" s="9">
        <v>2499.9350282485875</v>
      </c>
      <c r="AE42" s="8">
        <v>0.10199999999999999</v>
      </c>
    </row>
    <row r="43" spans="1:31" x14ac:dyDescent="0.35">
      <c r="A43" s="6" t="s">
        <v>64</v>
      </c>
      <c r="B43" s="7">
        <v>0</v>
      </c>
      <c r="C43" s="7">
        <v>0</v>
      </c>
      <c r="D43" s="7">
        <v>0</v>
      </c>
      <c r="E43" s="7">
        <v>18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10">
        <v>0.63192293159035617</v>
      </c>
      <c r="Y43" s="9">
        <v>23050</v>
      </c>
      <c r="Z43" s="9">
        <v>5750</v>
      </c>
      <c r="AA43" s="9">
        <v>16100</v>
      </c>
      <c r="AB43" s="10">
        <v>0.59826589595375723</v>
      </c>
      <c r="AC43" s="11">
        <v>213.57377049180329</v>
      </c>
      <c r="AD43" s="9">
        <v>3110.3333333333339</v>
      </c>
      <c r="AE43" s="8">
        <v>1.5596184419713832</v>
      </c>
    </row>
    <row r="44" spans="1:31" x14ac:dyDescent="0.35">
      <c r="A44" s="6" t="s">
        <v>65</v>
      </c>
      <c r="B44" s="7">
        <v>6</v>
      </c>
      <c r="C44" s="7">
        <v>0</v>
      </c>
      <c r="D44" s="7">
        <v>7</v>
      </c>
      <c r="E44" s="7">
        <v>5</v>
      </c>
      <c r="F44">
        <v>12773</v>
      </c>
      <c r="G44">
        <v>1422</v>
      </c>
      <c r="H44">
        <v>11.13</v>
      </c>
      <c r="I44">
        <v>1005</v>
      </c>
      <c r="J44">
        <v>7.86</v>
      </c>
      <c r="K44">
        <v>11781</v>
      </c>
      <c r="L44">
        <v>5391</v>
      </c>
      <c r="M44">
        <v>6390</v>
      </c>
      <c r="N44">
        <v>1998.64</v>
      </c>
      <c r="O44">
        <v>16.66</v>
      </c>
      <c r="P44">
        <v>15.59</v>
      </c>
      <c r="Q44">
        <v>2.67</v>
      </c>
      <c r="R44">
        <v>1.23</v>
      </c>
      <c r="S44">
        <v>16687</v>
      </c>
      <c r="T44">
        <v>97297</v>
      </c>
      <c r="U44">
        <v>212179</v>
      </c>
      <c r="V44">
        <v>1536</v>
      </c>
      <c r="W44">
        <v>10.52</v>
      </c>
      <c r="X44" s="10">
        <v>0.17199447257724892</v>
      </c>
      <c r="Y44" s="9">
        <v>261400</v>
      </c>
      <c r="Z44" s="9">
        <v>202400</v>
      </c>
      <c r="AA44" s="9">
        <v>220600</v>
      </c>
      <c r="AB44" s="10">
        <v>0.30847457627118646</v>
      </c>
      <c r="AC44" s="11">
        <v>-270.17782717421511</v>
      </c>
      <c r="AD44" s="9">
        <v>234932.09039548022</v>
      </c>
      <c r="AE44" s="8">
        <v>-0.15608263198163733</v>
      </c>
    </row>
    <row r="45" spans="1:31" x14ac:dyDescent="0.35">
      <c r="A45" s="6" t="s">
        <v>66</v>
      </c>
      <c r="B45" s="7">
        <v>0</v>
      </c>
      <c r="C45" s="7">
        <v>0</v>
      </c>
      <c r="D45" s="7">
        <v>0</v>
      </c>
      <c r="E45" s="7">
        <v>18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10">
        <v>0.6614650196097196</v>
      </c>
      <c r="Y45" s="9">
        <v>93000</v>
      </c>
      <c r="Z45" s="9">
        <v>74400</v>
      </c>
      <c r="AA45" s="9">
        <v>90800</v>
      </c>
      <c r="AB45" s="10">
        <v>0.88172043010752688</v>
      </c>
      <c r="AC45" s="11">
        <v>212.17560433453735</v>
      </c>
      <c r="AD45" s="9">
        <v>80435.310734463288</v>
      </c>
      <c r="AE45" s="8">
        <v>0.22043010752688172</v>
      </c>
    </row>
    <row r="46" spans="1:31" x14ac:dyDescent="0.35">
      <c r="A46" s="6" t="s">
        <v>67</v>
      </c>
      <c r="B46" s="7">
        <v>6</v>
      </c>
      <c r="C46" s="7">
        <v>3</v>
      </c>
      <c r="D46" s="7">
        <v>4</v>
      </c>
      <c r="E46" s="7">
        <v>5</v>
      </c>
      <c r="F46">
        <v>43290</v>
      </c>
      <c r="G46">
        <v>3132</v>
      </c>
      <c r="H46">
        <v>7.23</v>
      </c>
      <c r="I46">
        <v>1251</v>
      </c>
      <c r="J46">
        <v>2.89</v>
      </c>
      <c r="K46">
        <v>61378</v>
      </c>
      <c r="L46">
        <v>32123</v>
      </c>
      <c r="M46">
        <v>29255</v>
      </c>
      <c r="N46">
        <v>4085.5</v>
      </c>
      <c r="O46">
        <v>4.37</v>
      </c>
      <c r="P46">
        <v>34.51</v>
      </c>
      <c r="Q46">
        <v>1.65</v>
      </c>
      <c r="R46">
        <v>1</v>
      </c>
      <c r="S46">
        <v>8882</v>
      </c>
      <c r="T46">
        <v>185717</v>
      </c>
      <c r="U46">
        <v>307589</v>
      </c>
      <c r="V46">
        <v>4674</v>
      </c>
      <c r="W46">
        <v>13.24</v>
      </c>
      <c r="X46" s="10">
        <v>0.28542615954123174</v>
      </c>
      <c r="Y46" s="9">
        <v>389500</v>
      </c>
      <c r="Z46" s="9">
        <v>303000</v>
      </c>
      <c r="AA46" s="9">
        <v>385000</v>
      </c>
      <c r="AB46" s="10">
        <v>0.94797687861271673</v>
      </c>
      <c r="AC46" s="11">
        <v>600.13892747985551</v>
      </c>
      <c r="AD46" s="9">
        <v>332395.76271186443</v>
      </c>
      <c r="AE46" s="8">
        <v>0.23003194888178913</v>
      </c>
    </row>
    <row r="47" spans="1:31" x14ac:dyDescent="0.35">
      <c r="A47" s="6" t="s">
        <v>68</v>
      </c>
      <c r="B47" s="7">
        <v>0</v>
      </c>
      <c r="C47" s="7">
        <v>0</v>
      </c>
      <c r="D47" s="7">
        <v>0</v>
      </c>
      <c r="E47" s="7">
        <v>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10">
        <v>0.17755405856514253</v>
      </c>
      <c r="Y47" s="9">
        <v>199000</v>
      </c>
      <c r="Z47" s="9">
        <v>156500</v>
      </c>
      <c r="AA47" s="9">
        <v>192000</v>
      </c>
      <c r="AB47" s="10">
        <v>0.83529411764705885</v>
      </c>
      <c r="AC47" s="11">
        <v>220.99194220616835</v>
      </c>
      <c r="AD47" s="9">
        <v>174051.41242937851</v>
      </c>
      <c r="AE47" s="8">
        <v>0.12941176470588237</v>
      </c>
    </row>
    <row r="48" spans="1:31" x14ac:dyDescent="0.35">
      <c r="A48" s="6" t="s">
        <v>69</v>
      </c>
      <c r="B48" s="7">
        <v>3</v>
      </c>
      <c r="C48" s="7">
        <v>12</v>
      </c>
      <c r="D48" s="7">
        <v>2</v>
      </c>
      <c r="E48" s="7">
        <v>1</v>
      </c>
      <c r="F48">
        <v>17269</v>
      </c>
      <c r="G48">
        <v>295</v>
      </c>
      <c r="H48">
        <v>1.71</v>
      </c>
      <c r="I48">
        <v>119</v>
      </c>
      <c r="J48">
        <v>0.69</v>
      </c>
      <c r="K48">
        <v>6483</v>
      </c>
      <c r="L48">
        <v>4504</v>
      </c>
      <c r="M48">
        <v>1979</v>
      </c>
      <c r="N48">
        <v>1721.66</v>
      </c>
      <c r="O48">
        <v>6.2</v>
      </c>
      <c r="P48">
        <v>41.87</v>
      </c>
      <c r="Q48">
        <v>2.72</v>
      </c>
      <c r="R48">
        <v>0.28999999999999998</v>
      </c>
      <c r="S48">
        <v>1101</v>
      </c>
      <c r="T48">
        <v>16950</v>
      </c>
      <c r="U48">
        <v>159128</v>
      </c>
      <c r="V48">
        <v>419</v>
      </c>
      <c r="W48">
        <v>15.23</v>
      </c>
      <c r="X48" s="10">
        <v>0.27893561784264048</v>
      </c>
      <c r="Y48" s="9">
        <v>52200</v>
      </c>
      <c r="Z48" s="9">
        <v>45450</v>
      </c>
      <c r="AA48" s="9">
        <v>49300</v>
      </c>
      <c r="AB48" s="10">
        <v>0.57037037037037042</v>
      </c>
      <c r="AC48" s="11">
        <v>52.515976660183384</v>
      </c>
      <c r="AD48" s="9">
        <v>46607.429378531073</v>
      </c>
      <c r="AE48" s="8">
        <v>6.9414316702819959E-2</v>
      </c>
    </row>
    <row r="49" spans="1:31" x14ac:dyDescent="0.35">
      <c r="A49" s="6" t="s">
        <v>70</v>
      </c>
      <c r="B49" s="7">
        <v>8</v>
      </c>
      <c r="C49" s="7">
        <v>0</v>
      </c>
      <c r="D49" s="7">
        <v>4</v>
      </c>
      <c r="E49" s="7">
        <v>6</v>
      </c>
      <c r="F49">
        <v>10848</v>
      </c>
      <c r="G49">
        <v>913</v>
      </c>
      <c r="H49">
        <v>8.42</v>
      </c>
      <c r="I49">
        <v>280</v>
      </c>
      <c r="J49">
        <v>2.59</v>
      </c>
      <c r="K49">
        <v>20739</v>
      </c>
      <c r="L49">
        <v>11442</v>
      </c>
      <c r="M49">
        <v>9297</v>
      </c>
      <c r="N49">
        <v>380.16</v>
      </c>
      <c r="O49">
        <v>3.02</v>
      </c>
      <c r="P49">
        <v>26.91</v>
      </c>
      <c r="Q49">
        <v>1.95</v>
      </c>
      <c r="R49">
        <v>0.7</v>
      </c>
      <c r="S49">
        <v>362</v>
      </c>
      <c r="T49">
        <v>4993</v>
      </c>
      <c r="U49">
        <v>14007</v>
      </c>
      <c r="V49">
        <v>3225</v>
      </c>
      <c r="W49">
        <v>5.0199999999999996</v>
      </c>
      <c r="X49" s="10">
        <v>0.32260006641485173</v>
      </c>
      <c r="Y49" s="9">
        <v>11350</v>
      </c>
      <c r="Z49" s="9">
        <v>8640</v>
      </c>
      <c r="AA49" s="9">
        <v>11350</v>
      </c>
      <c r="AB49" s="10">
        <v>1</v>
      </c>
      <c r="AC49" s="11">
        <v>23.775493192553487</v>
      </c>
      <c r="AD49" s="9">
        <v>9116.5141242937843</v>
      </c>
      <c r="AE49" s="8">
        <v>0.15698267074413863</v>
      </c>
    </row>
    <row r="50" spans="1:31" x14ac:dyDescent="0.35">
      <c r="A50" s="6" t="s">
        <v>71</v>
      </c>
      <c r="B50" s="7">
        <v>4</v>
      </c>
      <c r="C50" s="7">
        <v>4</v>
      </c>
      <c r="D50" s="7">
        <v>9</v>
      </c>
      <c r="E50" s="7">
        <v>1</v>
      </c>
      <c r="F50">
        <v>228</v>
      </c>
      <c r="G50">
        <v>4</v>
      </c>
      <c r="H50">
        <v>1.96</v>
      </c>
      <c r="I50">
        <v>2</v>
      </c>
      <c r="J50">
        <v>0.75</v>
      </c>
      <c r="K50">
        <v>581</v>
      </c>
      <c r="L50">
        <v>91</v>
      </c>
      <c r="M50">
        <v>491</v>
      </c>
      <c r="N50">
        <v>13.28</v>
      </c>
      <c r="O50">
        <v>0.35</v>
      </c>
      <c r="P50">
        <v>456</v>
      </c>
      <c r="Q50">
        <v>2.04</v>
      </c>
      <c r="R50">
        <v>3.47</v>
      </c>
      <c r="S50">
        <v>2</v>
      </c>
      <c r="T50">
        <v>448</v>
      </c>
      <c r="U50">
        <v>263</v>
      </c>
      <c r="V50">
        <v>19</v>
      </c>
      <c r="W50">
        <v>41.34</v>
      </c>
      <c r="X50" s="10">
        <v>0.77961851628248979</v>
      </c>
      <c r="Y50" s="9">
        <v>1240</v>
      </c>
      <c r="Z50" s="9">
        <v>891</v>
      </c>
      <c r="AA50" s="9">
        <v>1150</v>
      </c>
      <c r="AB50" s="10">
        <v>0.74212034383954151</v>
      </c>
      <c r="AC50" s="11">
        <v>4.4032231175326482</v>
      </c>
      <c r="AD50" s="9">
        <v>900.40169491525421</v>
      </c>
      <c r="AE50" s="8">
        <v>0.29068462401795736</v>
      </c>
    </row>
    <row r="51" spans="1:31" x14ac:dyDescent="0.35">
      <c r="A51" s="6" t="s">
        <v>72</v>
      </c>
      <c r="B51" s="7">
        <v>1</v>
      </c>
      <c r="C51" s="7">
        <v>3</v>
      </c>
      <c r="D51" s="7">
        <v>11</v>
      </c>
      <c r="E51" s="7">
        <v>3</v>
      </c>
      <c r="F51">
        <v>115</v>
      </c>
      <c r="G51">
        <v>-42</v>
      </c>
      <c r="H51">
        <v>-36.24</v>
      </c>
      <c r="I51">
        <v>-33</v>
      </c>
      <c r="J51">
        <v>-29.05</v>
      </c>
      <c r="K51">
        <v>1306</v>
      </c>
      <c r="L51">
        <v>327</v>
      </c>
      <c r="M51">
        <v>979</v>
      </c>
      <c r="N51">
        <v>9.4499999999999993</v>
      </c>
      <c r="O51">
        <v>-3.46</v>
      </c>
      <c r="P51">
        <v>0</v>
      </c>
      <c r="Q51">
        <v>0.55000000000000004</v>
      </c>
      <c r="R51">
        <v>3.93</v>
      </c>
      <c r="S51">
        <v>-106</v>
      </c>
      <c r="T51">
        <v>2627</v>
      </c>
      <c r="U51">
        <v>366</v>
      </c>
      <c r="V51">
        <v>-42</v>
      </c>
      <c r="W51">
        <v>-12.83</v>
      </c>
      <c r="X51" s="10">
        <v>0.63845011074017743</v>
      </c>
      <c r="Y51" s="9">
        <v>1820</v>
      </c>
      <c r="Z51" s="9">
        <v>1345</v>
      </c>
      <c r="AA51" s="9">
        <v>1680</v>
      </c>
      <c r="AB51" s="10">
        <v>0.70526315789473681</v>
      </c>
      <c r="AC51" s="11">
        <v>6.1226729647124198</v>
      </c>
      <c r="AD51" s="9">
        <v>1356.5084745762713</v>
      </c>
      <c r="AE51" s="8">
        <v>0.17482517482517482</v>
      </c>
    </row>
    <row r="52" spans="1:31" x14ac:dyDescent="0.35">
      <c r="A52" s="6" t="s">
        <v>73</v>
      </c>
      <c r="B52" s="7">
        <v>2</v>
      </c>
      <c r="C52" s="7">
        <v>9</v>
      </c>
      <c r="D52" s="7">
        <v>0</v>
      </c>
      <c r="E52" s="7">
        <v>7</v>
      </c>
      <c r="F52">
        <v>853</v>
      </c>
      <c r="G52">
        <v>62</v>
      </c>
      <c r="H52">
        <v>7.22</v>
      </c>
      <c r="I52">
        <v>-179</v>
      </c>
      <c r="J52">
        <v>-20.95</v>
      </c>
      <c r="K52">
        <v>835</v>
      </c>
      <c r="L52">
        <v>628</v>
      </c>
      <c r="M52">
        <v>207</v>
      </c>
      <c r="N52">
        <v>367.77</v>
      </c>
      <c r="O52">
        <v>-87.26</v>
      </c>
      <c r="P52">
        <v>0</v>
      </c>
      <c r="Q52">
        <v>1.33</v>
      </c>
      <c r="R52">
        <v>0.28000000000000003</v>
      </c>
      <c r="S52">
        <v>-1670</v>
      </c>
      <c r="T52">
        <v>1671</v>
      </c>
      <c r="U52">
        <v>7971</v>
      </c>
      <c r="V52">
        <v>76</v>
      </c>
      <c r="W52">
        <v>8.76</v>
      </c>
      <c r="X52" s="10">
        <v>0.18059629417996853</v>
      </c>
      <c r="Y52" s="9">
        <v>3010</v>
      </c>
      <c r="Z52" s="9">
        <v>2190</v>
      </c>
      <c r="AA52" s="9">
        <v>2455</v>
      </c>
      <c r="AB52" s="10">
        <v>0.32317073170731708</v>
      </c>
      <c r="AC52" s="11">
        <v>4.7878577382606275</v>
      </c>
      <c r="AD52" s="9">
        <v>2379.5536723163841</v>
      </c>
      <c r="AE52" s="8">
        <v>0.11085972850678733</v>
      </c>
    </row>
    <row r="53" spans="1:31" x14ac:dyDescent="0.35">
      <c r="A53" s="6" t="s">
        <v>74</v>
      </c>
      <c r="B53" s="7">
        <v>0</v>
      </c>
      <c r="C53" s="7">
        <v>3</v>
      </c>
      <c r="D53" s="7">
        <v>1</v>
      </c>
      <c r="E53" s="7">
        <v>14</v>
      </c>
      <c r="F53">
        <v>70</v>
      </c>
      <c r="G53">
        <v>-35</v>
      </c>
      <c r="H53">
        <v>-49.78</v>
      </c>
      <c r="I53">
        <v>-27</v>
      </c>
      <c r="J53">
        <v>-38.15</v>
      </c>
      <c r="K53">
        <v>479</v>
      </c>
      <c r="L53">
        <v>182</v>
      </c>
      <c r="M53">
        <v>296</v>
      </c>
      <c r="N53">
        <v>586.32000000000005</v>
      </c>
      <c r="O53">
        <v>-11.63</v>
      </c>
      <c r="P53">
        <v>0</v>
      </c>
      <c r="Q53">
        <v>2</v>
      </c>
      <c r="R53">
        <v>5.75</v>
      </c>
      <c r="S53">
        <v>-416</v>
      </c>
      <c r="T53">
        <v>3135</v>
      </c>
      <c r="U53">
        <v>1092</v>
      </c>
      <c r="V53">
        <v>-31</v>
      </c>
      <c r="W53">
        <v>-20.49</v>
      </c>
      <c r="X53" s="10">
        <v>0.69138604047579821</v>
      </c>
      <c r="Y53" s="9">
        <v>9150</v>
      </c>
      <c r="Z53" s="9">
        <v>4930</v>
      </c>
      <c r="AA53" s="9">
        <v>8890</v>
      </c>
      <c r="AB53" s="10">
        <v>0.93838862559241709</v>
      </c>
      <c r="AC53" s="11">
        <v>64.111141983884409</v>
      </c>
      <c r="AD53" s="9">
        <v>4455.1101694915251</v>
      </c>
      <c r="AE53" s="8">
        <v>0.77445109780439125</v>
      </c>
    </row>
    <row r="54" spans="1:31" x14ac:dyDescent="0.35">
      <c r="A54" s="6" t="s">
        <v>75</v>
      </c>
      <c r="B54" s="7">
        <v>9</v>
      </c>
      <c r="C54" s="7">
        <v>5</v>
      </c>
      <c r="D54" s="7">
        <v>0</v>
      </c>
      <c r="E54" s="7">
        <v>4</v>
      </c>
      <c r="F54">
        <v>15</v>
      </c>
      <c r="G54">
        <v>5</v>
      </c>
      <c r="H54">
        <v>33.83</v>
      </c>
      <c r="I54">
        <v>8</v>
      </c>
      <c r="J54">
        <v>53.03</v>
      </c>
      <c r="K54">
        <v>1709</v>
      </c>
      <c r="L54">
        <v>102</v>
      </c>
      <c r="M54">
        <v>1607</v>
      </c>
      <c r="N54">
        <v>2688.49</v>
      </c>
      <c r="O54">
        <v>0.67</v>
      </c>
      <c r="P54">
        <v>92.65</v>
      </c>
      <c r="Q54">
        <v>0.61</v>
      </c>
      <c r="R54">
        <v>49.1</v>
      </c>
      <c r="S54">
        <v>912</v>
      </c>
      <c r="T54">
        <v>138375</v>
      </c>
      <c r="U54">
        <v>1721</v>
      </c>
      <c r="V54">
        <v>8</v>
      </c>
      <c r="W54">
        <v>117</v>
      </c>
      <c r="X54" s="10">
        <v>3.8368837042634198E-2</v>
      </c>
      <c r="Y54" s="9">
        <v>87900</v>
      </c>
      <c r="Z54" s="9">
        <v>77500</v>
      </c>
      <c r="AA54" s="9">
        <v>79000</v>
      </c>
      <c r="AB54" s="10">
        <v>0.14423076923076922</v>
      </c>
      <c r="AC54" s="11">
        <v>32.322867463184217</v>
      </c>
      <c r="AD54" s="9">
        <v>81099.152542372874</v>
      </c>
      <c r="AE54" s="8">
        <v>-4.5893719806763288E-2</v>
      </c>
    </row>
    <row r="55" spans="1:31" x14ac:dyDescent="0.35">
      <c r="A55" s="6" t="s">
        <v>76</v>
      </c>
      <c r="B55" s="7">
        <v>5</v>
      </c>
      <c r="C55" s="7">
        <v>7</v>
      </c>
      <c r="D55" s="7">
        <v>3</v>
      </c>
      <c r="E55" s="7">
        <v>3</v>
      </c>
      <c r="F55">
        <v>768</v>
      </c>
      <c r="G55">
        <v>491</v>
      </c>
      <c r="H55">
        <v>63.95</v>
      </c>
      <c r="I55">
        <v>486</v>
      </c>
      <c r="J55">
        <v>63.28</v>
      </c>
      <c r="K55">
        <v>26539</v>
      </c>
      <c r="L55">
        <v>4915</v>
      </c>
      <c r="M55">
        <v>21624</v>
      </c>
      <c r="N55">
        <v>222.62</v>
      </c>
      <c r="O55">
        <v>2.25</v>
      </c>
      <c r="P55">
        <v>31.22</v>
      </c>
      <c r="Q55">
        <v>0.7</v>
      </c>
      <c r="R55">
        <v>19.72</v>
      </c>
      <c r="S55">
        <v>362</v>
      </c>
      <c r="T55">
        <v>16127</v>
      </c>
      <c r="U55">
        <v>573</v>
      </c>
      <c r="V55">
        <v>0</v>
      </c>
      <c r="W55">
        <v>0</v>
      </c>
      <c r="X55" s="10">
        <v>0.63284985699026175</v>
      </c>
      <c r="Y55" s="9">
        <v>12500</v>
      </c>
      <c r="Z55" s="9">
        <v>10600</v>
      </c>
      <c r="AA55" s="9">
        <v>12150</v>
      </c>
      <c r="AB55" s="10">
        <v>0.81578947368421051</v>
      </c>
      <c r="AC55" s="11">
        <v>26.790775215337593</v>
      </c>
      <c r="AD55" s="9">
        <v>10592.881355932204</v>
      </c>
      <c r="AE55" s="8">
        <v>4.2918454935622317E-2</v>
      </c>
    </row>
    <row r="56" spans="1:31" x14ac:dyDescent="0.35">
      <c r="A56" s="6" t="s">
        <v>77</v>
      </c>
      <c r="B56" s="7">
        <v>1</v>
      </c>
      <c r="C56" s="7">
        <v>2</v>
      </c>
      <c r="D56" s="7">
        <v>15</v>
      </c>
      <c r="E56" s="7">
        <v>0</v>
      </c>
      <c r="F56">
        <v>1041</v>
      </c>
      <c r="G56">
        <v>-65</v>
      </c>
      <c r="H56">
        <v>-6.25</v>
      </c>
      <c r="I56">
        <v>-410</v>
      </c>
      <c r="J56">
        <v>-39.409999999999997</v>
      </c>
      <c r="K56">
        <v>2204</v>
      </c>
      <c r="L56">
        <v>1456</v>
      </c>
      <c r="M56">
        <v>747</v>
      </c>
      <c r="N56">
        <v>735.12</v>
      </c>
      <c r="O56">
        <v>-43.4</v>
      </c>
      <c r="P56">
        <v>0</v>
      </c>
      <c r="Q56">
        <v>0.65</v>
      </c>
      <c r="R56">
        <v>0.39</v>
      </c>
      <c r="S56">
        <v>-2182</v>
      </c>
      <c r="T56">
        <v>3342</v>
      </c>
      <c r="U56">
        <v>5537</v>
      </c>
      <c r="V56">
        <v>39</v>
      </c>
      <c r="W56">
        <v>37.33</v>
      </c>
      <c r="X56" s="10">
        <v>0.62432219020615709</v>
      </c>
      <c r="Y56" s="9">
        <v>4350</v>
      </c>
      <c r="Z56" s="9">
        <v>2160</v>
      </c>
      <c r="AA56" s="9">
        <v>4000</v>
      </c>
      <c r="AB56" s="10">
        <v>0.84018264840182644</v>
      </c>
      <c r="AC56" s="11">
        <v>24.629480411225344</v>
      </c>
      <c r="AD56" s="9">
        <v>1903.3841807909605</v>
      </c>
      <c r="AE56" s="8">
        <v>0.85185185185185186</v>
      </c>
    </row>
    <row r="57" spans="1:31" x14ac:dyDescent="0.35">
      <c r="A57" s="6" t="s">
        <v>78</v>
      </c>
      <c r="B57" s="7">
        <v>8</v>
      </c>
      <c r="C57" s="7">
        <v>3</v>
      </c>
      <c r="D57" s="7">
        <v>5</v>
      </c>
      <c r="E57" s="7">
        <v>2</v>
      </c>
      <c r="F57">
        <v>1412</v>
      </c>
      <c r="G57">
        <v>138</v>
      </c>
      <c r="H57">
        <v>9.76</v>
      </c>
      <c r="I57">
        <v>97</v>
      </c>
      <c r="J57">
        <v>6.89</v>
      </c>
      <c r="K57">
        <v>2590</v>
      </c>
      <c r="L57">
        <v>738</v>
      </c>
      <c r="M57">
        <v>1852</v>
      </c>
      <c r="N57">
        <v>2042.75</v>
      </c>
      <c r="O57">
        <v>5.38</v>
      </c>
      <c r="P57">
        <v>21.97</v>
      </c>
      <c r="Q57">
        <v>1.2</v>
      </c>
      <c r="R57">
        <v>1.52</v>
      </c>
      <c r="S57">
        <v>578</v>
      </c>
      <c r="T57">
        <v>10546</v>
      </c>
      <c r="U57">
        <v>8382</v>
      </c>
      <c r="V57">
        <v>160</v>
      </c>
      <c r="W57">
        <v>13.87</v>
      </c>
      <c r="X57" s="10">
        <v>0.8592611047653157</v>
      </c>
      <c r="Y57" s="9">
        <v>16350</v>
      </c>
      <c r="Z57" s="9">
        <v>12000</v>
      </c>
      <c r="AA57" s="9">
        <v>16200</v>
      </c>
      <c r="AB57" s="10">
        <v>0.96551724137931039</v>
      </c>
      <c r="AC57" s="11">
        <v>75.998888580161164</v>
      </c>
      <c r="AD57" s="9">
        <v>11500.367231638418</v>
      </c>
      <c r="AE57" s="8">
        <v>0.2558139534883721</v>
      </c>
    </row>
    <row r="58" spans="1:31" x14ac:dyDescent="0.35">
      <c r="A58" s="6" t="s">
        <v>79</v>
      </c>
      <c r="B58" s="7">
        <v>5</v>
      </c>
      <c r="C58" s="7">
        <v>6</v>
      </c>
      <c r="D58" s="7">
        <v>2</v>
      </c>
      <c r="E58" s="7">
        <v>5</v>
      </c>
      <c r="F58">
        <v>1681</v>
      </c>
      <c r="G58">
        <v>82</v>
      </c>
      <c r="H58">
        <v>4.87</v>
      </c>
      <c r="I58">
        <v>66</v>
      </c>
      <c r="J58">
        <v>3.94</v>
      </c>
      <c r="K58">
        <v>1519</v>
      </c>
      <c r="L58">
        <v>456</v>
      </c>
      <c r="M58">
        <v>1062</v>
      </c>
      <c r="N58">
        <v>1228.07</v>
      </c>
      <c r="O58">
        <v>6.43</v>
      </c>
      <c r="P58">
        <v>8.85</v>
      </c>
      <c r="Q58">
        <v>0.55000000000000004</v>
      </c>
      <c r="R58">
        <v>0.35</v>
      </c>
      <c r="S58">
        <v>414</v>
      </c>
      <c r="T58">
        <v>6640</v>
      </c>
      <c r="U58">
        <v>10508</v>
      </c>
      <c r="V58">
        <v>113</v>
      </c>
      <c r="W58">
        <v>6.49</v>
      </c>
      <c r="X58" s="10">
        <v>0.47980478432732881</v>
      </c>
      <c r="Y58" s="9">
        <v>4075</v>
      </c>
      <c r="Z58" s="9">
        <v>3325</v>
      </c>
      <c r="AA58" s="9">
        <v>4075</v>
      </c>
      <c r="AB58" s="10">
        <v>1</v>
      </c>
      <c r="AC58" s="11">
        <v>5.9426229508196711</v>
      </c>
      <c r="AD58" s="9">
        <v>3456.3333333333335</v>
      </c>
      <c r="AE58" s="8">
        <v>0.12258953168044077</v>
      </c>
    </row>
    <row r="59" spans="1:31" x14ac:dyDescent="0.35">
      <c r="A59" s="6" t="s">
        <v>80</v>
      </c>
      <c r="B59" s="7">
        <v>12</v>
      </c>
      <c r="C59" s="7">
        <v>1</v>
      </c>
      <c r="D59" s="7">
        <v>3</v>
      </c>
      <c r="E59" s="7">
        <v>2</v>
      </c>
      <c r="F59">
        <v>1497</v>
      </c>
      <c r="G59">
        <v>49</v>
      </c>
      <c r="H59">
        <v>3.3</v>
      </c>
      <c r="I59">
        <v>38</v>
      </c>
      <c r="J59">
        <v>2.52</v>
      </c>
      <c r="K59">
        <v>2008</v>
      </c>
      <c r="L59">
        <v>962</v>
      </c>
      <c r="M59">
        <v>1045</v>
      </c>
      <c r="N59">
        <v>1352</v>
      </c>
      <c r="O59">
        <v>4.8899999999999997</v>
      </c>
      <c r="P59">
        <v>10.3</v>
      </c>
      <c r="Q59">
        <v>0.5</v>
      </c>
      <c r="R59">
        <v>0.26</v>
      </c>
      <c r="S59">
        <v>349</v>
      </c>
      <c r="T59">
        <v>7260</v>
      </c>
      <c r="U59">
        <v>13861</v>
      </c>
      <c r="V59">
        <v>174</v>
      </c>
      <c r="W59">
        <v>6.86</v>
      </c>
      <c r="X59" s="10">
        <v>0.78610168435736494</v>
      </c>
      <c r="Y59" s="9">
        <v>4245</v>
      </c>
      <c r="Z59" s="9">
        <v>3125</v>
      </c>
      <c r="AA59" s="9">
        <v>4245</v>
      </c>
      <c r="AB59" s="10">
        <v>1</v>
      </c>
      <c r="AC59" s="11">
        <v>17.102667407613229</v>
      </c>
      <c r="AD59" s="9">
        <v>3072.4519774011301</v>
      </c>
      <c r="AE59" s="8">
        <v>0.33911671924290221</v>
      </c>
    </row>
    <row r="60" spans="1:31" x14ac:dyDescent="0.35">
      <c r="A60" s="6" t="s">
        <v>81</v>
      </c>
      <c r="B60" s="7">
        <v>4</v>
      </c>
      <c r="C60" s="7">
        <v>3</v>
      </c>
      <c r="D60" s="7">
        <v>5</v>
      </c>
      <c r="E60" s="7">
        <v>6</v>
      </c>
      <c r="F60">
        <v>59121</v>
      </c>
      <c r="G60">
        <v>801</v>
      </c>
      <c r="H60">
        <v>1.36</v>
      </c>
      <c r="I60">
        <v>437</v>
      </c>
      <c r="J60">
        <v>0.74</v>
      </c>
      <c r="K60">
        <v>27056</v>
      </c>
      <c r="L60">
        <v>15769</v>
      </c>
      <c r="M60">
        <v>11287</v>
      </c>
      <c r="N60">
        <v>3262.45</v>
      </c>
      <c r="O60">
        <v>3.93</v>
      </c>
      <c r="P60">
        <v>9.15</v>
      </c>
      <c r="Q60">
        <v>0.43</v>
      </c>
      <c r="R60">
        <v>7.0000000000000007E-2</v>
      </c>
      <c r="S60">
        <v>7555</v>
      </c>
      <c r="T60">
        <v>162289</v>
      </c>
      <c r="U60">
        <v>1022543</v>
      </c>
      <c r="V60">
        <v>1124</v>
      </c>
      <c r="W60">
        <v>14.07</v>
      </c>
      <c r="X60" s="10">
        <v>0.10808980060449394</v>
      </c>
      <c r="Y60" s="9">
        <v>71100</v>
      </c>
      <c r="Z60" s="9">
        <v>62600</v>
      </c>
      <c r="AA60" s="9">
        <v>64800</v>
      </c>
      <c r="AB60" s="10">
        <v>0.25882352941176473</v>
      </c>
      <c r="AC60" s="11">
        <v>-29.169213670464018</v>
      </c>
      <c r="AD60" s="9">
        <v>66139.661016949147</v>
      </c>
      <c r="AE60" s="8">
        <v>-8.8607594936708861E-2</v>
      </c>
    </row>
    <row r="61" spans="1:31" x14ac:dyDescent="0.35">
      <c r="A61" s="6" t="s">
        <v>82</v>
      </c>
      <c r="B61" s="7">
        <v>7</v>
      </c>
      <c r="C61" s="7">
        <v>3</v>
      </c>
      <c r="D61" s="7">
        <v>0</v>
      </c>
      <c r="E61" s="7">
        <v>8</v>
      </c>
      <c r="F61">
        <v>809</v>
      </c>
      <c r="G61">
        <v>40</v>
      </c>
      <c r="H61">
        <v>4.96</v>
      </c>
      <c r="I61">
        <v>27</v>
      </c>
      <c r="J61">
        <v>3.35</v>
      </c>
      <c r="K61">
        <v>809</v>
      </c>
      <c r="L61">
        <v>167</v>
      </c>
      <c r="M61">
        <v>642</v>
      </c>
      <c r="N61">
        <v>756.44</v>
      </c>
      <c r="O61">
        <v>4.29</v>
      </c>
      <c r="P61">
        <v>47.09</v>
      </c>
      <c r="Q61">
        <v>2</v>
      </c>
      <c r="R61">
        <v>1.58</v>
      </c>
      <c r="S61">
        <v>361</v>
      </c>
      <c r="T61">
        <v>8511</v>
      </c>
      <c r="U61">
        <v>10783</v>
      </c>
      <c r="V61">
        <v>45</v>
      </c>
      <c r="W61">
        <v>28.28</v>
      </c>
      <c r="X61" s="10">
        <v>0.22961864215492186</v>
      </c>
      <c r="Y61" s="9">
        <v>18600</v>
      </c>
      <c r="Z61" s="9">
        <v>16600</v>
      </c>
      <c r="AA61" s="9">
        <v>17800</v>
      </c>
      <c r="AB61" s="10">
        <v>0.6</v>
      </c>
      <c r="AC61" s="11">
        <v>11.592108919144207</v>
      </c>
      <c r="AD61" s="9">
        <v>16926.4406779661</v>
      </c>
      <c r="AE61" s="8">
        <v>3.4883720930232558E-2</v>
      </c>
    </row>
    <row r="62" spans="1:31" x14ac:dyDescent="0.35">
      <c r="A62" s="6" t="s">
        <v>83</v>
      </c>
      <c r="B62" s="7">
        <v>2</v>
      </c>
      <c r="C62" s="7">
        <v>2</v>
      </c>
      <c r="D62" s="7">
        <v>11</v>
      </c>
      <c r="E62" s="7">
        <v>3</v>
      </c>
      <c r="F62">
        <v>525</v>
      </c>
      <c r="G62">
        <v>-80</v>
      </c>
      <c r="H62">
        <v>-15.15</v>
      </c>
      <c r="I62">
        <v>-76</v>
      </c>
      <c r="J62">
        <v>-14.53</v>
      </c>
      <c r="K62">
        <v>933</v>
      </c>
      <c r="L62">
        <v>617</v>
      </c>
      <c r="M62">
        <v>316</v>
      </c>
      <c r="N62">
        <v>245.95</v>
      </c>
      <c r="O62">
        <v>-29.33</v>
      </c>
      <c r="P62">
        <v>0</v>
      </c>
      <c r="Q62">
        <v>2.2000000000000002</v>
      </c>
      <c r="R62">
        <v>0.8</v>
      </c>
      <c r="S62">
        <v>-559</v>
      </c>
      <c r="T62">
        <v>1405</v>
      </c>
      <c r="U62">
        <v>3845</v>
      </c>
      <c r="V62">
        <v>-32</v>
      </c>
      <c r="W62">
        <v>-32.01</v>
      </c>
      <c r="X62" s="10">
        <v>0.70124511590558369</v>
      </c>
      <c r="Y62" s="9">
        <v>3270</v>
      </c>
      <c r="Z62" s="9">
        <v>2150</v>
      </c>
      <c r="AA62" s="9">
        <v>3200</v>
      </c>
      <c r="AB62" s="10">
        <v>0.9375</v>
      </c>
      <c r="AC62" s="11">
        <v>14.539177549319257</v>
      </c>
      <c r="AD62" s="9">
        <v>2230.638418079096</v>
      </c>
      <c r="AE62" s="8">
        <v>0.35881104033970274</v>
      </c>
    </row>
    <row r="63" spans="1:31" x14ac:dyDescent="0.35">
      <c r="A63" s="6" t="s">
        <v>84</v>
      </c>
      <c r="B63" s="7">
        <v>15</v>
      </c>
      <c r="C63" s="7">
        <v>3</v>
      </c>
      <c r="D63" s="7">
        <v>0</v>
      </c>
      <c r="E63" s="7">
        <v>0</v>
      </c>
      <c r="F63">
        <v>3011</v>
      </c>
      <c r="G63">
        <v>120</v>
      </c>
      <c r="H63">
        <v>3.99</v>
      </c>
      <c r="I63">
        <v>135</v>
      </c>
      <c r="J63">
        <v>4.47</v>
      </c>
      <c r="K63">
        <v>3178</v>
      </c>
      <c r="L63">
        <v>1332</v>
      </c>
      <c r="M63">
        <v>1846</v>
      </c>
      <c r="N63">
        <v>2297.63</v>
      </c>
      <c r="O63">
        <v>7.53</v>
      </c>
      <c r="P63">
        <v>17.16</v>
      </c>
      <c r="Q63">
        <v>1.26</v>
      </c>
      <c r="R63">
        <v>0.77</v>
      </c>
      <c r="S63">
        <v>874</v>
      </c>
      <c r="T63">
        <v>11903</v>
      </c>
      <c r="U63">
        <v>19553</v>
      </c>
      <c r="V63">
        <v>186</v>
      </c>
      <c r="W63">
        <v>16.11</v>
      </c>
      <c r="X63" s="10">
        <v>0.34763823066013694</v>
      </c>
      <c r="Y63" s="9">
        <v>17450</v>
      </c>
      <c r="Z63" s="9">
        <v>13100</v>
      </c>
      <c r="AA63" s="9">
        <v>15850</v>
      </c>
      <c r="AB63" s="10">
        <v>0.63218390804597702</v>
      </c>
      <c r="AC63" s="11">
        <v>-35.934981939427615</v>
      </c>
      <c r="AD63" s="9">
        <v>15991.016949152543</v>
      </c>
      <c r="AE63" s="8">
        <v>4.2763157894736843E-2</v>
      </c>
    </row>
    <row r="64" spans="1:31" x14ac:dyDescent="0.35">
      <c r="A64" s="6" t="s">
        <v>85</v>
      </c>
      <c r="B64" s="7">
        <v>0</v>
      </c>
      <c r="C64" s="7">
        <v>0</v>
      </c>
      <c r="D64" s="7">
        <v>0</v>
      </c>
      <c r="E64" s="7">
        <v>18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10">
        <v>0.88478468745076044</v>
      </c>
      <c r="Y64" s="9">
        <v>18150</v>
      </c>
      <c r="Z64" s="9">
        <v>15225</v>
      </c>
      <c r="AA64" s="9">
        <v>17655</v>
      </c>
      <c r="AB64" s="10">
        <v>0.83076923076923082</v>
      </c>
      <c r="AC64" s="11">
        <v>40.60530702973049</v>
      </c>
      <c r="AD64" s="9">
        <v>15750.621468926553</v>
      </c>
      <c r="AE64" s="8">
        <v>0.15960591133004925</v>
      </c>
    </row>
    <row r="65" spans="1:31" x14ac:dyDescent="0.35">
      <c r="A65" s="6" t="s">
        <v>86</v>
      </c>
      <c r="B65" s="7">
        <v>2</v>
      </c>
      <c r="C65" s="7">
        <v>7</v>
      </c>
      <c r="D65" s="7">
        <v>1</v>
      </c>
      <c r="E65" s="7">
        <v>8</v>
      </c>
      <c r="F65">
        <v>113</v>
      </c>
      <c r="G65">
        <v>-8</v>
      </c>
      <c r="H65">
        <v>-6.65</v>
      </c>
      <c r="I65">
        <v>3</v>
      </c>
      <c r="J65">
        <v>2.9</v>
      </c>
      <c r="K65">
        <v>974</v>
      </c>
      <c r="L65">
        <v>40</v>
      </c>
      <c r="M65">
        <v>935</v>
      </c>
      <c r="N65">
        <v>472.33</v>
      </c>
      <c r="O65">
        <v>0.34</v>
      </c>
      <c r="P65">
        <v>384.5</v>
      </c>
      <c r="Q65">
        <v>1.39</v>
      </c>
      <c r="R65">
        <v>11.03</v>
      </c>
      <c r="S65">
        <v>20</v>
      </c>
      <c r="T65">
        <v>5551</v>
      </c>
      <c r="U65">
        <v>697</v>
      </c>
      <c r="V65">
        <v>4</v>
      </c>
      <c r="W65">
        <v>285.11</v>
      </c>
      <c r="X65" s="10">
        <v>0.60179249622820441</v>
      </c>
      <c r="Y65" s="9">
        <v>9110</v>
      </c>
      <c r="Z65" s="9">
        <v>6700</v>
      </c>
      <c r="AA65" s="9">
        <v>9110</v>
      </c>
      <c r="AB65" s="10">
        <v>1</v>
      </c>
      <c r="AC65" s="11">
        <v>34.608502361767165</v>
      </c>
      <c r="AD65" s="9">
        <v>6542.1073446327682</v>
      </c>
      <c r="AE65" s="8">
        <v>0.16944801026957637</v>
      </c>
    </row>
    <row r="66" spans="1:31" x14ac:dyDescent="0.35">
      <c r="A66" s="6" t="s">
        <v>87</v>
      </c>
      <c r="B66" s="7">
        <v>0</v>
      </c>
      <c r="C66" s="7">
        <v>0</v>
      </c>
      <c r="D66" s="7">
        <v>0</v>
      </c>
      <c r="E66" s="7">
        <v>18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10">
        <v>1.4922302657365969E-2</v>
      </c>
      <c r="Y66" s="9">
        <v>20105</v>
      </c>
      <c r="Z66" s="9">
        <v>17700</v>
      </c>
      <c r="AA66" s="9">
        <v>18725</v>
      </c>
      <c r="AB66" s="10">
        <v>0.42619542619542622</v>
      </c>
      <c r="AC66" s="11">
        <v>-3.6858849680466794</v>
      </c>
      <c r="AD66" s="9">
        <v>18943.669491525423</v>
      </c>
      <c r="AE66" s="8">
        <v>-3.3049315775884325E-2</v>
      </c>
    </row>
    <row r="67" spans="1:31" x14ac:dyDescent="0.35">
      <c r="A67" s="6" t="s">
        <v>88</v>
      </c>
      <c r="B67" s="7">
        <v>5</v>
      </c>
      <c r="C67" s="7">
        <v>1</v>
      </c>
      <c r="D67" s="7">
        <v>8</v>
      </c>
      <c r="E67" s="7">
        <v>4</v>
      </c>
      <c r="F67">
        <v>5407</v>
      </c>
      <c r="G67">
        <v>1478</v>
      </c>
      <c r="H67">
        <v>27.33</v>
      </c>
      <c r="I67">
        <v>1165</v>
      </c>
      <c r="J67">
        <v>21.55</v>
      </c>
      <c r="K67">
        <v>6510</v>
      </c>
      <c r="L67">
        <v>2196</v>
      </c>
      <c r="M67">
        <v>4314</v>
      </c>
      <c r="N67">
        <v>1294.9000000000001</v>
      </c>
      <c r="O67">
        <v>28.18</v>
      </c>
      <c r="P67">
        <v>17.12</v>
      </c>
      <c r="Q67">
        <v>4.74</v>
      </c>
      <c r="R67">
        <v>3.69</v>
      </c>
      <c r="S67">
        <v>1884</v>
      </c>
      <c r="T67">
        <v>6804</v>
      </c>
      <c r="U67">
        <v>8741</v>
      </c>
      <c r="V67">
        <v>1591</v>
      </c>
      <c r="W67">
        <v>12.54</v>
      </c>
      <c r="X67" s="10">
        <v>8.752320823435969E-2</v>
      </c>
      <c r="Y67" s="9">
        <v>40600</v>
      </c>
      <c r="Z67" s="9">
        <v>32150</v>
      </c>
      <c r="AA67" s="9">
        <v>35000</v>
      </c>
      <c r="AB67" s="10">
        <v>0.33727810650887574</v>
      </c>
      <c r="AC67" s="11">
        <v>-43.952486801889421</v>
      </c>
      <c r="AD67" s="9">
        <v>37641.384180790963</v>
      </c>
      <c r="AE67" s="8">
        <v>7.3619631901840496E-2</v>
      </c>
    </row>
    <row r="68" spans="1:31" x14ac:dyDescent="0.35">
      <c r="A68" s="6" t="s">
        <v>89</v>
      </c>
      <c r="B68" s="7">
        <v>0</v>
      </c>
      <c r="C68" s="7">
        <v>0</v>
      </c>
      <c r="D68" s="7">
        <v>0</v>
      </c>
      <c r="E68" s="7">
        <v>18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10">
        <v>0.90499762066900791</v>
      </c>
      <c r="Y68" s="9">
        <v>6545</v>
      </c>
      <c r="Z68" s="9">
        <v>5185</v>
      </c>
      <c r="AA68" s="9">
        <v>6240</v>
      </c>
      <c r="AB68" s="10">
        <v>0.77573529411764708</v>
      </c>
      <c r="AC68" s="11">
        <v>23.350930814115031</v>
      </c>
      <c r="AD68" s="9">
        <v>5148.296610169491</v>
      </c>
      <c r="AE68" s="8">
        <v>0.14495412844036698</v>
      </c>
    </row>
    <row r="69" spans="1:31" x14ac:dyDescent="0.35">
      <c r="A69" s="6" t="s">
        <v>90</v>
      </c>
      <c r="B69" s="7">
        <v>0</v>
      </c>
      <c r="C69" s="7">
        <v>0</v>
      </c>
      <c r="D69" s="7">
        <v>0</v>
      </c>
      <c r="E69" s="7">
        <v>18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10">
        <v>0.73560156212462424</v>
      </c>
      <c r="Y69" s="9">
        <v>9215</v>
      </c>
      <c r="Z69" s="9">
        <v>8560</v>
      </c>
      <c r="AA69" s="9">
        <v>8990</v>
      </c>
      <c r="AB69" s="10">
        <v>0.65648854961832059</v>
      </c>
      <c r="AC69" s="11">
        <v>7.4219227563212007</v>
      </c>
      <c r="AD69" s="9">
        <v>8676.8813559322025</v>
      </c>
      <c r="AE69" s="8">
        <v>2.1590909090909091E-2</v>
      </c>
    </row>
    <row r="70" spans="1:31" x14ac:dyDescent="0.35">
      <c r="A70" s="6" t="s">
        <v>91</v>
      </c>
      <c r="B70" s="7">
        <v>4</v>
      </c>
      <c r="C70" s="7">
        <v>3</v>
      </c>
      <c r="D70" s="7">
        <v>9</v>
      </c>
      <c r="E70" s="7">
        <v>2</v>
      </c>
      <c r="F70">
        <v>2536</v>
      </c>
      <c r="G70">
        <v>2197</v>
      </c>
      <c r="H70">
        <v>86.65</v>
      </c>
      <c r="I70">
        <v>1643</v>
      </c>
      <c r="J70">
        <v>64.78</v>
      </c>
      <c r="K70">
        <v>58962</v>
      </c>
      <c r="L70">
        <v>11139</v>
      </c>
      <c r="M70">
        <v>47823</v>
      </c>
      <c r="N70">
        <v>910.11</v>
      </c>
      <c r="O70">
        <v>3.45</v>
      </c>
      <c r="P70">
        <v>23.07</v>
      </c>
      <c r="Q70">
        <v>0.79</v>
      </c>
      <c r="R70">
        <v>14.94</v>
      </c>
      <c r="S70">
        <v>1734</v>
      </c>
      <c r="T70">
        <v>50440</v>
      </c>
      <c r="U70">
        <v>2678</v>
      </c>
      <c r="V70">
        <v>2260</v>
      </c>
      <c r="W70">
        <v>20.79</v>
      </c>
      <c r="X70" s="10">
        <v>0.5201974280793723</v>
      </c>
      <c r="Y70" s="9">
        <v>45050</v>
      </c>
      <c r="Z70" s="9">
        <v>37700</v>
      </c>
      <c r="AA70" s="9">
        <v>42600</v>
      </c>
      <c r="AB70" s="10">
        <v>0.66666666666666663</v>
      </c>
      <c r="AC70" s="11">
        <v>80.01528202278412</v>
      </c>
      <c r="AD70" s="9">
        <v>39018.700564971747</v>
      </c>
      <c r="AE70" s="8">
        <v>5.9701492537313432E-2</v>
      </c>
    </row>
    <row r="71" spans="1:31" x14ac:dyDescent="0.35">
      <c r="A71" s="6" t="s">
        <v>92</v>
      </c>
      <c r="B71" s="7">
        <v>8</v>
      </c>
      <c r="C71" s="7">
        <v>5</v>
      </c>
      <c r="D71" s="7">
        <v>4</v>
      </c>
      <c r="E71" s="7">
        <v>1</v>
      </c>
      <c r="F71">
        <v>860</v>
      </c>
      <c r="G71">
        <v>64</v>
      </c>
      <c r="H71">
        <v>7.41</v>
      </c>
      <c r="I71">
        <v>62</v>
      </c>
      <c r="J71">
        <v>7.15</v>
      </c>
      <c r="K71">
        <v>633</v>
      </c>
      <c r="L71">
        <v>177</v>
      </c>
      <c r="M71">
        <v>456</v>
      </c>
      <c r="N71">
        <v>910.7</v>
      </c>
      <c r="O71">
        <v>14.51</v>
      </c>
      <c r="P71">
        <v>7.78</v>
      </c>
      <c r="Q71">
        <v>1.2</v>
      </c>
      <c r="R71">
        <v>0.56000000000000005</v>
      </c>
      <c r="S71">
        <v>721</v>
      </c>
      <c r="T71">
        <v>4693</v>
      </c>
      <c r="U71">
        <v>10072</v>
      </c>
      <c r="V71">
        <v>73</v>
      </c>
      <c r="W71">
        <v>7.15</v>
      </c>
      <c r="X71" s="10">
        <v>0.42781243171382694</v>
      </c>
      <c r="Y71" s="9">
        <v>6910</v>
      </c>
      <c r="Z71" s="9">
        <v>5540</v>
      </c>
      <c r="AA71" s="9">
        <v>6250</v>
      </c>
      <c r="AB71" s="10">
        <v>0.51824817518248179</v>
      </c>
      <c r="AC71" s="11">
        <v>13.340372325646014</v>
      </c>
      <c r="AD71" s="9">
        <v>5846.4519774011296</v>
      </c>
      <c r="AE71" s="8">
        <v>0.12007168458781362</v>
      </c>
    </row>
    <row r="72" spans="1:31" x14ac:dyDescent="0.35">
      <c r="A72" s="6" t="s">
        <v>93</v>
      </c>
      <c r="B72" s="7">
        <v>2</v>
      </c>
      <c r="C72" s="7">
        <v>10</v>
      </c>
      <c r="D72" s="7">
        <v>0</v>
      </c>
      <c r="E72" s="7">
        <v>6</v>
      </c>
      <c r="F72">
        <v>83533</v>
      </c>
      <c r="G72">
        <v>127</v>
      </c>
      <c r="H72">
        <v>0.15</v>
      </c>
      <c r="I72">
        <v>-801</v>
      </c>
      <c r="J72">
        <v>-0.96</v>
      </c>
      <c r="K72">
        <v>115105</v>
      </c>
      <c r="L72">
        <v>81282</v>
      </c>
      <c r="M72">
        <v>33823</v>
      </c>
      <c r="N72">
        <v>874.08</v>
      </c>
      <c r="O72">
        <v>-2.5099999999999998</v>
      </c>
      <c r="P72">
        <v>0</v>
      </c>
      <c r="Q72">
        <v>0.5</v>
      </c>
      <c r="R72">
        <v>0.17</v>
      </c>
      <c r="S72">
        <v>-1300</v>
      </c>
      <c r="T72">
        <v>46920</v>
      </c>
      <c r="U72">
        <v>135616</v>
      </c>
      <c r="V72">
        <v>435</v>
      </c>
      <c r="W72">
        <v>69.349999999999994</v>
      </c>
      <c r="X72" s="10">
        <v>0.87659967376597903</v>
      </c>
      <c r="Y72" s="9">
        <v>33500</v>
      </c>
      <c r="Z72" s="9">
        <v>19900</v>
      </c>
      <c r="AA72" s="9">
        <v>29150</v>
      </c>
      <c r="AB72" s="10">
        <v>0.68014705882352944</v>
      </c>
      <c r="AC72" s="11">
        <v>241.01555987774381</v>
      </c>
      <c r="AD72" s="9">
        <v>19278.192090395482</v>
      </c>
      <c r="AE72" s="8">
        <v>0.25107296137339058</v>
      </c>
    </row>
    <row r="73" spans="1:31" x14ac:dyDescent="0.35">
      <c r="A73" s="6" t="s">
        <v>94</v>
      </c>
      <c r="B73" s="7">
        <v>6</v>
      </c>
      <c r="C73" s="7">
        <v>5</v>
      </c>
      <c r="D73" s="7">
        <v>1</v>
      </c>
      <c r="E73" s="7">
        <v>6</v>
      </c>
      <c r="F73">
        <v>25076</v>
      </c>
      <c r="G73">
        <v>137</v>
      </c>
      <c r="H73">
        <v>0.55000000000000004</v>
      </c>
      <c r="I73">
        <v>77</v>
      </c>
      <c r="J73">
        <v>0.31</v>
      </c>
      <c r="K73">
        <v>8192</v>
      </c>
      <c r="L73">
        <v>5497</v>
      </c>
      <c r="M73">
        <v>2695</v>
      </c>
      <c r="N73">
        <v>379.59</v>
      </c>
      <c r="O73">
        <v>2.89</v>
      </c>
      <c r="P73">
        <v>24.93</v>
      </c>
      <c r="Q73">
        <v>0.73</v>
      </c>
      <c r="R73">
        <v>0.08</v>
      </c>
      <c r="S73">
        <v>343</v>
      </c>
      <c r="T73">
        <v>11697</v>
      </c>
      <c r="U73">
        <v>111470</v>
      </c>
      <c r="V73">
        <v>147</v>
      </c>
      <c r="W73">
        <v>31.95</v>
      </c>
      <c r="X73" s="10">
        <v>0.27173998965598051</v>
      </c>
      <c r="Y73" s="9">
        <v>8620</v>
      </c>
      <c r="Z73" s="9">
        <v>7740</v>
      </c>
      <c r="AA73" s="9">
        <v>7740</v>
      </c>
      <c r="AB73" s="10">
        <v>0</v>
      </c>
      <c r="AC73" s="11">
        <v>-5.6704640177827166</v>
      </c>
      <c r="AD73" s="9">
        <v>8184.2824858757058</v>
      </c>
      <c r="AE73" s="8">
        <v>-0.10208816705336426</v>
      </c>
    </row>
    <row r="74" spans="1:31" x14ac:dyDescent="0.35">
      <c r="A74" s="6" t="s">
        <v>95</v>
      </c>
      <c r="B74" s="7">
        <v>5</v>
      </c>
      <c r="C74" s="7">
        <v>1</v>
      </c>
      <c r="D74" s="7">
        <v>2</v>
      </c>
      <c r="E74" s="7">
        <v>10</v>
      </c>
      <c r="F74">
        <v>49584</v>
      </c>
      <c r="G74">
        <v>1434</v>
      </c>
      <c r="H74">
        <v>2.89</v>
      </c>
      <c r="I74">
        <v>1136</v>
      </c>
      <c r="J74">
        <v>2.29</v>
      </c>
      <c r="K74">
        <v>28805</v>
      </c>
      <c r="L74">
        <v>11970</v>
      </c>
      <c r="M74">
        <v>16835</v>
      </c>
      <c r="N74">
        <v>2086.41</v>
      </c>
      <c r="O74">
        <v>6.89</v>
      </c>
      <c r="P74">
        <v>17.38</v>
      </c>
      <c r="Q74">
        <v>1.29</v>
      </c>
      <c r="R74">
        <v>0.4</v>
      </c>
      <c r="S74">
        <v>1476</v>
      </c>
      <c r="T74">
        <v>19946</v>
      </c>
      <c r="U74">
        <v>64394</v>
      </c>
      <c r="V74">
        <v>3207</v>
      </c>
      <c r="W74">
        <v>6.39</v>
      </c>
      <c r="X74" s="10">
        <v>0.77770787189775337</v>
      </c>
      <c r="Y74" s="9">
        <v>33250</v>
      </c>
      <c r="Z74" s="9">
        <v>24650</v>
      </c>
      <c r="AA74" s="9">
        <v>32600</v>
      </c>
      <c r="AB74" s="10">
        <v>0.92441860465116277</v>
      </c>
      <c r="AC74" s="11">
        <v>122.33120311197555</v>
      </c>
      <c r="AD74" s="9">
        <v>23998.898305084746</v>
      </c>
      <c r="AE74" s="8">
        <v>0.28853754940711462</v>
      </c>
    </row>
    <row r="75" spans="1:31" x14ac:dyDescent="0.35">
      <c r="A75" s="6" t="s">
        <v>96</v>
      </c>
      <c r="B75" s="7">
        <v>0</v>
      </c>
      <c r="C75" s="7">
        <v>0</v>
      </c>
      <c r="D75" s="7">
        <v>0</v>
      </c>
      <c r="E75" s="7">
        <v>18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10">
        <v>0.51325253811072535</v>
      </c>
      <c r="Y75" s="9">
        <v>29000</v>
      </c>
      <c r="Z75" s="9">
        <v>26700</v>
      </c>
      <c r="AA75" s="9">
        <v>27050</v>
      </c>
      <c r="AB75" s="10">
        <v>0.15217391304347827</v>
      </c>
      <c r="AC75" s="11">
        <v>-16.631008613503752</v>
      </c>
      <c r="AD75" s="9">
        <v>27758.079096045196</v>
      </c>
      <c r="AE75" s="8">
        <v>-6.7241379310344823E-2</v>
      </c>
    </row>
    <row r="76" spans="1:31" x14ac:dyDescent="0.35">
      <c r="A76" s="6" t="s">
        <v>97</v>
      </c>
      <c r="B76" s="7">
        <v>7</v>
      </c>
      <c r="C76" s="7">
        <v>0</v>
      </c>
      <c r="D76" s="7">
        <v>11</v>
      </c>
      <c r="E76" s="7">
        <v>0</v>
      </c>
      <c r="F76">
        <v>10607</v>
      </c>
      <c r="G76">
        <v>1414</v>
      </c>
      <c r="H76">
        <v>13.33</v>
      </c>
      <c r="I76">
        <v>1201</v>
      </c>
      <c r="J76">
        <v>11.32</v>
      </c>
      <c r="K76">
        <v>13003</v>
      </c>
      <c r="L76">
        <v>4031</v>
      </c>
      <c r="M76">
        <v>8972</v>
      </c>
      <c r="N76">
        <v>2722.73</v>
      </c>
      <c r="O76">
        <v>14.15</v>
      </c>
      <c r="P76">
        <v>11.57</v>
      </c>
      <c r="Q76">
        <v>1.69</v>
      </c>
      <c r="R76">
        <v>1.31</v>
      </c>
      <c r="S76">
        <v>19187</v>
      </c>
      <c r="T76">
        <v>131159</v>
      </c>
      <c r="U76">
        <v>169521</v>
      </c>
      <c r="V76">
        <v>1565</v>
      </c>
      <c r="W76">
        <v>9.31</v>
      </c>
      <c r="X76" s="10">
        <v>0.27550964681558998</v>
      </c>
      <c r="Y76" s="9">
        <v>241500</v>
      </c>
      <c r="Z76" s="9">
        <v>186000</v>
      </c>
      <c r="AA76" s="9">
        <v>214900</v>
      </c>
      <c r="AB76" s="10">
        <v>0.52072072072072073</v>
      </c>
      <c r="AC76" s="11">
        <v>424.50680744651294</v>
      </c>
      <c r="AD76" s="9">
        <v>203762.54237288135</v>
      </c>
      <c r="AE76" s="8">
        <v>-2.5838621940163193E-2</v>
      </c>
    </row>
    <row r="77" spans="1:31" x14ac:dyDescent="0.35">
      <c r="A77" s="6" t="s">
        <v>98</v>
      </c>
      <c r="B77" s="7">
        <v>4</v>
      </c>
      <c r="C77" s="7">
        <v>1</v>
      </c>
      <c r="D77" s="7">
        <v>2</v>
      </c>
      <c r="E77" s="7">
        <v>11</v>
      </c>
      <c r="F77">
        <v>15</v>
      </c>
      <c r="G77">
        <v>-15</v>
      </c>
      <c r="H77">
        <v>-97.54</v>
      </c>
      <c r="I77">
        <v>-13</v>
      </c>
      <c r="J77">
        <v>-88.61</v>
      </c>
      <c r="K77">
        <v>127</v>
      </c>
      <c r="L77">
        <v>93</v>
      </c>
      <c r="M77">
        <v>34</v>
      </c>
      <c r="N77">
        <v>21</v>
      </c>
      <c r="O77">
        <v>-44.07</v>
      </c>
      <c r="P77">
        <v>0</v>
      </c>
      <c r="Q77">
        <v>3.45</v>
      </c>
      <c r="R77">
        <v>3.93</v>
      </c>
      <c r="S77">
        <v>-253</v>
      </c>
      <c r="T77">
        <v>325</v>
      </c>
      <c r="U77">
        <v>285</v>
      </c>
      <c r="V77">
        <v>-17</v>
      </c>
      <c r="W77">
        <v>-10.029999999999999</v>
      </c>
      <c r="X77" s="10">
        <v>0.21452547445929426</v>
      </c>
      <c r="Y77" s="9">
        <v>729</v>
      </c>
      <c r="Z77" s="9">
        <v>446</v>
      </c>
      <c r="AA77" s="9">
        <v>620</v>
      </c>
      <c r="AB77" s="10">
        <v>0.61484098939929333</v>
      </c>
      <c r="AC77" s="11">
        <v>-1.6331203111975545</v>
      </c>
      <c r="AD77" s="9">
        <v>603.64350282485884</v>
      </c>
      <c r="AE77" s="8">
        <v>9.7719869706840382E-3</v>
      </c>
    </row>
    <row r="78" spans="1:31" x14ac:dyDescent="0.35">
      <c r="A78" s="6" t="s">
        <v>99</v>
      </c>
      <c r="B78" s="7">
        <v>4</v>
      </c>
      <c r="C78" s="7">
        <v>3</v>
      </c>
      <c r="D78" s="7">
        <v>11</v>
      </c>
      <c r="E78" s="7">
        <v>0</v>
      </c>
      <c r="F78">
        <v>1001</v>
      </c>
      <c r="G78">
        <v>21</v>
      </c>
      <c r="H78">
        <v>2.08</v>
      </c>
      <c r="I78">
        <v>19</v>
      </c>
      <c r="J78">
        <v>1.88</v>
      </c>
      <c r="K78">
        <v>1285</v>
      </c>
      <c r="L78">
        <v>489</v>
      </c>
      <c r="M78">
        <v>797</v>
      </c>
      <c r="N78">
        <v>116.74</v>
      </c>
      <c r="O78">
        <v>3.19</v>
      </c>
      <c r="P78">
        <v>48.48</v>
      </c>
      <c r="Q78">
        <v>2.08</v>
      </c>
      <c r="R78">
        <v>0.9</v>
      </c>
      <c r="S78">
        <v>33</v>
      </c>
      <c r="T78">
        <v>769</v>
      </c>
      <c r="U78">
        <v>1784</v>
      </c>
      <c r="V78">
        <v>113</v>
      </c>
      <c r="W78">
        <v>13.04</v>
      </c>
      <c r="X78" s="10">
        <v>1.4191705754784612E-2</v>
      </c>
      <c r="Y78" s="9">
        <v>1965</v>
      </c>
      <c r="Z78" s="9">
        <v>1065</v>
      </c>
      <c r="AA78" s="9">
        <v>1280</v>
      </c>
      <c r="AB78" s="10">
        <v>0.2388888888888889</v>
      </c>
      <c r="AC78" s="11">
        <v>-1.6754654070575161</v>
      </c>
      <c r="AD78" s="9">
        <v>1536.4350282485875</v>
      </c>
      <c r="AE78" s="8">
        <v>0.20187793427230047</v>
      </c>
    </row>
    <row r="79" spans="1:31" x14ac:dyDescent="0.35">
      <c r="A79" s="6" t="s">
        <v>100</v>
      </c>
      <c r="B79" s="7">
        <v>2</v>
      </c>
      <c r="C79" s="7">
        <v>13</v>
      </c>
      <c r="D79" s="7">
        <v>1</v>
      </c>
      <c r="E79" s="7">
        <v>2</v>
      </c>
      <c r="F79">
        <v>5065</v>
      </c>
      <c r="G79">
        <v>146</v>
      </c>
      <c r="H79">
        <v>2.88</v>
      </c>
      <c r="I79">
        <v>72</v>
      </c>
      <c r="J79">
        <v>1.42</v>
      </c>
      <c r="K79">
        <v>49429</v>
      </c>
      <c r="L79">
        <v>42683</v>
      </c>
      <c r="M79">
        <v>6746</v>
      </c>
      <c r="N79">
        <v>359.92</v>
      </c>
      <c r="O79">
        <v>1.07</v>
      </c>
      <c r="P79">
        <v>41.6</v>
      </c>
      <c r="Q79">
        <v>0.46</v>
      </c>
      <c r="R79">
        <v>0.59</v>
      </c>
      <c r="S79">
        <v>244</v>
      </c>
      <c r="T79">
        <v>22146</v>
      </c>
      <c r="U79">
        <v>17266</v>
      </c>
      <c r="V79">
        <v>0</v>
      </c>
      <c r="W79">
        <v>0</v>
      </c>
      <c r="X79" s="10">
        <v>0.60322205466970236</v>
      </c>
      <c r="Y79" s="9">
        <v>12100</v>
      </c>
      <c r="Z79" s="9">
        <v>9900</v>
      </c>
      <c r="AA79" s="9">
        <v>11550</v>
      </c>
      <c r="AB79" s="10">
        <v>0.75</v>
      </c>
      <c r="AC79" s="11">
        <v>26.707696582383999</v>
      </c>
      <c r="AD79" s="9">
        <v>9766.5819209039546</v>
      </c>
      <c r="AE79" s="8">
        <v>0.12682926829268293</v>
      </c>
    </row>
    <row r="80" spans="1:31" x14ac:dyDescent="0.35">
      <c r="A80" s="6" t="s">
        <v>101</v>
      </c>
      <c r="B80" s="7">
        <v>6</v>
      </c>
      <c r="C80" s="7">
        <v>9</v>
      </c>
      <c r="D80" s="7">
        <v>3</v>
      </c>
      <c r="E80" s="7">
        <v>0</v>
      </c>
      <c r="F80">
        <v>564</v>
      </c>
      <c r="G80">
        <v>55</v>
      </c>
      <c r="H80">
        <v>9.69</v>
      </c>
      <c r="I80">
        <v>44</v>
      </c>
      <c r="J80">
        <v>7.76</v>
      </c>
      <c r="K80">
        <v>860</v>
      </c>
      <c r="L80">
        <v>167</v>
      </c>
      <c r="M80">
        <v>693</v>
      </c>
      <c r="N80">
        <v>758.18</v>
      </c>
      <c r="O80">
        <v>6.46</v>
      </c>
      <c r="P80">
        <v>11.72</v>
      </c>
      <c r="Q80">
        <v>0.76</v>
      </c>
      <c r="R80">
        <v>0.91</v>
      </c>
      <c r="S80">
        <v>273</v>
      </c>
      <c r="T80">
        <v>4188</v>
      </c>
      <c r="U80">
        <v>3515</v>
      </c>
      <c r="V80">
        <v>72</v>
      </c>
      <c r="W80">
        <v>7.26</v>
      </c>
      <c r="X80" s="10">
        <v>0.948014930930421</v>
      </c>
      <c r="Y80" s="9">
        <v>4120</v>
      </c>
      <c r="Z80" s="9">
        <v>3145</v>
      </c>
      <c r="AA80" s="9">
        <v>4120</v>
      </c>
      <c r="AB80" s="10">
        <v>1</v>
      </c>
      <c r="AC80" s="11">
        <v>16.750764101139207</v>
      </c>
      <c r="AD80" s="9">
        <v>3129.9350282485875</v>
      </c>
      <c r="AE80" s="8">
        <v>0.27554179566563469</v>
      </c>
    </row>
    <row r="81" spans="1:31" x14ac:dyDescent="0.35">
      <c r="A81" s="6" t="s">
        <v>102</v>
      </c>
      <c r="B81" s="7">
        <v>0</v>
      </c>
      <c r="C81" s="7">
        <v>0</v>
      </c>
      <c r="D81" s="7">
        <v>0</v>
      </c>
      <c r="E81" s="7">
        <v>18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10">
        <v>0.82641048345106161</v>
      </c>
      <c r="Y81" s="9">
        <v>2995</v>
      </c>
      <c r="Z81" s="9">
        <v>2005</v>
      </c>
      <c r="AA81" s="9">
        <v>2390</v>
      </c>
      <c r="AB81" s="10">
        <v>0.3888888888888889</v>
      </c>
      <c r="AC81" s="11">
        <v>16.989024729091415</v>
      </c>
      <c r="AD81" s="9">
        <v>1829.0847457627119</v>
      </c>
      <c r="AE81" s="8">
        <v>0.19201995012468828</v>
      </c>
    </row>
    <row r="82" spans="1:31" x14ac:dyDescent="0.35">
      <c r="A82" s="6" t="s">
        <v>103</v>
      </c>
      <c r="B82" s="7">
        <v>2</v>
      </c>
      <c r="C82" s="7">
        <v>2</v>
      </c>
      <c r="D82" s="7">
        <v>1</v>
      </c>
      <c r="E82" s="7">
        <v>13</v>
      </c>
      <c r="F82">
        <v>194</v>
      </c>
      <c r="G82">
        <v>-16</v>
      </c>
      <c r="H82">
        <v>-8.33</v>
      </c>
      <c r="I82">
        <v>-14</v>
      </c>
      <c r="J82">
        <v>-7.14</v>
      </c>
      <c r="K82">
        <v>394</v>
      </c>
      <c r="L82">
        <v>171</v>
      </c>
      <c r="M82">
        <v>223</v>
      </c>
      <c r="N82">
        <v>127.07</v>
      </c>
      <c r="O82">
        <v>-8.24</v>
      </c>
      <c r="P82">
        <v>0</v>
      </c>
      <c r="Q82">
        <v>2.9</v>
      </c>
      <c r="R82">
        <v>1.93</v>
      </c>
      <c r="S82">
        <v>-93</v>
      </c>
      <c r="T82">
        <v>877</v>
      </c>
      <c r="U82">
        <v>1316</v>
      </c>
      <c r="V82">
        <v>-15</v>
      </c>
      <c r="W82">
        <v>-34.83</v>
      </c>
      <c r="X82" s="10">
        <v>0.86839743385253565</v>
      </c>
      <c r="Y82" s="9">
        <v>2385</v>
      </c>
      <c r="Z82" s="9">
        <v>1660</v>
      </c>
      <c r="AA82" s="9">
        <v>2385</v>
      </c>
      <c r="AB82" s="10">
        <v>1</v>
      </c>
      <c r="AC82" s="11">
        <v>10.830230619616559</v>
      </c>
      <c r="AD82" s="9">
        <v>1634.0112994350281</v>
      </c>
      <c r="AE82" s="8">
        <v>0.41964285714285715</v>
      </c>
    </row>
    <row r="83" spans="1:31" x14ac:dyDescent="0.35">
      <c r="A83" s="6" t="s">
        <v>104</v>
      </c>
      <c r="B83" s="7">
        <v>2</v>
      </c>
      <c r="C83" s="7">
        <v>0</v>
      </c>
      <c r="D83" s="7">
        <v>7</v>
      </c>
      <c r="E83" s="7">
        <v>9</v>
      </c>
      <c r="F83">
        <v>359</v>
      </c>
      <c r="G83">
        <v>-22</v>
      </c>
      <c r="H83">
        <v>-6.1</v>
      </c>
      <c r="I83">
        <v>-57</v>
      </c>
      <c r="J83">
        <v>-15.92</v>
      </c>
      <c r="K83">
        <v>611</v>
      </c>
      <c r="L83">
        <v>266</v>
      </c>
      <c r="M83">
        <v>345</v>
      </c>
      <c r="N83">
        <v>69.37</v>
      </c>
      <c r="O83">
        <v>-16.190000000000001</v>
      </c>
      <c r="P83">
        <v>0</v>
      </c>
      <c r="Q83">
        <v>4.53</v>
      </c>
      <c r="R83">
        <v>3.58</v>
      </c>
      <c r="S83">
        <v>-140</v>
      </c>
      <c r="T83">
        <v>696</v>
      </c>
      <c r="U83">
        <v>881</v>
      </c>
      <c r="V83">
        <v>-3</v>
      </c>
      <c r="W83">
        <v>-484.93</v>
      </c>
      <c r="X83" s="10">
        <v>3.0941853665880105E-4</v>
      </c>
      <c r="Y83" s="9">
        <v>3320</v>
      </c>
      <c r="Z83" s="9">
        <v>2560</v>
      </c>
      <c r="AA83" s="9">
        <v>3045</v>
      </c>
      <c r="AB83" s="10">
        <v>0.63815789473684215</v>
      </c>
      <c r="AC83" s="11">
        <v>-0.18755209780494581</v>
      </c>
      <c r="AD83" s="9">
        <v>2870.2203389830506</v>
      </c>
      <c r="AE83" s="8">
        <v>8.2781456953642391E-3</v>
      </c>
    </row>
    <row r="84" spans="1:31" x14ac:dyDescent="0.35">
      <c r="A84" s="6" t="s">
        <v>105</v>
      </c>
      <c r="B84" s="7">
        <v>0</v>
      </c>
      <c r="C84" s="7">
        <v>0</v>
      </c>
      <c r="D84" s="7">
        <v>0</v>
      </c>
      <c r="E84" s="7">
        <v>18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10">
        <v>0.76577953706646196</v>
      </c>
      <c r="Y84" s="9">
        <v>19870</v>
      </c>
      <c r="Z84" s="9">
        <v>18475</v>
      </c>
      <c r="AA84" s="9">
        <v>19545</v>
      </c>
      <c r="AB84" s="10">
        <v>0.76702508960573479</v>
      </c>
      <c r="AC84" s="11">
        <v>16.618227285357044</v>
      </c>
      <c r="AD84" s="9">
        <v>18739.477401129941</v>
      </c>
      <c r="AE84" s="8">
        <v>3.0039525691699605E-2</v>
      </c>
    </row>
    <row r="85" spans="1:31" x14ac:dyDescent="0.35">
      <c r="A85" s="6" t="s">
        <v>106</v>
      </c>
      <c r="B85" s="7">
        <v>6</v>
      </c>
      <c r="C85" s="7">
        <v>4</v>
      </c>
      <c r="D85" s="7">
        <v>5</v>
      </c>
      <c r="E85" s="7">
        <v>3</v>
      </c>
      <c r="F85">
        <v>531</v>
      </c>
      <c r="G85">
        <v>12</v>
      </c>
      <c r="H85">
        <v>2.25</v>
      </c>
      <c r="I85">
        <v>21</v>
      </c>
      <c r="J85">
        <v>3.98</v>
      </c>
      <c r="K85">
        <v>711</v>
      </c>
      <c r="L85">
        <v>204</v>
      </c>
      <c r="M85">
        <v>506</v>
      </c>
      <c r="N85">
        <v>340.34</v>
      </c>
      <c r="O85">
        <v>4.24</v>
      </c>
      <c r="P85">
        <v>44.57</v>
      </c>
      <c r="Q85">
        <v>1.95</v>
      </c>
      <c r="R85">
        <v>1.78</v>
      </c>
      <c r="S85">
        <v>92</v>
      </c>
      <c r="T85">
        <v>2104</v>
      </c>
      <c r="U85">
        <v>2307</v>
      </c>
      <c r="V85">
        <v>22</v>
      </c>
      <c r="W85">
        <v>43.26</v>
      </c>
      <c r="X85" s="10">
        <v>0.46812160424692129</v>
      </c>
      <c r="Y85" s="9">
        <v>4790</v>
      </c>
      <c r="Z85" s="9">
        <v>4100</v>
      </c>
      <c r="AA85" s="9">
        <v>4550</v>
      </c>
      <c r="AB85" s="10">
        <v>0.65217391304347827</v>
      </c>
      <c r="AC85" s="11">
        <v>6.8666296193387053</v>
      </c>
      <c r="AD85" s="9">
        <v>4252.5677966101694</v>
      </c>
      <c r="AE85" s="8">
        <v>0.10169491525423729</v>
      </c>
    </row>
    <row r="86" spans="1:31" x14ac:dyDescent="0.35">
      <c r="A86" s="6" t="s">
        <v>107</v>
      </c>
      <c r="B86" s="7">
        <v>10</v>
      </c>
      <c r="C86" s="7">
        <v>0</v>
      </c>
      <c r="D86" s="7">
        <v>6</v>
      </c>
      <c r="E86" s="7">
        <v>2</v>
      </c>
      <c r="F86">
        <v>626</v>
      </c>
      <c r="G86">
        <v>200</v>
      </c>
      <c r="H86">
        <v>31.89</v>
      </c>
      <c r="I86">
        <v>146</v>
      </c>
      <c r="J86">
        <v>23.37</v>
      </c>
      <c r="K86">
        <v>1429</v>
      </c>
      <c r="L86">
        <v>241</v>
      </c>
      <c r="M86">
        <v>1188</v>
      </c>
      <c r="N86">
        <v>2005.8</v>
      </c>
      <c r="O86">
        <v>14.02</v>
      </c>
      <c r="P86">
        <v>18.850000000000001</v>
      </c>
      <c r="Q86">
        <v>2.69</v>
      </c>
      <c r="R86">
        <v>4.41</v>
      </c>
      <c r="S86">
        <v>1411</v>
      </c>
      <c r="T86">
        <v>9880</v>
      </c>
      <c r="U86">
        <v>6038</v>
      </c>
      <c r="V86">
        <v>227</v>
      </c>
      <c r="W86">
        <v>13.23</v>
      </c>
      <c r="X86" s="10">
        <v>0.81320741296947574</v>
      </c>
      <c r="Y86" s="9">
        <v>44200</v>
      </c>
      <c r="Z86" s="9">
        <v>25400</v>
      </c>
      <c r="AA86" s="9">
        <v>41200</v>
      </c>
      <c r="AB86" s="10">
        <v>0.84042553191489366</v>
      </c>
      <c r="AC86" s="11">
        <v>254.21367046401772</v>
      </c>
      <c r="AD86" s="9">
        <v>25560.649717514123</v>
      </c>
      <c r="AE86" s="8">
        <v>0.62204724409448819</v>
      </c>
    </row>
    <row r="87" spans="1:31" x14ac:dyDescent="0.35">
      <c r="A87" s="6" t="s">
        <v>108</v>
      </c>
      <c r="B87" s="7">
        <v>0</v>
      </c>
      <c r="C87" s="7">
        <v>1</v>
      </c>
      <c r="D87" s="7">
        <v>14</v>
      </c>
      <c r="E87" s="7">
        <v>3</v>
      </c>
      <c r="F87">
        <v>675</v>
      </c>
      <c r="G87">
        <v>-16</v>
      </c>
      <c r="H87">
        <v>-2.39</v>
      </c>
      <c r="I87">
        <v>-21</v>
      </c>
      <c r="J87">
        <v>-3.08</v>
      </c>
      <c r="K87">
        <v>495</v>
      </c>
      <c r="L87">
        <v>154</v>
      </c>
      <c r="M87">
        <v>342</v>
      </c>
      <c r="N87">
        <v>430.06</v>
      </c>
      <c r="O87">
        <v>-5.9</v>
      </c>
      <c r="P87">
        <v>0</v>
      </c>
      <c r="Q87">
        <v>1.22</v>
      </c>
      <c r="R87">
        <v>0.47</v>
      </c>
      <c r="S87">
        <v>-159</v>
      </c>
      <c r="T87">
        <v>1992</v>
      </c>
      <c r="U87">
        <v>5166</v>
      </c>
      <c r="V87">
        <v>16</v>
      </c>
      <c r="W87">
        <v>24.74</v>
      </c>
      <c r="X87" s="10">
        <v>0.23752760293394307</v>
      </c>
      <c r="Y87" s="9">
        <v>3330</v>
      </c>
      <c r="Z87" s="9">
        <v>2415</v>
      </c>
      <c r="AA87" s="9">
        <v>3155</v>
      </c>
      <c r="AB87" s="10">
        <v>0.80874316939890711</v>
      </c>
      <c r="AC87" s="11">
        <v>6.1026674076132261</v>
      </c>
      <c r="AD87" s="9">
        <v>2792.6186440677966</v>
      </c>
      <c r="AE87" s="8">
        <v>0.30641821946169773</v>
      </c>
    </row>
    <row r="88" spans="1:31" x14ac:dyDescent="0.35">
      <c r="A88" s="6" t="s">
        <v>109</v>
      </c>
      <c r="B88" s="7">
        <v>10</v>
      </c>
      <c r="C88" s="7">
        <v>0</v>
      </c>
      <c r="D88" s="7">
        <v>4</v>
      </c>
      <c r="E88" s="7">
        <v>4</v>
      </c>
      <c r="F88">
        <v>315</v>
      </c>
      <c r="G88">
        <v>146</v>
      </c>
      <c r="H88">
        <v>46.21</v>
      </c>
      <c r="I88">
        <v>150</v>
      </c>
      <c r="J88">
        <v>47.55</v>
      </c>
      <c r="K88">
        <v>16209</v>
      </c>
      <c r="L88">
        <v>3579</v>
      </c>
      <c r="M88">
        <v>12629</v>
      </c>
      <c r="N88">
        <v>99.67</v>
      </c>
      <c r="O88">
        <v>1.51</v>
      </c>
      <c r="P88">
        <v>42.29</v>
      </c>
      <c r="Q88">
        <v>0.61</v>
      </c>
      <c r="R88">
        <v>20.100000000000001</v>
      </c>
      <c r="S88">
        <v>144</v>
      </c>
      <c r="T88">
        <v>9983</v>
      </c>
      <c r="U88">
        <v>303</v>
      </c>
      <c r="V88">
        <v>0</v>
      </c>
      <c r="W88">
        <v>0</v>
      </c>
      <c r="X88" s="10">
        <v>0.36608583179139925</v>
      </c>
      <c r="Y88" s="9">
        <v>6820</v>
      </c>
      <c r="Z88" s="9">
        <v>5730</v>
      </c>
      <c r="AA88" s="9">
        <v>6070</v>
      </c>
      <c r="AB88" s="10">
        <v>0.31192660550458717</v>
      </c>
      <c r="AC88" s="11">
        <v>11.241733814948596</v>
      </c>
      <c r="AD88" s="9">
        <v>5866.2937853107351</v>
      </c>
      <c r="AE88" s="8">
        <v>3.3057851239669421E-3</v>
      </c>
    </row>
    <row r="89" spans="1:31" x14ac:dyDescent="0.35">
      <c r="A89" s="6" t="s">
        <v>110</v>
      </c>
      <c r="B89" s="7">
        <v>6</v>
      </c>
      <c r="C89" s="7">
        <v>10</v>
      </c>
      <c r="D89" s="7">
        <v>2</v>
      </c>
      <c r="E89" s="7">
        <v>0</v>
      </c>
      <c r="F89">
        <v>729</v>
      </c>
      <c r="G89">
        <v>63</v>
      </c>
      <c r="H89">
        <v>8.6999999999999993</v>
      </c>
      <c r="I89">
        <v>39</v>
      </c>
      <c r="J89">
        <v>5.4</v>
      </c>
      <c r="K89">
        <v>1161</v>
      </c>
      <c r="L89">
        <v>535</v>
      </c>
      <c r="M89">
        <v>625</v>
      </c>
      <c r="N89">
        <v>237.27</v>
      </c>
      <c r="O89">
        <v>6.39</v>
      </c>
      <c r="P89">
        <v>49.6</v>
      </c>
      <c r="Q89">
        <v>11.41</v>
      </c>
      <c r="R89">
        <v>2.67</v>
      </c>
      <c r="S89">
        <v>101</v>
      </c>
      <c r="T89">
        <v>439</v>
      </c>
      <c r="U89">
        <v>1877</v>
      </c>
      <c r="V89">
        <v>87</v>
      </c>
      <c r="W89">
        <v>26.19</v>
      </c>
      <c r="X89" s="10">
        <v>0.69317020862172818</v>
      </c>
      <c r="Y89" s="9">
        <v>6620</v>
      </c>
      <c r="Z89" s="9">
        <v>4910</v>
      </c>
      <c r="AA89" s="9">
        <v>6450</v>
      </c>
      <c r="AB89" s="10">
        <v>0.90058479532163738</v>
      </c>
      <c r="AC89" s="11">
        <v>26.012642400666856</v>
      </c>
      <c r="AD89" s="9">
        <v>4926.5310734463283</v>
      </c>
      <c r="AE89" s="8">
        <v>0.30831643002028397</v>
      </c>
    </row>
    <row r="90" spans="1:31" x14ac:dyDescent="0.35">
      <c r="A90" s="6" t="s">
        <v>111</v>
      </c>
      <c r="B90" s="7">
        <v>2</v>
      </c>
      <c r="C90" s="7">
        <v>3</v>
      </c>
      <c r="D90" s="7">
        <v>11</v>
      </c>
      <c r="E90" s="7">
        <v>2</v>
      </c>
      <c r="F90">
        <v>4128</v>
      </c>
      <c r="G90">
        <v>182</v>
      </c>
      <c r="H90">
        <v>4.4000000000000004</v>
      </c>
      <c r="I90">
        <v>17</v>
      </c>
      <c r="J90">
        <v>0.4</v>
      </c>
      <c r="K90">
        <v>5923</v>
      </c>
      <c r="L90">
        <v>3703</v>
      </c>
      <c r="M90">
        <v>2220</v>
      </c>
      <c r="N90">
        <v>435.18</v>
      </c>
      <c r="O90">
        <v>0.79</v>
      </c>
      <c r="P90">
        <v>252.63</v>
      </c>
      <c r="Q90">
        <v>1.25</v>
      </c>
      <c r="R90">
        <v>0.54</v>
      </c>
      <c r="S90">
        <v>57</v>
      </c>
      <c r="T90">
        <v>11564</v>
      </c>
      <c r="U90">
        <v>26717</v>
      </c>
      <c r="V90">
        <v>348</v>
      </c>
      <c r="W90">
        <v>14.05</v>
      </c>
      <c r="X90" s="10">
        <v>0.58254079897888433</v>
      </c>
      <c r="Y90" s="9">
        <v>16450</v>
      </c>
      <c r="Z90" s="9">
        <v>13650</v>
      </c>
      <c r="AA90" s="9">
        <v>16450</v>
      </c>
      <c r="AB90" s="10">
        <v>1</v>
      </c>
      <c r="AC90" s="11">
        <v>28.502361767157545</v>
      </c>
      <c r="AD90" s="9">
        <v>13830.677966101695</v>
      </c>
      <c r="AE90" s="8">
        <v>0.13058419243986255</v>
      </c>
    </row>
    <row r="91" spans="1:31" x14ac:dyDescent="0.35">
      <c r="A91" s="6" t="s">
        <v>112</v>
      </c>
      <c r="B91" s="7">
        <v>0</v>
      </c>
      <c r="C91" s="7">
        <v>0</v>
      </c>
      <c r="D91" s="7">
        <v>0</v>
      </c>
      <c r="E91" s="7">
        <v>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 s="10">
        <v>0.53726615949756729</v>
      </c>
      <c r="Y91" s="9">
        <v>24400</v>
      </c>
      <c r="Z91" s="9">
        <v>15250</v>
      </c>
      <c r="AA91" s="9">
        <v>18600</v>
      </c>
      <c r="AB91" s="10">
        <v>0.36612021857923499</v>
      </c>
      <c r="AC91" s="11">
        <v>90.319533203667675</v>
      </c>
      <c r="AD91" s="9">
        <v>14928.587570621468</v>
      </c>
      <c r="AE91" s="8">
        <v>0.1411042944785276</v>
      </c>
    </row>
    <row r="92" spans="1:31" x14ac:dyDescent="0.35">
      <c r="A92" s="6" t="s">
        <v>113</v>
      </c>
      <c r="B92" s="7">
        <v>0</v>
      </c>
      <c r="C92" s="7">
        <v>0</v>
      </c>
      <c r="D92" s="7">
        <v>0</v>
      </c>
      <c r="E92" s="7">
        <v>18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 s="10">
        <v>0.45897586824606734</v>
      </c>
      <c r="Y92" s="9">
        <v>14150</v>
      </c>
      <c r="Z92" s="9">
        <v>10600</v>
      </c>
      <c r="AA92" s="9">
        <v>12700</v>
      </c>
      <c r="AB92" s="10">
        <v>0.59154929577464788</v>
      </c>
      <c r="AC92" s="11">
        <v>30.307029730480689</v>
      </c>
      <c r="AD92" s="9">
        <v>10648.135593220339</v>
      </c>
      <c r="AE92" s="8">
        <v>0.11894273127753303</v>
      </c>
    </row>
    <row r="93" spans="1:31" x14ac:dyDescent="0.35">
      <c r="A93" s="6" t="s">
        <v>114</v>
      </c>
      <c r="B93" s="7">
        <v>3</v>
      </c>
      <c r="C93" s="7">
        <v>5</v>
      </c>
      <c r="D93" s="7">
        <v>10</v>
      </c>
      <c r="E93" s="7">
        <v>0</v>
      </c>
      <c r="F93">
        <v>635</v>
      </c>
      <c r="G93">
        <v>-41</v>
      </c>
      <c r="H93">
        <v>-6.4</v>
      </c>
      <c r="I93">
        <v>-27</v>
      </c>
      <c r="J93">
        <v>-4.2</v>
      </c>
      <c r="K93">
        <v>2794</v>
      </c>
      <c r="L93">
        <v>1171</v>
      </c>
      <c r="M93">
        <v>1624</v>
      </c>
      <c r="N93">
        <v>510.43</v>
      </c>
      <c r="O93">
        <v>-1.62</v>
      </c>
      <c r="P93">
        <v>0</v>
      </c>
      <c r="Q93">
        <v>0.83</v>
      </c>
      <c r="R93">
        <v>2</v>
      </c>
      <c r="S93">
        <v>-50</v>
      </c>
      <c r="T93">
        <v>2847</v>
      </c>
      <c r="U93">
        <v>1187</v>
      </c>
      <c r="V93">
        <v>-34</v>
      </c>
      <c r="W93">
        <v>-56.75</v>
      </c>
      <c r="X93" s="10">
        <v>0.82457298710661975</v>
      </c>
      <c r="Y93" s="9">
        <v>3015</v>
      </c>
      <c r="Z93" s="9">
        <v>2270</v>
      </c>
      <c r="AA93" s="9">
        <v>3015</v>
      </c>
      <c r="AB93" s="10">
        <v>1</v>
      </c>
      <c r="AC93" s="11">
        <v>11.543901083634344</v>
      </c>
      <c r="AD93" s="9">
        <v>2197.9943502824858</v>
      </c>
      <c r="AE93" s="8">
        <v>0.25624999999999998</v>
      </c>
    </row>
    <row r="94" spans="1:31" x14ac:dyDescent="0.35">
      <c r="A94" s="6" t="s">
        <v>115</v>
      </c>
      <c r="B94" s="7">
        <v>12</v>
      </c>
      <c r="C94" s="7">
        <v>3</v>
      </c>
      <c r="D94" s="7">
        <v>2</v>
      </c>
      <c r="E94" s="7">
        <v>1</v>
      </c>
      <c r="F94">
        <v>443</v>
      </c>
      <c r="G94">
        <v>67</v>
      </c>
      <c r="H94">
        <v>15.1</v>
      </c>
      <c r="I94">
        <v>67</v>
      </c>
      <c r="J94">
        <v>15.03</v>
      </c>
      <c r="K94">
        <v>705</v>
      </c>
      <c r="L94">
        <v>168</v>
      </c>
      <c r="M94">
        <v>537</v>
      </c>
      <c r="N94">
        <v>298</v>
      </c>
      <c r="O94">
        <v>13.49</v>
      </c>
      <c r="P94">
        <v>19.55</v>
      </c>
      <c r="Q94">
        <v>6.27</v>
      </c>
      <c r="R94">
        <v>2.94</v>
      </c>
      <c r="S94">
        <v>213</v>
      </c>
      <c r="T94">
        <v>664</v>
      </c>
      <c r="U94">
        <v>1418</v>
      </c>
      <c r="V94">
        <v>72</v>
      </c>
      <c r="W94">
        <v>19.79</v>
      </c>
      <c r="X94" s="10">
        <v>0.68121323771134634</v>
      </c>
      <c r="Y94" s="9">
        <v>4995</v>
      </c>
      <c r="Z94" s="9">
        <v>4145</v>
      </c>
      <c r="AA94" s="9">
        <v>4900</v>
      </c>
      <c r="AB94" s="10">
        <v>0.88823529411764701</v>
      </c>
      <c r="AC94" s="11">
        <v>12.784106696304528</v>
      </c>
      <c r="AD94" s="9">
        <v>4032.7514124293789</v>
      </c>
      <c r="AE94" s="8">
        <v>0.18214716525934863</v>
      </c>
    </row>
    <row r="95" spans="1:31" x14ac:dyDescent="0.35">
      <c r="A95" s="6" t="s">
        <v>116</v>
      </c>
      <c r="B95" s="7">
        <v>2</v>
      </c>
      <c r="C95" s="7">
        <v>11</v>
      </c>
      <c r="D95" s="7">
        <v>3</v>
      </c>
      <c r="E95" s="7">
        <v>2</v>
      </c>
      <c r="F95">
        <v>5109</v>
      </c>
      <c r="G95">
        <v>4340</v>
      </c>
      <c r="H95">
        <v>84.95</v>
      </c>
      <c r="I95">
        <v>4330</v>
      </c>
      <c r="J95">
        <v>84.74</v>
      </c>
      <c r="K95">
        <v>192105</v>
      </c>
      <c r="L95">
        <v>9238</v>
      </c>
      <c r="M95">
        <v>182867</v>
      </c>
      <c r="N95">
        <v>846.63</v>
      </c>
      <c r="O95">
        <v>2.38</v>
      </c>
      <c r="P95">
        <v>32.25</v>
      </c>
      <c r="Q95">
        <v>0.76</v>
      </c>
      <c r="R95">
        <v>27.34</v>
      </c>
      <c r="S95">
        <v>1121</v>
      </c>
      <c r="T95">
        <v>47309</v>
      </c>
      <c r="U95">
        <v>1322</v>
      </c>
      <c r="V95">
        <v>0</v>
      </c>
      <c r="W95">
        <v>0</v>
      </c>
      <c r="X95" s="10">
        <v>0.52744957045966667</v>
      </c>
      <c r="Y95" s="9">
        <v>40000</v>
      </c>
      <c r="Z95" s="9">
        <v>35000</v>
      </c>
      <c r="AA95" s="9">
        <v>38300</v>
      </c>
      <c r="AB95" s="10">
        <v>0.66</v>
      </c>
      <c r="AC95" s="11">
        <v>48.541261461517081</v>
      </c>
      <c r="AD95" s="9">
        <v>35986.158192090392</v>
      </c>
      <c r="AE95" s="8">
        <v>2.5435073627844713E-2</v>
      </c>
    </row>
    <row r="96" spans="1:31" x14ac:dyDescent="0.35">
      <c r="A96" s="6" t="s">
        <v>117</v>
      </c>
      <c r="B96" s="7">
        <v>4</v>
      </c>
      <c r="C96" s="7">
        <v>2</v>
      </c>
      <c r="D96" s="7">
        <v>9</v>
      </c>
      <c r="E96" s="7">
        <v>3</v>
      </c>
      <c r="F96">
        <v>798</v>
      </c>
      <c r="G96">
        <v>46</v>
      </c>
      <c r="H96">
        <v>5.78</v>
      </c>
      <c r="I96">
        <v>30</v>
      </c>
      <c r="J96">
        <v>3.76</v>
      </c>
      <c r="K96">
        <v>1122</v>
      </c>
      <c r="L96">
        <v>439</v>
      </c>
      <c r="M96">
        <v>683</v>
      </c>
      <c r="N96">
        <v>1087.33</v>
      </c>
      <c r="O96">
        <v>5.92</v>
      </c>
      <c r="P96">
        <v>12.43</v>
      </c>
      <c r="Q96">
        <v>0.76</v>
      </c>
      <c r="R96">
        <v>0.47</v>
      </c>
      <c r="S96">
        <v>348</v>
      </c>
      <c r="T96">
        <v>5725</v>
      </c>
      <c r="U96">
        <v>9256</v>
      </c>
      <c r="V96">
        <v>115</v>
      </c>
      <c r="W96">
        <v>6.88</v>
      </c>
      <c r="X96" s="10">
        <v>0.476085608274391</v>
      </c>
      <c r="Y96" s="9">
        <v>5390</v>
      </c>
      <c r="Z96" s="9">
        <v>3650</v>
      </c>
      <c r="AA96" s="9">
        <v>4940</v>
      </c>
      <c r="AB96" s="10">
        <v>0.74137931034482762</v>
      </c>
      <c r="AC96" s="11">
        <v>18.142956376771327</v>
      </c>
      <c r="AD96" s="9">
        <v>3505.8898305084745</v>
      </c>
      <c r="AE96" s="8">
        <v>0.27979274611398963</v>
      </c>
    </row>
    <row r="97" spans="1:31" x14ac:dyDescent="0.35">
      <c r="A97" s="6" t="s">
        <v>118</v>
      </c>
      <c r="B97" s="7">
        <v>9</v>
      </c>
      <c r="C97" s="7">
        <v>6</v>
      </c>
      <c r="D97" s="7">
        <v>3</v>
      </c>
      <c r="E97" s="7">
        <v>0</v>
      </c>
      <c r="F97">
        <v>30323</v>
      </c>
      <c r="G97">
        <v>2227</v>
      </c>
      <c r="H97">
        <v>7.34</v>
      </c>
      <c r="I97">
        <v>2883</v>
      </c>
      <c r="J97">
        <v>9.51</v>
      </c>
      <c r="K97">
        <v>83452</v>
      </c>
      <c r="L97">
        <v>22624</v>
      </c>
      <c r="M97">
        <v>60828</v>
      </c>
      <c r="N97">
        <v>10931.88</v>
      </c>
      <c r="O97">
        <v>5.21</v>
      </c>
      <c r="P97">
        <v>17.670000000000002</v>
      </c>
      <c r="Q97">
        <v>0.9</v>
      </c>
      <c r="R97">
        <v>1.68</v>
      </c>
      <c r="S97">
        <v>29429</v>
      </c>
      <c r="T97">
        <v>577378</v>
      </c>
      <c r="U97">
        <v>309515</v>
      </c>
      <c r="V97">
        <v>3566</v>
      </c>
      <c r="W97">
        <v>15.85</v>
      </c>
      <c r="X97" s="10">
        <v>0.35901360780025549</v>
      </c>
      <c r="Y97" s="9">
        <v>591000</v>
      </c>
      <c r="Z97" s="9">
        <v>499000</v>
      </c>
      <c r="AA97" s="9">
        <v>553000</v>
      </c>
      <c r="AB97" s="10">
        <v>0.58695652173913049</v>
      </c>
      <c r="AC97" s="11">
        <v>716.0322311753265</v>
      </c>
      <c r="AD97" s="9">
        <v>520761.01694915252</v>
      </c>
      <c r="AE97" s="8">
        <v>4.3396226415094337E-2</v>
      </c>
    </row>
    <row r="98" spans="1:31" x14ac:dyDescent="0.35">
      <c r="A98" s="6" t="s">
        <v>119</v>
      </c>
      <c r="B98" s="7">
        <v>1</v>
      </c>
      <c r="C98" s="7">
        <v>10</v>
      </c>
      <c r="D98" s="7">
        <v>2</v>
      </c>
      <c r="E98" s="7">
        <v>5</v>
      </c>
      <c r="F98">
        <v>10003</v>
      </c>
      <c r="G98">
        <v>8</v>
      </c>
      <c r="H98">
        <v>0.08</v>
      </c>
      <c r="I98">
        <v>17</v>
      </c>
      <c r="J98">
        <v>0.17</v>
      </c>
      <c r="K98">
        <v>11292</v>
      </c>
      <c r="L98">
        <v>7430</v>
      </c>
      <c r="M98">
        <v>3863</v>
      </c>
      <c r="N98">
        <v>260.99</v>
      </c>
      <c r="O98">
        <v>0.51</v>
      </c>
      <c r="P98">
        <v>63.71</v>
      </c>
      <c r="Q98">
        <v>0.44</v>
      </c>
      <c r="R98">
        <v>0.11</v>
      </c>
      <c r="S98">
        <v>124</v>
      </c>
      <c r="T98">
        <v>17765</v>
      </c>
      <c r="U98">
        <v>72976</v>
      </c>
      <c r="V98">
        <v>66</v>
      </c>
      <c r="W98">
        <v>51.32</v>
      </c>
      <c r="X98" s="10">
        <v>0.75494246413953803</v>
      </c>
      <c r="Y98" s="9">
        <v>10800</v>
      </c>
      <c r="Z98" s="9">
        <v>6940</v>
      </c>
      <c r="AA98" s="9">
        <v>10300</v>
      </c>
      <c r="AB98" s="10">
        <v>0.8704663212435233</v>
      </c>
      <c r="AC98" s="11">
        <v>63.268685746040582</v>
      </c>
      <c r="AD98" s="9">
        <v>6527.6384180790965</v>
      </c>
      <c r="AE98" s="8">
        <v>0.30544993662864384</v>
      </c>
    </row>
    <row r="99" spans="1:31" x14ac:dyDescent="0.35">
      <c r="A99" s="6" t="s">
        <v>120</v>
      </c>
      <c r="B99" s="7">
        <v>7</v>
      </c>
      <c r="C99" s="7">
        <v>0</v>
      </c>
      <c r="D99" s="7">
        <v>9</v>
      </c>
      <c r="E99" s="7">
        <v>2</v>
      </c>
      <c r="F99">
        <v>286</v>
      </c>
      <c r="G99">
        <v>19</v>
      </c>
      <c r="H99">
        <v>6.8</v>
      </c>
      <c r="I99">
        <v>19</v>
      </c>
      <c r="J99">
        <v>6.77</v>
      </c>
      <c r="K99">
        <v>535</v>
      </c>
      <c r="L99">
        <v>149</v>
      </c>
      <c r="M99">
        <v>386</v>
      </c>
      <c r="N99">
        <v>605.22</v>
      </c>
      <c r="O99">
        <v>6.78</v>
      </c>
      <c r="P99">
        <v>38.01</v>
      </c>
      <c r="Q99">
        <v>2.6</v>
      </c>
      <c r="R99">
        <v>2.57</v>
      </c>
      <c r="S99">
        <v>236</v>
      </c>
      <c r="T99">
        <v>3456</v>
      </c>
      <c r="U99">
        <v>3487</v>
      </c>
      <c r="V99">
        <v>57</v>
      </c>
      <c r="W99">
        <v>18.760000000000002</v>
      </c>
      <c r="X99" s="10">
        <v>0.68861376637681893</v>
      </c>
      <c r="Y99" s="9">
        <v>15750</v>
      </c>
      <c r="Z99" s="9">
        <v>7020</v>
      </c>
      <c r="AA99" s="9">
        <v>14400</v>
      </c>
      <c r="AB99" s="10">
        <v>0.84536082474226804</v>
      </c>
      <c r="AC99" s="11">
        <v>105.51542095026396</v>
      </c>
      <c r="AD99" s="9">
        <v>7239.4463276836159</v>
      </c>
      <c r="AE99" s="8">
        <v>1.0253164556962024</v>
      </c>
    </row>
    <row r="100" spans="1:31" x14ac:dyDescent="0.35">
      <c r="A100" s="6" t="s">
        <v>121</v>
      </c>
      <c r="B100" s="7">
        <v>5</v>
      </c>
      <c r="C100" s="7">
        <v>8</v>
      </c>
      <c r="D100" s="7">
        <v>4</v>
      </c>
      <c r="E100" s="7">
        <v>1</v>
      </c>
      <c r="F100">
        <v>1570</v>
      </c>
      <c r="G100">
        <v>57</v>
      </c>
      <c r="H100">
        <v>3.64</v>
      </c>
      <c r="I100">
        <v>53</v>
      </c>
      <c r="J100">
        <v>3.39</v>
      </c>
      <c r="K100">
        <v>2665</v>
      </c>
      <c r="L100">
        <v>1382</v>
      </c>
      <c r="M100">
        <v>1283</v>
      </c>
      <c r="N100">
        <v>756.41</v>
      </c>
      <c r="O100">
        <v>5.63</v>
      </c>
      <c r="P100">
        <v>13.5</v>
      </c>
      <c r="Q100">
        <v>0.83</v>
      </c>
      <c r="R100">
        <v>0.46</v>
      </c>
      <c r="S100">
        <v>237</v>
      </c>
      <c r="T100">
        <v>3840</v>
      </c>
      <c r="U100">
        <v>7000</v>
      </c>
      <c r="V100">
        <v>76</v>
      </c>
      <c r="W100">
        <v>23.03</v>
      </c>
      <c r="X100" s="10">
        <v>0.70236358312640434</v>
      </c>
      <c r="Y100" s="9">
        <v>3780</v>
      </c>
      <c r="Z100" s="9">
        <v>2805</v>
      </c>
      <c r="AA100" s="9">
        <v>3735</v>
      </c>
      <c r="AB100" s="10">
        <v>0.9538461538461539</v>
      </c>
      <c r="AC100" s="11">
        <v>14.892053348152265</v>
      </c>
      <c r="AD100" s="9">
        <v>2833.5423728813557</v>
      </c>
      <c r="AE100" s="8">
        <v>0.26610169491525426</v>
      </c>
    </row>
    <row r="101" spans="1:31" x14ac:dyDescent="0.35">
      <c r="A101" s="6" t="s">
        <v>122</v>
      </c>
      <c r="B101" s="7">
        <v>3</v>
      </c>
      <c r="C101" s="7">
        <v>0</v>
      </c>
      <c r="D101" s="7">
        <v>8</v>
      </c>
      <c r="E101" s="7">
        <v>7</v>
      </c>
      <c r="F101">
        <v>769</v>
      </c>
      <c r="G101">
        <v>-2</v>
      </c>
      <c r="H101">
        <v>-0.31</v>
      </c>
      <c r="I101">
        <v>-10</v>
      </c>
      <c r="J101">
        <v>-1.3</v>
      </c>
      <c r="K101">
        <v>854</v>
      </c>
      <c r="L101">
        <v>554</v>
      </c>
      <c r="M101">
        <v>300</v>
      </c>
      <c r="N101">
        <v>1002.34</v>
      </c>
      <c r="O101">
        <v>-4.28</v>
      </c>
      <c r="P101">
        <v>0</v>
      </c>
      <c r="Q101">
        <v>1.3</v>
      </c>
      <c r="R101">
        <v>0.37</v>
      </c>
      <c r="S101">
        <v>-244</v>
      </c>
      <c r="T101">
        <v>5305</v>
      </c>
      <c r="U101">
        <v>18853</v>
      </c>
      <c r="V101">
        <v>53</v>
      </c>
      <c r="W101">
        <v>10.84</v>
      </c>
      <c r="X101" s="10">
        <v>0.35960303756626155</v>
      </c>
      <c r="Y101" s="9">
        <v>10450</v>
      </c>
      <c r="Z101" s="9">
        <v>7620</v>
      </c>
      <c r="AA101" s="9">
        <v>9090</v>
      </c>
      <c r="AB101" s="10">
        <v>0.51943462897526504</v>
      </c>
      <c r="AC101" s="11">
        <v>19.18366212836899</v>
      </c>
      <c r="AD101" s="9">
        <v>7600.8983050847455</v>
      </c>
      <c r="AE101" s="8">
        <v>0.15063291139240506</v>
      </c>
    </row>
    <row r="102" spans="1:31" x14ac:dyDescent="0.35">
      <c r="A102" s="6" t="s">
        <v>123</v>
      </c>
      <c r="B102" s="7">
        <v>12</v>
      </c>
      <c r="C102" s="7">
        <v>3</v>
      </c>
      <c r="D102" s="7">
        <v>3</v>
      </c>
      <c r="E102" s="7">
        <v>0</v>
      </c>
      <c r="F102">
        <v>217</v>
      </c>
      <c r="G102">
        <v>174</v>
      </c>
      <c r="H102">
        <v>79.89</v>
      </c>
      <c r="I102">
        <v>112</v>
      </c>
      <c r="J102">
        <v>51.54</v>
      </c>
      <c r="K102">
        <v>1495</v>
      </c>
      <c r="L102">
        <v>294</v>
      </c>
      <c r="M102">
        <v>1201</v>
      </c>
      <c r="N102">
        <v>983.7</v>
      </c>
      <c r="O102">
        <v>12.91</v>
      </c>
      <c r="P102">
        <v>13.41</v>
      </c>
      <c r="Q102">
        <v>1.69</v>
      </c>
      <c r="R102">
        <v>6.91</v>
      </c>
      <c r="S102">
        <v>675</v>
      </c>
      <c r="T102">
        <v>5345</v>
      </c>
      <c r="U102">
        <v>1309</v>
      </c>
      <c r="V102">
        <v>234</v>
      </c>
      <c r="W102">
        <v>8.93</v>
      </c>
      <c r="X102" s="10">
        <v>1.9718662247350608E-4</v>
      </c>
      <c r="Y102" s="9">
        <v>11150</v>
      </c>
      <c r="Z102" s="9">
        <v>8950</v>
      </c>
      <c r="AA102" s="9">
        <v>9420</v>
      </c>
      <c r="AB102" s="10">
        <v>0.21363636363636362</v>
      </c>
      <c r="AC102" s="11">
        <v>0.4037232564601278</v>
      </c>
      <c r="AD102" s="9">
        <v>9858.1864406779659</v>
      </c>
      <c r="AE102" s="8">
        <v>-8.0975609756097564E-2</v>
      </c>
    </row>
    <row r="103" spans="1:31" x14ac:dyDescent="0.35">
      <c r="A103" s="6" t="s">
        <v>124</v>
      </c>
      <c r="B103" s="7">
        <v>1</v>
      </c>
      <c r="C103" s="7">
        <v>2</v>
      </c>
      <c r="D103" s="7">
        <v>3</v>
      </c>
      <c r="E103" s="7">
        <v>12</v>
      </c>
      <c r="F103">
        <v>2081</v>
      </c>
      <c r="G103">
        <v>-75</v>
      </c>
      <c r="H103">
        <v>-3.63</v>
      </c>
      <c r="I103">
        <v>-90</v>
      </c>
      <c r="J103">
        <v>-4.3</v>
      </c>
      <c r="K103">
        <v>1693</v>
      </c>
      <c r="L103">
        <v>1109</v>
      </c>
      <c r="M103">
        <v>584</v>
      </c>
      <c r="N103">
        <v>1068.21</v>
      </c>
      <c r="O103">
        <v>-13.82</v>
      </c>
      <c r="P103">
        <v>0</v>
      </c>
      <c r="Q103">
        <v>1.18</v>
      </c>
      <c r="R103">
        <v>0.33</v>
      </c>
      <c r="S103">
        <v>-896</v>
      </c>
      <c r="T103">
        <v>5804</v>
      </c>
      <c r="U103">
        <v>20806</v>
      </c>
      <c r="V103">
        <v>-65</v>
      </c>
      <c r="W103">
        <v>-10.96</v>
      </c>
      <c r="X103" s="10">
        <v>0.24356956170542415</v>
      </c>
      <c r="Y103" s="9">
        <v>8020</v>
      </c>
      <c r="Z103" s="9">
        <v>6080</v>
      </c>
      <c r="AA103" s="9">
        <v>7370</v>
      </c>
      <c r="AB103" s="10">
        <v>0.66494845360824739</v>
      </c>
      <c r="AC103" s="11">
        <v>13.189774937482634</v>
      </c>
      <c r="AD103" s="9">
        <v>6465.0451977401126</v>
      </c>
      <c r="AE103" s="8">
        <v>7.748538011695906E-2</v>
      </c>
    </row>
    <row r="104" spans="1:31" x14ac:dyDescent="0.35">
      <c r="A104" s="6" t="s">
        <v>125</v>
      </c>
      <c r="B104" s="7">
        <v>9</v>
      </c>
      <c r="C104" s="7">
        <v>4</v>
      </c>
      <c r="D104" s="7">
        <v>3</v>
      </c>
      <c r="E104" s="7">
        <v>2</v>
      </c>
      <c r="F104">
        <v>2110</v>
      </c>
      <c r="G104">
        <v>81</v>
      </c>
      <c r="H104">
        <v>3.85</v>
      </c>
      <c r="I104">
        <v>169</v>
      </c>
      <c r="J104">
        <v>8</v>
      </c>
      <c r="K104">
        <v>3402</v>
      </c>
      <c r="L104">
        <v>1888</v>
      </c>
      <c r="M104">
        <v>1514</v>
      </c>
      <c r="N104">
        <v>412.77</v>
      </c>
      <c r="O104">
        <v>11.78</v>
      </c>
      <c r="P104">
        <v>4.07</v>
      </c>
      <c r="Q104">
        <v>0.46</v>
      </c>
      <c r="R104">
        <v>0.33</v>
      </c>
      <c r="S104">
        <v>286</v>
      </c>
      <c r="T104">
        <v>2558</v>
      </c>
      <c r="U104">
        <v>3573</v>
      </c>
      <c r="V104">
        <v>209</v>
      </c>
      <c r="W104">
        <v>8.42</v>
      </c>
      <c r="X104" s="10">
        <v>0.43248567315725595</v>
      </c>
      <c r="Y104" s="9">
        <v>1585</v>
      </c>
      <c r="Z104" s="9">
        <v>1060</v>
      </c>
      <c r="AA104" s="9">
        <v>1585</v>
      </c>
      <c r="AB104" s="10">
        <v>1</v>
      </c>
      <c r="AC104" s="11">
        <v>3.8437065851625443</v>
      </c>
      <c r="AD104" s="9">
        <v>1163.6836158192091</v>
      </c>
      <c r="AE104" s="8">
        <v>0.36637931034482757</v>
      </c>
    </row>
    <row r="105" spans="1:31" x14ac:dyDescent="0.35">
      <c r="A105" s="6" t="s">
        <v>126</v>
      </c>
      <c r="B105" s="7">
        <v>13</v>
      </c>
      <c r="C105" s="7">
        <v>0</v>
      </c>
      <c r="D105" s="7">
        <v>4</v>
      </c>
      <c r="E105" s="7">
        <v>1</v>
      </c>
      <c r="F105">
        <v>1057</v>
      </c>
      <c r="G105">
        <v>212</v>
      </c>
      <c r="H105">
        <v>20.059999999999999</v>
      </c>
      <c r="I105">
        <v>162</v>
      </c>
      <c r="J105">
        <v>15.36</v>
      </c>
      <c r="K105">
        <v>1667</v>
      </c>
      <c r="L105">
        <v>478</v>
      </c>
      <c r="M105">
        <v>1189</v>
      </c>
      <c r="N105">
        <v>500.63</v>
      </c>
      <c r="O105">
        <v>14.42</v>
      </c>
      <c r="P105">
        <v>11.53</v>
      </c>
      <c r="Q105">
        <v>1.58</v>
      </c>
      <c r="R105">
        <v>1.77</v>
      </c>
      <c r="S105">
        <v>451</v>
      </c>
      <c r="T105">
        <v>3299</v>
      </c>
      <c r="U105">
        <v>2938</v>
      </c>
      <c r="V105">
        <v>293</v>
      </c>
      <c r="W105">
        <v>7</v>
      </c>
      <c r="X105" s="10">
        <v>0.10533562100901885</v>
      </c>
      <c r="Y105" s="9">
        <v>5430</v>
      </c>
      <c r="Z105" s="9">
        <v>4990</v>
      </c>
      <c r="AA105" s="9">
        <v>5280</v>
      </c>
      <c r="AB105" s="10">
        <v>0.65909090909090906</v>
      </c>
      <c r="AC105" s="11">
        <v>2.0425118088357879</v>
      </c>
      <c r="AD105" s="9">
        <v>5162.5367231638411</v>
      </c>
      <c r="AE105" s="8">
        <v>1.5384615384615385E-2</v>
      </c>
    </row>
    <row r="106" spans="1:31" x14ac:dyDescent="0.35">
      <c r="A106" s="6" t="s">
        <v>127</v>
      </c>
      <c r="B106" s="7">
        <v>4</v>
      </c>
      <c r="C106" s="7">
        <v>4</v>
      </c>
      <c r="D106" s="7">
        <v>5</v>
      </c>
      <c r="E106" s="7">
        <v>5</v>
      </c>
      <c r="F106">
        <v>381</v>
      </c>
      <c r="G106">
        <v>-7</v>
      </c>
      <c r="H106">
        <v>-1.88</v>
      </c>
      <c r="I106">
        <v>-23</v>
      </c>
      <c r="J106">
        <v>-6</v>
      </c>
      <c r="K106">
        <v>694</v>
      </c>
      <c r="L106">
        <v>661</v>
      </c>
      <c r="M106">
        <v>32</v>
      </c>
      <c r="N106">
        <v>-51.47</v>
      </c>
      <c r="O106">
        <v>-69.180000000000007</v>
      </c>
      <c r="P106">
        <v>0</v>
      </c>
      <c r="Q106">
        <v>3.35</v>
      </c>
      <c r="R106">
        <v>0.21</v>
      </c>
      <c r="S106">
        <v>-228</v>
      </c>
      <c r="T106">
        <v>242</v>
      </c>
      <c r="U106">
        <v>3788</v>
      </c>
      <c r="V106">
        <v>13</v>
      </c>
      <c r="W106">
        <v>45.09</v>
      </c>
      <c r="X106" s="10">
        <v>0.9015020395047505</v>
      </c>
      <c r="Y106" s="9">
        <v>1385</v>
      </c>
      <c r="Z106" s="9">
        <v>594</v>
      </c>
      <c r="AA106" s="9">
        <v>1345</v>
      </c>
      <c r="AB106" s="10">
        <v>0.94943109987357777</v>
      </c>
      <c r="AC106" s="11">
        <v>12.829452625729369</v>
      </c>
      <c r="AD106" s="9">
        <v>641.60169491525437</v>
      </c>
      <c r="AE106" s="8">
        <v>1.2268211920529801</v>
      </c>
    </row>
    <row r="107" spans="1:31" x14ac:dyDescent="0.35">
      <c r="A107" s="6" t="s">
        <v>128</v>
      </c>
      <c r="B107" s="7">
        <v>10</v>
      </c>
      <c r="C107" s="7">
        <v>5</v>
      </c>
      <c r="D107" s="7">
        <v>1</v>
      </c>
      <c r="E107" s="7">
        <v>2</v>
      </c>
      <c r="F107">
        <v>1484</v>
      </c>
      <c r="G107">
        <v>252</v>
      </c>
      <c r="H107">
        <v>16.989999999999998</v>
      </c>
      <c r="I107">
        <v>150</v>
      </c>
      <c r="J107">
        <v>10.09</v>
      </c>
      <c r="K107">
        <v>3121</v>
      </c>
      <c r="L107">
        <v>1884</v>
      </c>
      <c r="M107">
        <v>1237</v>
      </c>
      <c r="N107">
        <v>1224.21</v>
      </c>
      <c r="O107">
        <v>12.59</v>
      </c>
      <c r="P107">
        <v>17.940000000000001</v>
      </c>
      <c r="Q107">
        <v>2.29</v>
      </c>
      <c r="R107">
        <v>1.81</v>
      </c>
      <c r="S107">
        <v>811</v>
      </c>
      <c r="T107">
        <v>6356</v>
      </c>
      <c r="U107">
        <v>8041</v>
      </c>
      <c r="V107">
        <v>268</v>
      </c>
      <c r="W107">
        <v>13.18</v>
      </c>
      <c r="X107" s="10">
        <v>0.30948965372090836</v>
      </c>
      <c r="Y107" s="9">
        <v>17700</v>
      </c>
      <c r="Z107" s="9">
        <v>14350</v>
      </c>
      <c r="AA107" s="9">
        <v>16800</v>
      </c>
      <c r="AB107" s="10">
        <v>0.73134328358208955</v>
      </c>
      <c r="AC107" s="11">
        <v>28.548207835509857</v>
      </c>
      <c r="AD107" s="9">
        <v>14905.112994350284</v>
      </c>
      <c r="AE107" s="8">
        <v>0.17073170731707318</v>
      </c>
    </row>
    <row r="108" spans="1:31" x14ac:dyDescent="0.35">
      <c r="A108" s="6" t="s">
        <v>129</v>
      </c>
      <c r="B108" s="7">
        <v>11</v>
      </c>
      <c r="C108" s="7">
        <v>2</v>
      </c>
      <c r="D108" s="7">
        <v>5</v>
      </c>
      <c r="E108" s="7">
        <v>0</v>
      </c>
      <c r="F108">
        <v>2985</v>
      </c>
      <c r="G108">
        <v>245</v>
      </c>
      <c r="H108">
        <v>8.19</v>
      </c>
      <c r="I108">
        <v>244</v>
      </c>
      <c r="J108">
        <v>8.17</v>
      </c>
      <c r="K108">
        <v>2875</v>
      </c>
      <c r="L108">
        <v>1458</v>
      </c>
      <c r="M108">
        <v>1418</v>
      </c>
      <c r="N108">
        <v>1071.58</v>
      </c>
      <c r="O108">
        <v>17.07</v>
      </c>
      <c r="P108">
        <v>18.170000000000002</v>
      </c>
      <c r="Q108">
        <v>3.34</v>
      </c>
      <c r="R108">
        <v>1.48</v>
      </c>
      <c r="S108">
        <v>985</v>
      </c>
      <c r="T108">
        <v>5353</v>
      </c>
      <c r="U108">
        <v>12061</v>
      </c>
      <c r="V108">
        <v>258</v>
      </c>
      <c r="W108">
        <v>17.829999999999998</v>
      </c>
      <c r="X108" s="10">
        <v>7.5177931089111139E-2</v>
      </c>
      <c r="Y108" s="9">
        <v>27600</v>
      </c>
      <c r="Z108" s="9">
        <v>17700</v>
      </c>
      <c r="AA108" s="9">
        <v>21850</v>
      </c>
      <c r="AB108" s="10">
        <v>0.41919191919191917</v>
      </c>
      <c r="AC108" s="11">
        <v>34.023339816615724</v>
      </c>
      <c r="AD108" s="9">
        <v>22447.288135593219</v>
      </c>
      <c r="AE108" s="8">
        <v>0.2344632768361582</v>
      </c>
    </row>
    <row r="109" spans="1:31" x14ac:dyDescent="0.35">
      <c r="A109" s="6" t="s">
        <v>130</v>
      </c>
      <c r="B109" s="7">
        <v>6</v>
      </c>
      <c r="C109" s="7">
        <v>1</v>
      </c>
      <c r="D109" s="7">
        <v>3</v>
      </c>
      <c r="E109" s="7">
        <v>8</v>
      </c>
      <c r="F109">
        <v>1377</v>
      </c>
      <c r="G109">
        <v>65</v>
      </c>
      <c r="H109">
        <v>4.7300000000000004</v>
      </c>
      <c r="I109">
        <v>43</v>
      </c>
      <c r="J109">
        <v>3.15</v>
      </c>
      <c r="K109">
        <v>2703</v>
      </c>
      <c r="L109">
        <v>1189</v>
      </c>
      <c r="M109">
        <v>1514</v>
      </c>
      <c r="N109">
        <v>177.14</v>
      </c>
      <c r="O109">
        <v>3.74</v>
      </c>
      <c r="P109">
        <v>26.55</v>
      </c>
      <c r="Q109">
        <v>1.0900000000000001</v>
      </c>
      <c r="R109">
        <v>0.84</v>
      </c>
      <c r="S109">
        <v>565</v>
      </c>
      <c r="T109">
        <v>13795</v>
      </c>
      <c r="U109">
        <v>17931</v>
      </c>
      <c r="V109">
        <v>119</v>
      </c>
      <c r="W109">
        <v>20.65</v>
      </c>
      <c r="X109" s="10">
        <v>4.6222275684416531E-2</v>
      </c>
      <c r="Y109" s="9">
        <v>18650</v>
      </c>
      <c r="Z109" s="9">
        <v>16000</v>
      </c>
      <c r="AA109" s="9">
        <v>16900</v>
      </c>
      <c r="AB109" s="10">
        <v>0.33962264150943394</v>
      </c>
      <c r="AC109" s="11">
        <v>7.4562378438455124</v>
      </c>
      <c r="AD109" s="9">
        <v>17230.084745762713</v>
      </c>
      <c r="AE109" s="8">
        <v>1.8072289156626505E-2</v>
      </c>
    </row>
    <row r="110" spans="1:31" x14ac:dyDescent="0.35">
      <c r="A110" s="6" t="s">
        <v>131</v>
      </c>
      <c r="B110" s="7">
        <v>11</v>
      </c>
      <c r="C110" s="7">
        <v>5</v>
      </c>
      <c r="D110" s="7">
        <v>2</v>
      </c>
      <c r="E110" s="7">
        <v>0</v>
      </c>
      <c r="F110">
        <v>3709</v>
      </c>
      <c r="G110">
        <v>465</v>
      </c>
      <c r="H110">
        <v>12.53</v>
      </c>
      <c r="I110">
        <v>386</v>
      </c>
      <c r="J110">
        <v>10.39</v>
      </c>
      <c r="K110">
        <v>4004</v>
      </c>
      <c r="L110">
        <v>1249</v>
      </c>
      <c r="M110">
        <v>2756</v>
      </c>
      <c r="N110">
        <v>3436.93</v>
      </c>
      <c r="O110">
        <v>14.87</v>
      </c>
      <c r="P110">
        <v>16.89</v>
      </c>
      <c r="Q110">
        <v>2.4500000000000002</v>
      </c>
      <c r="R110">
        <v>1.76</v>
      </c>
      <c r="S110">
        <v>2484</v>
      </c>
      <c r="T110">
        <v>17088</v>
      </c>
      <c r="U110">
        <v>23900</v>
      </c>
      <c r="V110">
        <v>536</v>
      </c>
      <c r="W110">
        <v>12.52</v>
      </c>
      <c r="X110" s="10">
        <v>0.62113499153174745</v>
      </c>
      <c r="Y110" s="9">
        <v>36770</v>
      </c>
      <c r="Z110" s="9">
        <v>27798</v>
      </c>
      <c r="AA110" s="9">
        <v>28900</v>
      </c>
      <c r="AB110" s="10">
        <v>0.12282657155595185</v>
      </c>
      <c r="AC110" s="11">
        <v>-108.48719088635734</v>
      </c>
      <c r="AD110" s="9">
        <v>34859.692655367231</v>
      </c>
      <c r="AE110" s="8">
        <v>-0.10592748422224972</v>
      </c>
    </row>
    <row r="111" spans="1:31" x14ac:dyDescent="0.35">
      <c r="A111" s="6" t="s">
        <v>132</v>
      </c>
      <c r="B111" s="7">
        <v>0</v>
      </c>
      <c r="C111" s="7">
        <v>0</v>
      </c>
      <c r="D111" s="7">
        <v>0</v>
      </c>
      <c r="E111" s="7">
        <v>18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s="10">
        <v>0.70753737160632091</v>
      </c>
      <c r="Y111" s="9">
        <v>105950</v>
      </c>
      <c r="Z111" s="9">
        <v>104675</v>
      </c>
      <c r="AA111" s="9">
        <v>105915</v>
      </c>
      <c r="AB111" s="10">
        <v>0.97254901960784312</v>
      </c>
      <c r="AC111" s="11">
        <v>13.408446790775216</v>
      </c>
      <c r="AD111" s="9">
        <v>104978.04237288136</v>
      </c>
      <c r="AE111" s="8">
        <v>1.1846190589921184E-2</v>
      </c>
    </row>
    <row r="112" spans="1:31" x14ac:dyDescent="0.35">
      <c r="A112" s="6" t="s">
        <v>133</v>
      </c>
      <c r="B112" s="7">
        <v>0</v>
      </c>
      <c r="C112" s="7">
        <v>0</v>
      </c>
      <c r="D112" s="7">
        <v>0</v>
      </c>
      <c r="E112" s="7">
        <v>18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 s="10">
        <v>0.99045817439267547</v>
      </c>
      <c r="Y112" s="9">
        <v>100645</v>
      </c>
      <c r="Z112" s="9">
        <v>100115</v>
      </c>
      <c r="AA112" s="9">
        <v>100645</v>
      </c>
      <c r="AB112" s="10">
        <v>1</v>
      </c>
      <c r="AC112" s="11">
        <v>8.7663239788830225</v>
      </c>
      <c r="AD112" s="9">
        <v>100109.62711864407</v>
      </c>
      <c r="AE112" s="8">
        <v>5.2939120011986215E-3</v>
      </c>
    </row>
    <row r="113" spans="1:31" x14ac:dyDescent="0.35">
      <c r="A113" s="6" t="s">
        <v>134</v>
      </c>
      <c r="B113" s="7">
        <v>0</v>
      </c>
      <c r="C113" s="7">
        <v>0</v>
      </c>
      <c r="D113" s="7">
        <v>0</v>
      </c>
      <c r="E113" s="7">
        <v>18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 s="10">
        <v>0.7860754401696759</v>
      </c>
      <c r="Y113" s="9">
        <v>4415</v>
      </c>
      <c r="Z113" s="9">
        <v>3810</v>
      </c>
      <c r="AA113" s="9">
        <v>4315</v>
      </c>
      <c r="AB113" s="10">
        <v>0.83471074380165289</v>
      </c>
      <c r="AC113" s="11">
        <v>7.2543762156154497</v>
      </c>
      <c r="AD113" s="9">
        <v>3917.824858757062</v>
      </c>
      <c r="AE113" s="8">
        <v>6.8069306930693074E-2</v>
      </c>
    </row>
    <row r="114" spans="1:31" x14ac:dyDescent="0.35">
      <c r="A114" s="6" t="s">
        <v>135</v>
      </c>
      <c r="B114" s="7">
        <v>0</v>
      </c>
      <c r="C114" s="7">
        <v>0</v>
      </c>
      <c r="D114" s="7">
        <v>0</v>
      </c>
      <c r="E114" s="7">
        <v>18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s="10">
        <v>0.92359736737193254</v>
      </c>
      <c r="Y114" s="9">
        <v>30020</v>
      </c>
      <c r="Z114" s="9">
        <v>27020</v>
      </c>
      <c r="AA114" s="9">
        <v>30010</v>
      </c>
      <c r="AB114" s="10">
        <v>0.9966666666666667</v>
      </c>
      <c r="AC114" s="11">
        <v>47.362739649902743</v>
      </c>
      <c r="AD114" s="9">
        <v>27222.853107344636</v>
      </c>
      <c r="AE114" s="8">
        <v>0.10189094914631908</v>
      </c>
    </row>
    <row r="115" spans="1:31" x14ac:dyDescent="0.35">
      <c r="A115" s="6" t="s">
        <v>136</v>
      </c>
      <c r="B115" s="7">
        <v>0</v>
      </c>
      <c r="C115" s="7">
        <v>0</v>
      </c>
      <c r="D115" s="7">
        <v>0</v>
      </c>
      <c r="E115" s="7">
        <v>18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 s="10">
        <v>0.77416922913532071</v>
      </c>
      <c r="Y115" s="9">
        <v>6080</v>
      </c>
      <c r="Z115" s="9">
        <v>5685</v>
      </c>
      <c r="AA115" s="9">
        <v>5995</v>
      </c>
      <c r="AB115" s="10">
        <v>0.78481012658227844</v>
      </c>
      <c r="AC115" s="11">
        <v>5.3591275354265075</v>
      </c>
      <c r="AD115" s="9">
        <v>5750.2966101694919</v>
      </c>
      <c r="AE115" s="8">
        <v>2.0425531914893616E-2</v>
      </c>
    </row>
    <row r="116" spans="1:31" x14ac:dyDescent="0.35">
      <c r="A116" s="6" t="s">
        <v>137</v>
      </c>
      <c r="B116" s="7">
        <v>0</v>
      </c>
      <c r="C116" s="7">
        <v>0</v>
      </c>
      <c r="D116" s="7">
        <v>0</v>
      </c>
      <c r="E116" s="7">
        <v>18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 s="10">
        <v>0.71981092982946082</v>
      </c>
      <c r="Y116" s="9">
        <v>11150</v>
      </c>
      <c r="Z116" s="9">
        <v>9825</v>
      </c>
      <c r="AA116" s="9">
        <v>11050</v>
      </c>
      <c r="AB116" s="10">
        <v>0.92452830188679247</v>
      </c>
      <c r="AC116" s="11">
        <v>17.603362045012503</v>
      </c>
      <c r="AD116" s="9">
        <v>10072.347457627118</v>
      </c>
      <c r="AE116" s="8">
        <v>5.5396370582617004E-2</v>
      </c>
    </row>
    <row r="117" spans="1:31" x14ac:dyDescent="0.35">
      <c r="A117" s="6" t="s">
        <v>138</v>
      </c>
      <c r="B117" s="7">
        <v>0</v>
      </c>
      <c r="C117" s="7">
        <v>0</v>
      </c>
      <c r="D117" s="7">
        <v>0</v>
      </c>
      <c r="E117" s="7">
        <v>18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s="10">
        <v>0.65173026732338446</v>
      </c>
      <c r="Y117" s="9">
        <v>8470</v>
      </c>
      <c r="Z117" s="9">
        <v>7685</v>
      </c>
      <c r="AA117" s="9">
        <v>8345</v>
      </c>
      <c r="AB117" s="10">
        <v>0.84076433121019112</v>
      </c>
      <c r="AC117" s="11">
        <v>9.2800777993887191</v>
      </c>
      <c r="AD117" s="9">
        <v>7873.4576271186443</v>
      </c>
      <c r="AE117" s="8">
        <v>2.7076923076923078E-2</v>
      </c>
    </row>
    <row r="118" spans="1:31" x14ac:dyDescent="0.35">
      <c r="A118" s="6" t="s">
        <v>139</v>
      </c>
      <c r="B118" s="7">
        <v>0</v>
      </c>
      <c r="C118" s="7">
        <v>0</v>
      </c>
      <c r="D118" s="7">
        <v>0</v>
      </c>
      <c r="E118" s="7">
        <v>18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 s="10">
        <v>0.3181669483439124</v>
      </c>
      <c r="Y118" s="9">
        <v>6025</v>
      </c>
      <c r="Z118" s="9">
        <v>5685</v>
      </c>
      <c r="AA118" s="9">
        <v>5850</v>
      </c>
      <c r="AB118" s="10">
        <v>0.48529411764705882</v>
      </c>
      <c r="AC118" s="11">
        <v>2.7420116699083077</v>
      </c>
      <c r="AD118" s="9">
        <v>5745.6186440677966</v>
      </c>
      <c r="AE118" s="8">
        <v>3.4305317324185248E-3</v>
      </c>
    </row>
    <row r="119" spans="1:31" x14ac:dyDescent="0.35">
      <c r="A119" s="6" t="s">
        <v>140</v>
      </c>
      <c r="B119" s="7">
        <v>0</v>
      </c>
      <c r="C119" s="7">
        <v>0</v>
      </c>
      <c r="D119" s="7">
        <v>0</v>
      </c>
      <c r="E119" s="7">
        <v>18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s="10">
        <v>0.7712299102582385</v>
      </c>
      <c r="Y119" s="9">
        <v>9940</v>
      </c>
      <c r="Z119" s="9">
        <v>9240</v>
      </c>
      <c r="AA119" s="9">
        <v>9355</v>
      </c>
      <c r="AB119" s="10">
        <v>0.16428571428571428</v>
      </c>
      <c r="AC119" s="11">
        <v>-8.2340928035565426</v>
      </c>
      <c r="AD119" s="9">
        <v>9793.7231638418089</v>
      </c>
      <c r="AE119" s="8">
        <v>-3.2074495602690122E-2</v>
      </c>
    </row>
    <row r="120" spans="1:31" x14ac:dyDescent="0.35">
      <c r="A120" s="6" t="s">
        <v>141</v>
      </c>
      <c r="B120" s="7">
        <v>0</v>
      </c>
      <c r="C120" s="7">
        <v>0</v>
      </c>
      <c r="D120" s="7">
        <v>0</v>
      </c>
      <c r="E120" s="7">
        <v>18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 s="10">
        <v>0.87906960471201445</v>
      </c>
      <c r="Y120" s="9">
        <v>16290</v>
      </c>
      <c r="Z120" s="9">
        <v>11915</v>
      </c>
      <c r="AA120" s="9">
        <v>15710</v>
      </c>
      <c r="AB120" s="10">
        <v>0.86742857142857144</v>
      </c>
      <c r="AC120" s="11">
        <v>76.440122256182292</v>
      </c>
      <c r="AD120" s="9">
        <v>11494.409604519773</v>
      </c>
      <c r="AE120" s="8">
        <v>0.19558599695585996</v>
      </c>
    </row>
    <row r="121" spans="1:31" x14ac:dyDescent="0.35">
      <c r="A121" s="6" t="s">
        <v>142</v>
      </c>
      <c r="B121" s="7">
        <v>0</v>
      </c>
      <c r="C121" s="7">
        <v>0</v>
      </c>
      <c r="D121" s="7">
        <v>0</v>
      </c>
      <c r="E121" s="7">
        <v>18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 s="10">
        <v>0.35237210103120803</v>
      </c>
      <c r="Y121" s="9">
        <v>21180</v>
      </c>
      <c r="Z121" s="9">
        <v>17235</v>
      </c>
      <c r="AA121" s="9">
        <v>20935</v>
      </c>
      <c r="AB121" s="10">
        <v>0.93789607097591887</v>
      </c>
      <c r="AC121" s="11">
        <v>33.730063906640737</v>
      </c>
      <c r="AD121" s="9">
        <v>17786.983050847459</v>
      </c>
      <c r="AE121" s="8">
        <v>0.14649507119386637</v>
      </c>
    </row>
    <row r="122" spans="1:31" x14ac:dyDescent="0.35">
      <c r="A122" s="6" t="s">
        <v>143</v>
      </c>
      <c r="B122" s="7">
        <v>0</v>
      </c>
      <c r="C122" s="7">
        <v>0</v>
      </c>
      <c r="D122" s="7">
        <v>0</v>
      </c>
      <c r="E122" s="7">
        <v>18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 s="10">
        <v>0.89973682142167744</v>
      </c>
      <c r="Y122" s="9">
        <v>13165</v>
      </c>
      <c r="Z122" s="9">
        <v>11135</v>
      </c>
      <c r="AA122" s="9">
        <v>12825</v>
      </c>
      <c r="AB122" s="10">
        <v>0.83251231527093594</v>
      </c>
      <c r="AC122" s="11">
        <v>30.615170880800228</v>
      </c>
      <c r="AD122" s="9">
        <v>11291.403954802259</v>
      </c>
      <c r="AE122" s="8">
        <v>0.1517736865738662</v>
      </c>
    </row>
    <row r="123" spans="1:31" x14ac:dyDescent="0.35">
      <c r="A123" s="6" t="s">
        <v>144</v>
      </c>
      <c r="B123" s="7">
        <v>0</v>
      </c>
      <c r="C123" s="7">
        <v>0</v>
      </c>
      <c r="D123" s="7">
        <v>0</v>
      </c>
      <c r="E123" s="7">
        <v>18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s="10">
        <v>2.1998421846864052E-2</v>
      </c>
      <c r="Y123" s="9">
        <v>64465</v>
      </c>
      <c r="Z123" s="9">
        <v>59265</v>
      </c>
      <c r="AA123" s="9">
        <v>61615</v>
      </c>
      <c r="AB123" s="10">
        <v>0.45192307692307693</v>
      </c>
      <c r="AC123" s="11">
        <v>-11.313837176993609</v>
      </c>
      <c r="AD123" s="9">
        <v>62350.155367231644</v>
      </c>
      <c r="AE123" s="8">
        <v>2.4185505319148936E-2</v>
      </c>
    </row>
    <row r="124" spans="1:31" x14ac:dyDescent="0.35">
      <c r="A124" s="6" t="s">
        <v>145</v>
      </c>
      <c r="B124" s="7">
        <v>0</v>
      </c>
      <c r="C124" s="7">
        <v>0</v>
      </c>
      <c r="D124" s="7">
        <v>0</v>
      </c>
      <c r="E124" s="7">
        <v>18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s="10">
        <v>0.60805421961364614</v>
      </c>
      <c r="Y124" s="9">
        <v>105830</v>
      </c>
      <c r="Z124" s="9">
        <v>102095</v>
      </c>
      <c r="AA124" s="9">
        <v>104550</v>
      </c>
      <c r="AB124" s="10">
        <v>0.65729585006693436</v>
      </c>
      <c r="AC124" s="11">
        <v>48.718255070853012</v>
      </c>
      <c r="AD124" s="9">
        <v>102476.42655367231</v>
      </c>
      <c r="AE124" s="8">
        <v>1.8956191218751525E-2</v>
      </c>
    </row>
    <row r="125" spans="1:31" x14ac:dyDescent="0.35">
      <c r="A125" s="6" t="s">
        <v>146</v>
      </c>
      <c r="B125" s="7">
        <v>0</v>
      </c>
      <c r="C125" s="7">
        <v>0</v>
      </c>
      <c r="D125" s="7">
        <v>0</v>
      </c>
      <c r="E125" s="7">
        <v>18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 s="10">
        <v>0.89997995817852583</v>
      </c>
      <c r="Y125" s="9">
        <v>9555</v>
      </c>
      <c r="Z125" s="9">
        <v>8090</v>
      </c>
      <c r="AA125" s="9">
        <v>8230</v>
      </c>
      <c r="AB125" s="10">
        <v>9.556313993174062E-2</v>
      </c>
      <c r="AC125" s="11">
        <v>-25.896637954987497</v>
      </c>
      <c r="AD125" s="9">
        <v>9658.8474576271183</v>
      </c>
      <c r="AE125" s="8">
        <v>-9.808219178082192E-2</v>
      </c>
    </row>
    <row r="126" spans="1:31" x14ac:dyDescent="0.35">
      <c r="A126" s="6" t="s">
        <v>147</v>
      </c>
      <c r="B126" s="7">
        <v>0</v>
      </c>
      <c r="C126" s="7">
        <v>0</v>
      </c>
      <c r="D126" s="7">
        <v>0</v>
      </c>
      <c r="E126" s="7">
        <v>18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 s="10">
        <v>0.79198860027077889</v>
      </c>
      <c r="Y126" s="9">
        <v>26320</v>
      </c>
      <c r="Z126" s="9">
        <v>24345</v>
      </c>
      <c r="AA126" s="9">
        <v>25965</v>
      </c>
      <c r="AB126" s="10">
        <v>0.82025316455696207</v>
      </c>
      <c r="AC126" s="11">
        <v>23.340094470686306</v>
      </c>
      <c r="AD126" s="9">
        <v>24737.9604519774</v>
      </c>
      <c r="AE126" s="8">
        <v>3.5700039888312725E-2</v>
      </c>
    </row>
    <row r="127" spans="1:31" x14ac:dyDescent="0.35">
      <c r="A127" s="6" t="s">
        <v>148</v>
      </c>
      <c r="B127" s="7">
        <v>5</v>
      </c>
      <c r="C127" s="7">
        <v>5</v>
      </c>
      <c r="D127" s="7">
        <v>8</v>
      </c>
      <c r="E127" s="7">
        <v>0</v>
      </c>
      <c r="F127">
        <v>135</v>
      </c>
      <c r="G127">
        <v>80</v>
      </c>
      <c r="H127">
        <v>58.71</v>
      </c>
      <c r="I127">
        <v>95</v>
      </c>
      <c r="J127">
        <v>69.97</v>
      </c>
      <c r="K127">
        <v>5131</v>
      </c>
      <c r="L127">
        <v>98</v>
      </c>
      <c r="M127">
        <v>5033</v>
      </c>
      <c r="N127">
        <v>2640.41</v>
      </c>
      <c r="O127">
        <v>1.88</v>
      </c>
      <c r="P127">
        <v>15.88</v>
      </c>
      <c r="Q127">
        <v>0.36</v>
      </c>
      <c r="R127">
        <v>11.11</v>
      </c>
      <c r="S127">
        <v>3098</v>
      </c>
      <c r="T127">
        <v>135795</v>
      </c>
      <c r="U127">
        <v>4428</v>
      </c>
      <c r="V127">
        <v>80</v>
      </c>
      <c r="W127">
        <v>22.85</v>
      </c>
      <c r="X127" s="10">
        <v>0.50930619852373482</v>
      </c>
      <c r="Y127" s="9">
        <v>52800</v>
      </c>
      <c r="Z127" s="9">
        <v>45850</v>
      </c>
      <c r="AA127" s="9">
        <v>51600</v>
      </c>
      <c r="AB127" s="10">
        <v>0.82733812949640284</v>
      </c>
      <c r="AC127" s="11">
        <v>85.716865796054478</v>
      </c>
      <c r="AD127" s="9">
        <v>46479.802259887001</v>
      </c>
      <c r="AE127" s="8">
        <v>6.6115702479338845E-2</v>
      </c>
    </row>
    <row r="128" spans="1:31" x14ac:dyDescent="0.35">
      <c r="A128" s="6" t="s">
        <v>149</v>
      </c>
      <c r="B128" s="7">
        <v>4</v>
      </c>
      <c r="C128" s="7">
        <v>4</v>
      </c>
      <c r="D128" s="7">
        <v>9</v>
      </c>
      <c r="E128" s="7">
        <v>1</v>
      </c>
      <c r="F128">
        <v>895</v>
      </c>
      <c r="G128">
        <v>55</v>
      </c>
      <c r="H128">
        <v>6.19</v>
      </c>
      <c r="I128">
        <v>62</v>
      </c>
      <c r="J128">
        <v>6.96</v>
      </c>
      <c r="K128">
        <v>762</v>
      </c>
      <c r="L128">
        <v>275</v>
      </c>
      <c r="M128">
        <v>487</v>
      </c>
      <c r="N128">
        <v>402.73</v>
      </c>
      <c r="O128">
        <v>14.44</v>
      </c>
      <c r="P128">
        <v>6.11</v>
      </c>
      <c r="Q128">
        <v>0.86</v>
      </c>
      <c r="R128">
        <v>0.42</v>
      </c>
      <c r="S128">
        <v>348</v>
      </c>
      <c r="T128">
        <v>2474</v>
      </c>
      <c r="U128">
        <v>5006</v>
      </c>
      <c r="V128">
        <v>66</v>
      </c>
      <c r="W128">
        <v>7.64</v>
      </c>
      <c r="X128" s="10">
        <v>0.90217258286602309</v>
      </c>
      <c r="Y128" s="9">
        <v>3255</v>
      </c>
      <c r="Z128" s="9">
        <v>2080</v>
      </c>
      <c r="AA128" s="9">
        <v>2935</v>
      </c>
      <c r="AB128" s="10">
        <v>0.72765957446808516</v>
      </c>
      <c r="AC128" s="11">
        <v>18.596137816060015</v>
      </c>
      <c r="AD128" s="9">
        <v>2046.7344632768361</v>
      </c>
      <c r="AE128" s="8">
        <v>0.41105769230769229</v>
      </c>
    </row>
    <row r="129" spans="1:31" x14ac:dyDescent="0.35">
      <c r="A129" s="6" t="s">
        <v>150</v>
      </c>
      <c r="B129" s="7">
        <v>6</v>
      </c>
      <c r="C129" s="7">
        <v>1</v>
      </c>
      <c r="D129" s="7">
        <v>4</v>
      </c>
      <c r="E129" s="7">
        <v>7</v>
      </c>
      <c r="F129">
        <v>209</v>
      </c>
      <c r="G129">
        <v>29</v>
      </c>
      <c r="H129">
        <v>13.99</v>
      </c>
      <c r="I129">
        <v>24</v>
      </c>
      <c r="J129">
        <v>11.57</v>
      </c>
      <c r="K129">
        <v>978</v>
      </c>
      <c r="L129">
        <v>188</v>
      </c>
      <c r="M129">
        <v>789</v>
      </c>
      <c r="N129">
        <v>1135.9100000000001</v>
      </c>
      <c r="O129">
        <v>4.1500000000000004</v>
      </c>
      <c r="P129">
        <v>35.71</v>
      </c>
      <c r="Q129">
        <v>1.6</v>
      </c>
      <c r="R129">
        <v>4.12</v>
      </c>
      <c r="S129">
        <v>252</v>
      </c>
      <c r="T129">
        <v>5608</v>
      </c>
      <c r="U129">
        <v>2184</v>
      </c>
      <c r="V129">
        <v>82</v>
      </c>
      <c r="W129">
        <v>14.03</v>
      </c>
      <c r="X129" s="10">
        <v>4.9089422181445679E-2</v>
      </c>
      <c r="Y129" s="9">
        <v>10550</v>
      </c>
      <c r="Z129" s="9">
        <v>9320</v>
      </c>
      <c r="AA129" s="9">
        <v>9740</v>
      </c>
      <c r="AB129" s="10">
        <v>0.34146341463414637</v>
      </c>
      <c r="AC129" s="11">
        <v>-3.6724090025006948</v>
      </c>
      <c r="AD129" s="9">
        <v>9971.1751412429367</v>
      </c>
      <c r="AE129" s="8">
        <v>2.7426160337552744E-2</v>
      </c>
    </row>
    <row r="130" spans="1:31" x14ac:dyDescent="0.35">
      <c r="A130" s="6" t="s">
        <v>151</v>
      </c>
      <c r="B130" s="7">
        <v>6</v>
      </c>
      <c r="C130" s="7">
        <v>4</v>
      </c>
      <c r="D130" s="7">
        <v>2</v>
      </c>
      <c r="E130" s="7">
        <v>6</v>
      </c>
      <c r="F130">
        <v>579</v>
      </c>
      <c r="G130">
        <v>75</v>
      </c>
      <c r="H130">
        <v>13</v>
      </c>
      <c r="I130">
        <v>57</v>
      </c>
      <c r="J130">
        <v>9.89</v>
      </c>
      <c r="K130">
        <v>1831</v>
      </c>
      <c r="L130">
        <v>120</v>
      </c>
      <c r="M130">
        <v>1711</v>
      </c>
      <c r="N130">
        <v>158.46</v>
      </c>
      <c r="O130">
        <v>3.38</v>
      </c>
      <c r="P130">
        <v>16.739999999999998</v>
      </c>
      <c r="Q130">
        <v>0.56000000000000005</v>
      </c>
      <c r="R130">
        <v>1.66</v>
      </c>
      <c r="S130">
        <v>433</v>
      </c>
      <c r="T130">
        <v>12850</v>
      </c>
      <c r="U130">
        <v>4375</v>
      </c>
      <c r="V130">
        <v>121</v>
      </c>
      <c r="W130">
        <v>7.92</v>
      </c>
      <c r="X130" s="10">
        <v>0.49664181303001714</v>
      </c>
      <c r="Y130" s="9">
        <v>7680</v>
      </c>
      <c r="Z130" s="9">
        <v>7150</v>
      </c>
      <c r="AA130" s="9">
        <v>7570</v>
      </c>
      <c r="AB130" s="10">
        <v>0.79245283018867929</v>
      </c>
      <c r="AC130" s="11">
        <v>5.3692692414559602</v>
      </c>
      <c r="AD130" s="9">
        <v>7258.9039548022602</v>
      </c>
      <c r="AE130" s="8">
        <v>2.7137042062415198E-2</v>
      </c>
    </row>
    <row r="131" spans="1:31" x14ac:dyDescent="0.35">
      <c r="A131" s="6" t="s">
        <v>152</v>
      </c>
      <c r="B131" s="7">
        <v>0</v>
      </c>
      <c r="C131" s="7">
        <v>0</v>
      </c>
      <c r="D131" s="7">
        <v>0</v>
      </c>
      <c r="E131" s="7">
        <v>18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 s="10">
        <v>0.56753874141945126</v>
      </c>
      <c r="Y131" s="9">
        <v>63380</v>
      </c>
      <c r="Z131" s="9">
        <v>60710</v>
      </c>
      <c r="AA131" s="9">
        <v>63260</v>
      </c>
      <c r="AB131" s="10">
        <v>0.9550561797752809</v>
      </c>
      <c r="AC131" s="11">
        <v>27.935676576826896</v>
      </c>
      <c r="AD131" s="9">
        <v>61425.545197740117</v>
      </c>
      <c r="AE131" s="8">
        <v>3.9264005257105307E-2</v>
      </c>
    </row>
    <row r="132" spans="1:31" x14ac:dyDescent="0.35">
      <c r="A132" s="6" t="s">
        <v>153</v>
      </c>
      <c r="B132" s="7">
        <v>0</v>
      </c>
      <c r="C132" s="7">
        <v>0</v>
      </c>
      <c r="D132" s="7">
        <v>0</v>
      </c>
      <c r="E132" s="7">
        <v>18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s="10">
        <v>0.80309521266080053</v>
      </c>
      <c r="Y132" s="9">
        <v>26175</v>
      </c>
      <c r="Z132" s="9">
        <v>24240</v>
      </c>
      <c r="AA132" s="9">
        <v>25860</v>
      </c>
      <c r="AB132" s="10">
        <v>0.83720930232558144</v>
      </c>
      <c r="AC132" s="11">
        <v>23.752014448457903</v>
      </c>
      <c r="AD132" s="9">
        <v>24595.4802259887</v>
      </c>
      <c r="AE132" s="8">
        <v>3.8137294259333598E-2</v>
      </c>
    </row>
    <row r="133" spans="1:31" x14ac:dyDescent="0.35">
      <c r="A133" s="6" t="s">
        <v>154</v>
      </c>
      <c r="B133" s="7">
        <v>0</v>
      </c>
      <c r="C133" s="7">
        <v>0</v>
      </c>
      <c r="D133" s="7">
        <v>0</v>
      </c>
      <c r="E133" s="7">
        <v>18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s="10">
        <v>5.9531871140781636E-2</v>
      </c>
      <c r="Y133" s="9">
        <v>20065</v>
      </c>
      <c r="Z133" s="9">
        <v>18270</v>
      </c>
      <c r="AA133" s="9">
        <v>19320</v>
      </c>
      <c r="AB133" s="10">
        <v>0.58495821727019504</v>
      </c>
      <c r="AC133" s="11">
        <v>4.8198110586273968</v>
      </c>
      <c r="AD133" s="9">
        <v>19125.579096045196</v>
      </c>
      <c r="AE133" s="8">
        <v>3.1152647975077881E-3</v>
      </c>
    </row>
    <row r="134" spans="1:31" x14ac:dyDescent="0.35">
      <c r="A134" s="6" t="s">
        <v>155</v>
      </c>
      <c r="B134" s="7">
        <v>0</v>
      </c>
      <c r="C134" s="7">
        <v>0</v>
      </c>
      <c r="D134" s="7">
        <v>0</v>
      </c>
      <c r="E134" s="7">
        <v>18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s="10">
        <v>0.12097172014632615</v>
      </c>
      <c r="Y134" s="9">
        <v>12240</v>
      </c>
      <c r="Z134" s="9">
        <v>10455</v>
      </c>
      <c r="AA134" s="9">
        <v>11210</v>
      </c>
      <c r="AB134" s="10">
        <v>0.42296918767507002</v>
      </c>
      <c r="AC134" s="11">
        <v>-8.5409836065573774</v>
      </c>
      <c r="AD134" s="9">
        <v>11595.5</v>
      </c>
      <c r="AE134" s="8">
        <v>-3.7768240343347637E-2</v>
      </c>
    </row>
    <row r="135" spans="1:31" x14ac:dyDescent="0.35">
      <c r="A135" s="6" t="s">
        <v>156</v>
      </c>
      <c r="B135" s="7">
        <v>0</v>
      </c>
      <c r="C135" s="7">
        <v>0</v>
      </c>
      <c r="D135" s="7">
        <v>0</v>
      </c>
      <c r="E135" s="7">
        <v>18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 s="10">
        <v>0.90627376683956185</v>
      </c>
      <c r="Y135" s="9">
        <v>10820</v>
      </c>
      <c r="Z135" s="9">
        <v>9085</v>
      </c>
      <c r="AA135" s="9">
        <v>10550</v>
      </c>
      <c r="AB135" s="10">
        <v>0.8443804034582133</v>
      </c>
      <c r="AC135" s="11">
        <v>28.967074187274243</v>
      </c>
      <c r="AD135" s="9">
        <v>8966.4209039548023</v>
      </c>
      <c r="AE135" s="8">
        <v>0.1169931180518793</v>
      </c>
    </row>
    <row r="136" spans="1:31" x14ac:dyDescent="0.35">
      <c r="A136" s="6" t="s">
        <v>157</v>
      </c>
      <c r="B136" s="7">
        <v>0</v>
      </c>
      <c r="C136" s="7">
        <v>0</v>
      </c>
      <c r="D136" s="7">
        <v>0</v>
      </c>
      <c r="E136" s="7">
        <v>18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s="10">
        <v>0.80026059588822751</v>
      </c>
      <c r="Y136" s="9">
        <v>11445</v>
      </c>
      <c r="Z136" s="9">
        <v>10635</v>
      </c>
      <c r="AA136" s="9">
        <v>11275</v>
      </c>
      <c r="AB136" s="10">
        <v>0.79012345679012341</v>
      </c>
      <c r="AC136" s="11">
        <v>10.617393720477912</v>
      </c>
      <c r="AD136" s="9">
        <v>10726.836158192089</v>
      </c>
      <c r="AE136" s="8">
        <v>3.4878384580082605E-2</v>
      </c>
    </row>
    <row r="137" spans="1:31" x14ac:dyDescent="0.35">
      <c r="A137" s="6" t="s">
        <v>158</v>
      </c>
      <c r="B137" s="7">
        <v>0</v>
      </c>
      <c r="C137" s="7">
        <v>0</v>
      </c>
      <c r="D137" s="7">
        <v>0</v>
      </c>
      <c r="E137" s="7">
        <v>18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s="10">
        <v>0.83968296927920572</v>
      </c>
      <c r="Y137" s="9">
        <v>3635</v>
      </c>
      <c r="Z137" s="9">
        <v>2675</v>
      </c>
      <c r="AA137" s="9">
        <v>3475</v>
      </c>
      <c r="AB137" s="10">
        <v>0.83333333333333337</v>
      </c>
      <c r="AC137" s="11">
        <v>16.08613503751042</v>
      </c>
      <c r="AD137" s="9">
        <v>2658.3728813559323</v>
      </c>
      <c r="AE137" s="8">
        <v>0.18803418803418803</v>
      </c>
    </row>
    <row r="138" spans="1:31" x14ac:dyDescent="0.35">
      <c r="A138" s="6" t="s">
        <v>159</v>
      </c>
      <c r="B138" s="7">
        <v>0</v>
      </c>
      <c r="C138" s="7">
        <v>0</v>
      </c>
      <c r="D138" s="7">
        <v>0</v>
      </c>
      <c r="E138" s="7">
        <v>18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 s="10">
        <v>0.26981979967831415</v>
      </c>
      <c r="Y138" s="9">
        <v>10105</v>
      </c>
      <c r="Z138" s="9">
        <v>8915</v>
      </c>
      <c r="AA138" s="9">
        <v>9290</v>
      </c>
      <c r="AB138" s="10">
        <v>0.31512605042016806</v>
      </c>
      <c r="AC138" s="11">
        <v>-9.7539594331758828</v>
      </c>
      <c r="AD138" s="9">
        <v>9777.7457627118638</v>
      </c>
      <c r="AE138" s="8">
        <v>2.1574973031283709E-3</v>
      </c>
    </row>
    <row r="139" spans="1:31" x14ac:dyDescent="0.35">
      <c r="A139" s="6" t="s">
        <v>160</v>
      </c>
      <c r="B139" s="7">
        <v>0</v>
      </c>
      <c r="C139" s="7">
        <v>0</v>
      </c>
      <c r="D139" s="7">
        <v>0</v>
      </c>
      <c r="E139" s="7">
        <v>18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 s="10">
        <v>2.4673963132913008E-4</v>
      </c>
      <c r="Y139" s="9">
        <v>6445</v>
      </c>
      <c r="Z139" s="9">
        <v>5600</v>
      </c>
      <c r="AA139" s="9">
        <v>6285</v>
      </c>
      <c r="AB139" s="10">
        <v>0.81065088757396453</v>
      </c>
      <c r="AC139" s="11">
        <v>-0.19922200611280963</v>
      </c>
      <c r="AD139" s="9">
        <v>5997.4096045197739</v>
      </c>
      <c r="AE139" s="8">
        <v>-2.482544608223429E-2</v>
      </c>
    </row>
    <row r="140" spans="1:31" x14ac:dyDescent="0.35">
      <c r="A140" s="6" t="s">
        <v>161</v>
      </c>
      <c r="B140" s="7">
        <v>0</v>
      </c>
      <c r="C140" s="7">
        <v>0</v>
      </c>
      <c r="D140" s="7">
        <v>0</v>
      </c>
      <c r="E140" s="7">
        <v>18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 s="10">
        <v>0.73854011480585369</v>
      </c>
      <c r="Y140" s="9">
        <v>55630</v>
      </c>
      <c r="Z140" s="9">
        <v>55005</v>
      </c>
      <c r="AA140" s="9">
        <v>55610</v>
      </c>
      <c r="AB140" s="10">
        <v>0.96799999999999997</v>
      </c>
      <c r="AC140" s="11">
        <v>7.6700472353431506</v>
      </c>
      <c r="AD140" s="9">
        <v>55130.813559322036</v>
      </c>
      <c r="AE140" s="8">
        <v>1.0999000090900827E-2</v>
      </c>
    </row>
    <row r="141" spans="1:31" x14ac:dyDescent="0.35">
      <c r="A141" s="6" t="s">
        <v>162</v>
      </c>
      <c r="B141" s="7">
        <v>0</v>
      </c>
      <c r="C141" s="7">
        <v>0</v>
      </c>
      <c r="D141" s="7">
        <v>0</v>
      </c>
      <c r="E141" s="7">
        <v>18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s="10">
        <v>0.98146585026886934</v>
      </c>
      <c r="Y141" s="9">
        <v>100625</v>
      </c>
      <c r="Z141" s="9">
        <v>100015</v>
      </c>
      <c r="AA141" s="9">
        <v>100625</v>
      </c>
      <c r="AB141" s="10">
        <v>1</v>
      </c>
      <c r="AC141" s="11">
        <v>9.6062795220894692</v>
      </c>
      <c r="AD141" s="9">
        <v>100031.8418079096</v>
      </c>
      <c r="AE141" s="8">
        <v>6.0990851372294159E-3</v>
      </c>
    </row>
    <row r="142" spans="1:31" x14ac:dyDescent="0.35">
      <c r="A142" s="6" t="s">
        <v>163</v>
      </c>
      <c r="B142" s="7">
        <v>0</v>
      </c>
      <c r="C142" s="7">
        <v>0</v>
      </c>
      <c r="D142" s="7">
        <v>0</v>
      </c>
      <c r="E142" s="7">
        <v>18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s="10">
        <v>0.96639156600897613</v>
      </c>
      <c r="Y142" s="9">
        <v>100290</v>
      </c>
      <c r="Z142" s="9">
        <v>100020</v>
      </c>
      <c r="AA142" s="9">
        <v>100290</v>
      </c>
      <c r="AB142" s="10">
        <v>1</v>
      </c>
      <c r="AC142" s="11">
        <v>15.649122807017545</v>
      </c>
      <c r="AD142" s="9">
        <v>99376.368421052626</v>
      </c>
      <c r="AE142" s="8">
        <v>0</v>
      </c>
    </row>
    <row r="143" spans="1:31" x14ac:dyDescent="0.35">
      <c r="A143" s="6" t="s">
        <v>164</v>
      </c>
      <c r="B143" s="7">
        <v>0</v>
      </c>
      <c r="C143" s="7">
        <v>0</v>
      </c>
      <c r="D143" s="7">
        <v>0</v>
      </c>
      <c r="E143" s="7">
        <v>18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 s="10">
        <v>0.78157783958108851</v>
      </c>
      <c r="Y143" s="9">
        <v>11560</v>
      </c>
      <c r="Z143" s="9">
        <v>9980</v>
      </c>
      <c r="AA143" s="9">
        <v>11265</v>
      </c>
      <c r="AB143" s="10">
        <v>0.81329113924050633</v>
      </c>
      <c r="AC143" s="11">
        <v>19.106557377049182</v>
      </c>
      <c r="AD143" s="9">
        <v>10266</v>
      </c>
      <c r="AE143" s="8">
        <v>6.7266698247276172E-2</v>
      </c>
    </row>
    <row r="144" spans="1:31" x14ac:dyDescent="0.35">
      <c r="A144" s="6" t="s">
        <v>165</v>
      </c>
      <c r="B144" s="7">
        <v>0</v>
      </c>
      <c r="C144" s="7">
        <v>0</v>
      </c>
      <c r="D144" s="7">
        <v>0</v>
      </c>
      <c r="E144" s="7">
        <v>18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s="10">
        <v>0.65303138014977913</v>
      </c>
      <c r="Y144" s="9">
        <v>20260</v>
      </c>
      <c r="Z144" s="9">
        <v>18640</v>
      </c>
      <c r="AA144" s="9">
        <v>19525</v>
      </c>
      <c r="AB144" s="10">
        <v>0.54629629629629628</v>
      </c>
      <c r="AC144" s="11">
        <v>20.477076965823837</v>
      </c>
      <c r="AD144" s="9">
        <v>18723.282485875705</v>
      </c>
      <c r="AE144" s="8">
        <v>4.328079080951109E-2</v>
      </c>
    </row>
    <row r="145" spans="1:31" x14ac:dyDescent="0.35">
      <c r="A145" s="6" t="s">
        <v>166</v>
      </c>
      <c r="B145" s="7">
        <v>0</v>
      </c>
      <c r="C145" s="7">
        <v>0</v>
      </c>
      <c r="D145" s="7">
        <v>0</v>
      </c>
      <c r="E145" s="7">
        <v>18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s="10">
        <v>0.92680516568564753</v>
      </c>
      <c r="Y145" s="9">
        <v>12125</v>
      </c>
      <c r="Z145" s="9">
        <v>10795</v>
      </c>
      <c r="AA145" s="9">
        <v>12125</v>
      </c>
      <c r="AB145" s="10">
        <v>1</v>
      </c>
      <c r="AC145" s="11">
        <v>19.816615726590719</v>
      </c>
      <c r="AD145" s="9">
        <v>10899.25988700565</v>
      </c>
      <c r="AE145" s="8">
        <v>0.10882487425697303</v>
      </c>
    </row>
    <row r="146" spans="1:31" x14ac:dyDescent="0.35">
      <c r="A146" s="6" t="s">
        <v>167</v>
      </c>
      <c r="B146" s="7">
        <v>0</v>
      </c>
      <c r="C146" s="7">
        <v>0</v>
      </c>
      <c r="D146" s="7">
        <v>0</v>
      </c>
      <c r="E146" s="7">
        <v>18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 s="10">
        <v>0.88780146855369513</v>
      </c>
      <c r="Y146" s="9">
        <v>8775</v>
      </c>
      <c r="Z146" s="9">
        <v>7665</v>
      </c>
      <c r="AA146" s="9">
        <v>7795</v>
      </c>
      <c r="AB146" s="10">
        <v>0.11711711711711711</v>
      </c>
      <c r="AC146" s="11">
        <v>-17.743262017227007</v>
      </c>
      <c r="AD146" s="9">
        <v>8800.336158192089</v>
      </c>
      <c r="AE146" s="8">
        <v>-0.10453762205628948</v>
      </c>
    </row>
    <row r="147" spans="1:31" x14ac:dyDescent="0.35">
      <c r="A147" s="6" t="s">
        <v>168</v>
      </c>
      <c r="B147" s="7">
        <v>0</v>
      </c>
      <c r="C147" s="7">
        <v>0</v>
      </c>
      <c r="D147" s="7">
        <v>0</v>
      </c>
      <c r="E147" s="7">
        <v>18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s="10">
        <v>0.26991628111507338</v>
      </c>
      <c r="Y147" s="9">
        <v>5850</v>
      </c>
      <c r="Z147" s="9">
        <v>5460</v>
      </c>
      <c r="AA147" s="9">
        <v>5740</v>
      </c>
      <c r="AB147" s="10">
        <v>0.71794871794871795</v>
      </c>
      <c r="AC147" s="11">
        <v>2.4983328702417338</v>
      </c>
      <c r="AD147" s="9">
        <v>5627.8841807909603</v>
      </c>
      <c r="AE147" s="8">
        <v>9.6745822339489879E-3</v>
      </c>
    </row>
    <row r="148" spans="1:31" x14ac:dyDescent="0.35">
      <c r="A148" s="6" t="s">
        <v>169</v>
      </c>
      <c r="B148" s="7">
        <v>0</v>
      </c>
      <c r="C148" s="7">
        <v>0</v>
      </c>
      <c r="D148" s="7">
        <v>0</v>
      </c>
      <c r="E148" s="7">
        <v>18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s="10">
        <v>0.66848305942379527</v>
      </c>
      <c r="Y148" s="9">
        <v>6510</v>
      </c>
      <c r="Z148" s="9">
        <v>5845</v>
      </c>
      <c r="AA148" s="9">
        <v>6405</v>
      </c>
      <c r="AB148" s="10">
        <v>0.84210526315789469</v>
      </c>
      <c r="AC148" s="11">
        <v>8.663045549838003</v>
      </c>
      <c r="AD148" s="9">
        <v>5968.0287148211683</v>
      </c>
      <c r="AE148" s="8">
        <v>0</v>
      </c>
    </row>
    <row r="149" spans="1:31" x14ac:dyDescent="0.35">
      <c r="A149" s="6" t="s">
        <v>170</v>
      </c>
      <c r="B149" s="7">
        <v>0</v>
      </c>
      <c r="C149" s="7">
        <v>0</v>
      </c>
      <c r="D149" s="7">
        <v>0</v>
      </c>
      <c r="E149" s="7">
        <v>18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 s="10">
        <v>0.8205755288686154</v>
      </c>
      <c r="Y149" s="9">
        <v>22190</v>
      </c>
      <c r="Z149" s="9">
        <v>18385</v>
      </c>
      <c r="AA149" s="9">
        <v>22070</v>
      </c>
      <c r="AB149" s="10">
        <v>0.96846254927726672</v>
      </c>
      <c r="AC149" s="11">
        <v>50.446373992775769</v>
      </c>
      <c r="AD149" s="9">
        <v>18522.635593220341</v>
      </c>
      <c r="AE149" s="8">
        <v>0.16772486772486772</v>
      </c>
    </row>
    <row r="150" spans="1:31" x14ac:dyDescent="0.35">
      <c r="A150" s="6" t="s">
        <v>171</v>
      </c>
      <c r="B150" s="7">
        <v>0</v>
      </c>
      <c r="C150" s="7">
        <v>0</v>
      </c>
      <c r="D150" s="7">
        <v>0</v>
      </c>
      <c r="E150" s="7">
        <v>18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 s="10">
        <v>0.81390459205063315</v>
      </c>
      <c r="Y150" s="9">
        <v>8825</v>
      </c>
      <c r="Z150" s="9">
        <v>6960</v>
      </c>
      <c r="AA150" s="9">
        <v>8490</v>
      </c>
      <c r="AB150" s="10">
        <v>0.82037533512064342</v>
      </c>
      <c r="AC150" s="11">
        <v>28.759933314809668</v>
      </c>
      <c r="AD150" s="9">
        <v>7158.8220338983047</v>
      </c>
      <c r="AE150" s="8">
        <v>0.14343434343434344</v>
      </c>
    </row>
    <row r="151" spans="1:31" x14ac:dyDescent="0.35">
      <c r="A151" s="6" t="s">
        <v>172</v>
      </c>
      <c r="B151" s="7">
        <v>0</v>
      </c>
      <c r="C151" s="7">
        <v>0</v>
      </c>
      <c r="D151" s="7">
        <v>0</v>
      </c>
      <c r="E151" s="7">
        <v>18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s="10">
        <v>1.7734309811500492E-2</v>
      </c>
      <c r="Y151" s="9">
        <v>4925</v>
      </c>
      <c r="Z151" s="9">
        <v>4470</v>
      </c>
      <c r="AA151" s="9">
        <v>4760</v>
      </c>
      <c r="AB151" s="10">
        <v>0.63736263736263732</v>
      </c>
      <c r="AC151" s="11">
        <v>0.90747429841622673</v>
      </c>
      <c r="AD151" s="9">
        <v>4728.8220338983047</v>
      </c>
      <c r="AE151" s="8">
        <v>-4.1841004184100415E-3</v>
      </c>
    </row>
    <row r="152" spans="1:31" x14ac:dyDescent="0.35">
      <c r="A152" s="6" t="s">
        <v>173</v>
      </c>
      <c r="B152" s="7">
        <v>0</v>
      </c>
      <c r="C152" s="7">
        <v>0</v>
      </c>
      <c r="D152" s="7">
        <v>0</v>
      </c>
      <c r="E152" s="7">
        <v>18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s="10">
        <v>0.11879973797898623</v>
      </c>
      <c r="Y152" s="9">
        <v>4630</v>
      </c>
      <c r="Z152" s="9">
        <v>3925</v>
      </c>
      <c r="AA152" s="9">
        <v>4260</v>
      </c>
      <c r="AB152" s="10">
        <v>0.47517730496453903</v>
      </c>
      <c r="AC152" s="11">
        <v>-3.6429563767713256</v>
      </c>
      <c r="AD152" s="9">
        <v>4338.7768361581921</v>
      </c>
      <c r="AE152" s="8">
        <v>4.4117647058823532E-2</v>
      </c>
    </row>
    <row r="153" spans="1:31" x14ac:dyDescent="0.35">
      <c r="A153" s="6" t="s">
        <v>174</v>
      </c>
      <c r="B153" s="7">
        <v>0</v>
      </c>
      <c r="C153" s="7">
        <v>0</v>
      </c>
      <c r="D153" s="7">
        <v>0</v>
      </c>
      <c r="E153" s="7">
        <v>18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 s="10">
        <v>1.6134552168312461E-2</v>
      </c>
      <c r="Y153" s="9">
        <v>7340</v>
      </c>
      <c r="Z153" s="9">
        <v>6750</v>
      </c>
      <c r="AA153" s="9">
        <v>6955</v>
      </c>
      <c r="AB153" s="10">
        <v>0.34745762711864409</v>
      </c>
      <c r="AC153" s="11">
        <v>-0.93039733259238677</v>
      </c>
      <c r="AD153" s="9">
        <v>7040.2937853107351</v>
      </c>
      <c r="AE153" s="8">
        <v>-5.2452316076294275E-2</v>
      </c>
    </row>
    <row r="154" spans="1:31" x14ac:dyDescent="0.35">
      <c r="A154" s="6" t="s">
        <v>175</v>
      </c>
      <c r="B154" s="7">
        <v>0</v>
      </c>
      <c r="C154" s="7">
        <v>0</v>
      </c>
      <c r="D154" s="7">
        <v>0</v>
      </c>
      <c r="E154" s="7">
        <v>18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 s="10">
        <v>0.76908895883873052</v>
      </c>
      <c r="Y154" s="9">
        <v>8355</v>
      </c>
      <c r="Z154" s="9">
        <v>7755</v>
      </c>
      <c r="AA154" s="9">
        <v>7845</v>
      </c>
      <c r="AB154" s="10">
        <v>0.15</v>
      </c>
      <c r="AC154" s="11">
        <v>-7.0550152820227838</v>
      </c>
      <c r="AD154" s="9">
        <v>8225.6779661016953</v>
      </c>
      <c r="AE154" s="8">
        <v>-3.2675709001233046E-2</v>
      </c>
    </row>
    <row r="155" spans="1:31" x14ac:dyDescent="0.35">
      <c r="A155" s="6" t="s">
        <v>176</v>
      </c>
      <c r="B155" s="7">
        <v>0</v>
      </c>
      <c r="C155" s="7">
        <v>0</v>
      </c>
      <c r="D155" s="7">
        <v>0</v>
      </c>
      <c r="E155" s="7">
        <v>18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 s="10">
        <v>0.41224183465094993</v>
      </c>
      <c r="Y155" s="9">
        <v>48680</v>
      </c>
      <c r="Z155" s="9">
        <v>46850</v>
      </c>
      <c r="AA155" s="9">
        <v>47010</v>
      </c>
      <c r="AB155" s="10">
        <v>8.7431693989071038E-2</v>
      </c>
      <c r="AC155" s="11">
        <v>-16.130175048624615</v>
      </c>
      <c r="AD155" s="9">
        <v>48089.387005649718</v>
      </c>
      <c r="AE155" s="8">
        <v>-3.1520395550061801E-2</v>
      </c>
    </row>
    <row r="156" spans="1:31" x14ac:dyDescent="0.35">
      <c r="A156" s="6" t="s">
        <v>177</v>
      </c>
      <c r="B156" s="7">
        <v>0</v>
      </c>
      <c r="C156" s="7">
        <v>0</v>
      </c>
      <c r="D156" s="7">
        <v>0</v>
      </c>
      <c r="E156" s="7">
        <v>18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 s="10">
        <v>0.19601474897895846</v>
      </c>
      <c r="Y156" s="9">
        <v>19730</v>
      </c>
      <c r="Z156" s="9">
        <v>17510</v>
      </c>
      <c r="AA156" s="9">
        <v>17865</v>
      </c>
      <c r="AB156" s="10">
        <v>0.15990990990990991</v>
      </c>
      <c r="AC156" s="11">
        <v>-12.747707696582385</v>
      </c>
      <c r="AD156" s="9">
        <v>18898.138418079096</v>
      </c>
      <c r="AE156" s="8">
        <v>-6.7101827676240206E-2</v>
      </c>
    </row>
    <row r="157" spans="1:31" x14ac:dyDescent="0.35">
      <c r="A157" s="6" t="s">
        <v>178</v>
      </c>
      <c r="B157" s="7">
        <v>0</v>
      </c>
      <c r="C157" s="7">
        <v>0</v>
      </c>
      <c r="D157" s="7">
        <v>0</v>
      </c>
      <c r="E157" s="7">
        <v>18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 s="10">
        <v>0.50073815953373702</v>
      </c>
      <c r="Y157" s="9">
        <v>9615</v>
      </c>
      <c r="Z157" s="9">
        <v>7585</v>
      </c>
      <c r="AA157" s="9">
        <v>8790</v>
      </c>
      <c r="AB157" s="10">
        <v>0.59359605911330049</v>
      </c>
      <c r="AC157" s="11">
        <v>19.898027229786056</v>
      </c>
      <c r="AD157" s="9">
        <v>8029.2768361581911</v>
      </c>
      <c r="AE157" s="8">
        <v>1.384083044982699E-2</v>
      </c>
    </row>
    <row r="158" spans="1:31" x14ac:dyDescent="0.35">
      <c r="A158" s="6" t="s">
        <v>179</v>
      </c>
      <c r="B158" s="7">
        <v>0</v>
      </c>
      <c r="C158" s="7">
        <v>0</v>
      </c>
      <c r="D158" s="7">
        <v>0</v>
      </c>
      <c r="E158" s="7">
        <v>18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 s="10">
        <v>1.1847573555560705E-3</v>
      </c>
      <c r="Y158" s="9">
        <v>15220</v>
      </c>
      <c r="Z158" s="9">
        <v>12940</v>
      </c>
      <c r="AA158" s="9">
        <v>14840</v>
      </c>
      <c r="AB158" s="10">
        <v>0.83333333333333337</v>
      </c>
      <c r="AC158" s="11">
        <v>-1.2397888302306197</v>
      </c>
      <c r="AD158" s="9">
        <v>13981.813559322034</v>
      </c>
      <c r="AE158" s="8">
        <v>4.4334975369458129E-2</v>
      </c>
    </row>
    <row r="159" spans="1:31" x14ac:dyDescent="0.35">
      <c r="A159" s="6" t="s">
        <v>180</v>
      </c>
      <c r="B159" s="7">
        <v>0</v>
      </c>
      <c r="C159" s="7">
        <v>0</v>
      </c>
      <c r="D159" s="7">
        <v>0</v>
      </c>
      <c r="E159" s="7">
        <v>18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 s="10">
        <v>0.81203472716148617</v>
      </c>
      <c r="Y159" s="9">
        <v>7745</v>
      </c>
      <c r="Z159" s="9">
        <v>6190</v>
      </c>
      <c r="AA159" s="9">
        <v>7680</v>
      </c>
      <c r="AB159" s="10">
        <v>0.95819935691318325</v>
      </c>
      <c r="AC159" s="11">
        <v>20.476382328424567</v>
      </c>
      <c r="AD159" s="9">
        <v>6151.0536723163841</v>
      </c>
      <c r="AE159" s="8">
        <v>0.20754716981132076</v>
      </c>
    </row>
    <row r="160" spans="1:31" x14ac:dyDescent="0.35">
      <c r="A160" s="6" t="s">
        <v>181</v>
      </c>
      <c r="B160" s="7">
        <v>0</v>
      </c>
      <c r="C160" s="7">
        <v>0</v>
      </c>
      <c r="D160" s="7">
        <v>0</v>
      </c>
      <c r="E160" s="7">
        <v>18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 s="10">
        <v>3.8065609699967536E-2</v>
      </c>
      <c r="Y160" s="9">
        <v>9960</v>
      </c>
      <c r="Z160" s="9">
        <v>9405</v>
      </c>
      <c r="AA160" s="9">
        <v>9760</v>
      </c>
      <c r="AB160" s="10">
        <v>0.63963963963963966</v>
      </c>
      <c r="AC160" s="11">
        <v>-1.4541539316476799</v>
      </c>
      <c r="AD160" s="9">
        <v>9723.1016949152545</v>
      </c>
      <c r="AE160" s="8">
        <v>1.7196456487754037E-2</v>
      </c>
    </row>
    <row r="161" spans="1:31" x14ac:dyDescent="0.35">
      <c r="A161" s="6" t="s">
        <v>182</v>
      </c>
      <c r="B161" s="7">
        <v>0</v>
      </c>
      <c r="C161" s="7">
        <v>0</v>
      </c>
      <c r="D161" s="7">
        <v>0</v>
      </c>
      <c r="E161" s="7">
        <v>18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 s="10">
        <v>0.34445827457199912</v>
      </c>
      <c r="Y161" s="9">
        <v>12125</v>
      </c>
      <c r="Z161" s="9">
        <v>10990</v>
      </c>
      <c r="AA161" s="9">
        <v>11180</v>
      </c>
      <c r="AB161" s="10">
        <v>0.16740088105726872</v>
      </c>
      <c r="AC161" s="11">
        <v>-9.6083634342873001</v>
      </c>
      <c r="AD161" s="9">
        <v>11733.47175141243</v>
      </c>
      <c r="AE161" s="8">
        <v>-7.7938144329896902E-2</v>
      </c>
    </row>
    <row r="162" spans="1:31" x14ac:dyDescent="0.35">
      <c r="A162" s="6" t="s">
        <v>183</v>
      </c>
      <c r="B162" s="7">
        <v>0</v>
      </c>
      <c r="C162" s="7">
        <v>0</v>
      </c>
      <c r="D162" s="7">
        <v>0</v>
      </c>
      <c r="E162" s="7">
        <v>18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 s="10">
        <v>0.85941526598754192</v>
      </c>
      <c r="Y162" s="9">
        <v>10495</v>
      </c>
      <c r="Z162" s="9">
        <v>8985</v>
      </c>
      <c r="AA162" s="9">
        <v>10270</v>
      </c>
      <c r="AB162" s="10">
        <v>0.85099337748344372</v>
      </c>
      <c r="AC162" s="11">
        <v>23.654626285079193</v>
      </c>
      <c r="AD162" s="9">
        <v>9063.2005649717503</v>
      </c>
      <c r="AE162" s="8">
        <v>6.7567567567567571E-2</v>
      </c>
    </row>
    <row r="163" spans="1:31" x14ac:dyDescent="0.35">
      <c r="A163" s="6" t="s">
        <v>184</v>
      </c>
      <c r="B163" s="7">
        <v>0</v>
      </c>
      <c r="C163" s="7">
        <v>0</v>
      </c>
      <c r="D163" s="7">
        <v>0</v>
      </c>
      <c r="E163" s="7">
        <v>18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 s="10">
        <v>0.47699495841691936</v>
      </c>
      <c r="Y163" s="9">
        <v>12255</v>
      </c>
      <c r="Z163" s="9">
        <v>11060</v>
      </c>
      <c r="AA163" s="9">
        <v>11705</v>
      </c>
      <c r="AB163" s="10">
        <v>0.53974895397489542</v>
      </c>
      <c r="AC163" s="11">
        <v>14.276048902472908</v>
      </c>
      <c r="AD163" s="9">
        <v>11302.330508474577</v>
      </c>
      <c r="AE163" s="8">
        <v>-1.9271051529116047E-2</v>
      </c>
    </row>
    <row r="164" spans="1:31" x14ac:dyDescent="0.35">
      <c r="A164" s="6" t="s">
        <v>185</v>
      </c>
      <c r="B164" s="7">
        <v>0</v>
      </c>
      <c r="C164" s="7">
        <v>0</v>
      </c>
      <c r="D164" s="7">
        <v>0</v>
      </c>
      <c r="E164" s="7">
        <v>18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s="10">
        <v>0.22567696736050838</v>
      </c>
      <c r="Y164" s="9">
        <v>11900</v>
      </c>
      <c r="Z164" s="9">
        <v>10740</v>
      </c>
      <c r="AA164" s="9">
        <v>11365</v>
      </c>
      <c r="AB164" s="10">
        <v>0.53879310344827591</v>
      </c>
      <c r="AC164" s="11">
        <v>8.370102806335094</v>
      </c>
      <c r="AD164" s="9">
        <v>11137.21186440678</v>
      </c>
      <c r="AE164" s="8">
        <v>-3.5229202037351443E-2</v>
      </c>
    </row>
    <row r="165" spans="1:31" x14ac:dyDescent="0.35">
      <c r="A165" s="6" t="s">
        <v>186</v>
      </c>
      <c r="B165" s="7">
        <v>0</v>
      </c>
      <c r="C165" s="7">
        <v>0</v>
      </c>
      <c r="D165" s="7">
        <v>0</v>
      </c>
      <c r="E165" s="7">
        <v>18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 s="10">
        <v>0.81743917039005232</v>
      </c>
      <c r="Y165" s="9">
        <v>19915</v>
      </c>
      <c r="Z165" s="9">
        <v>15150</v>
      </c>
      <c r="AA165" s="9">
        <v>17650</v>
      </c>
      <c r="AB165" s="10">
        <v>0.52465897166841557</v>
      </c>
      <c r="AC165" s="11">
        <v>71.699916643512097</v>
      </c>
      <c r="AD165" s="9">
        <v>14850.81920903955</v>
      </c>
      <c r="AE165" s="8">
        <v>0.15133724722765818</v>
      </c>
    </row>
    <row r="166" spans="1:31" x14ac:dyDescent="0.35">
      <c r="A166" s="6" t="s">
        <v>187</v>
      </c>
      <c r="B166" s="7">
        <v>0</v>
      </c>
      <c r="C166" s="7">
        <v>0</v>
      </c>
      <c r="D166" s="7">
        <v>0</v>
      </c>
      <c r="E166" s="7">
        <v>18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 s="10">
        <v>0.39113867611779291</v>
      </c>
      <c r="Y166" s="9">
        <v>11400</v>
      </c>
      <c r="Z166" s="9">
        <v>10385</v>
      </c>
      <c r="AA166" s="9">
        <v>10845</v>
      </c>
      <c r="AB166" s="10">
        <v>0.45320197044334976</v>
      </c>
      <c r="AC166" s="11">
        <v>9.8737149208113379</v>
      </c>
      <c r="AD166" s="9">
        <v>10670.768361581921</v>
      </c>
      <c r="AE166" s="8">
        <v>-3.0397854269110416E-2</v>
      </c>
    </row>
    <row r="167" spans="1:31" x14ac:dyDescent="0.35">
      <c r="A167" s="6" t="s">
        <v>188</v>
      </c>
      <c r="B167" s="7">
        <v>0</v>
      </c>
      <c r="C167" s="7">
        <v>0</v>
      </c>
      <c r="D167" s="7">
        <v>0</v>
      </c>
      <c r="E167" s="7">
        <v>18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 s="10">
        <v>0.5951756332298459</v>
      </c>
      <c r="Y167" s="9">
        <v>117320</v>
      </c>
      <c r="Z167" s="9">
        <v>112540</v>
      </c>
      <c r="AA167" s="9">
        <v>117150</v>
      </c>
      <c r="AB167" s="10">
        <v>0.96443514644351469</v>
      </c>
      <c r="AC167" s="11">
        <v>51.374687413170321</v>
      </c>
      <c r="AD167" s="9">
        <v>113744.98870056498</v>
      </c>
      <c r="AE167" s="8">
        <v>3.9808281187591534E-2</v>
      </c>
    </row>
    <row r="168" spans="1:31" x14ac:dyDescent="0.35">
      <c r="A168" s="6" t="s">
        <v>189</v>
      </c>
      <c r="B168" s="7">
        <v>0</v>
      </c>
      <c r="C168" s="7">
        <v>0</v>
      </c>
      <c r="D168" s="7">
        <v>0</v>
      </c>
      <c r="E168" s="7">
        <v>18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 s="10">
        <v>0.52151893454487763</v>
      </c>
      <c r="Y168" s="9">
        <v>122760</v>
      </c>
      <c r="Z168" s="9">
        <v>113250</v>
      </c>
      <c r="AA168" s="9">
        <v>122460</v>
      </c>
      <c r="AB168" s="10">
        <v>0.96845425867507884</v>
      </c>
      <c r="AC168" s="11">
        <v>96.449291469852739</v>
      </c>
      <c r="AD168" s="9">
        <v>115962.29661016949</v>
      </c>
      <c r="AE168" s="8">
        <v>7.5814811561099885E-2</v>
      </c>
    </row>
    <row r="169" spans="1:31" x14ac:dyDescent="0.35">
      <c r="A169" s="6" t="s">
        <v>190</v>
      </c>
      <c r="B169" s="7">
        <v>0</v>
      </c>
      <c r="C169" s="7">
        <v>0</v>
      </c>
      <c r="D169" s="7">
        <v>0</v>
      </c>
      <c r="E169" s="7">
        <v>18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 s="10">
        <v>0.80464073451532669</v>
      </c>
      <c r="Y169" s="9">
        <v>26210</v>
      </c>
      <c r="Z169" s="9">
        <v>24285</v>
      </c>
      <c r="AA169" s="9">
        <v>25905</v>
      </c>
      <c r="AB169" s="10">
        <v>0.84155844155844151</v>
      </c>
      <c r="AC169" s="11">
        <v>23.323145318143929</v>
      </c>
      <c r="AD169" s="9">
        <v>24649.144067796609</v>
      </c>
      <c r="AE169" s="8">
        <v>3.7237237237237236E-2</v>
      </c>
    </row>
    <row r="170" spans="1:31" x14ac:dyDescent="0.35">
      <c r="A170" s="6" t="s">
        <v>191</v>
      </c>
      <c r="B170" s="7">
        <v>0</v>
      </c>
      <c r="C170" s="7">
        <v>0</v>
      </c>
      <c r="D170" s="7">
        <v>0</v>
      </c>
      <c r="E170" s="7">
        <v>18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 s="10">
        <v>0.78283866370209831</v>
      </c>
      <c r="Y170" s="9">
        <v>10940</v>
      </c>
      <c r="Z170" s="9">
        <v>10075</v>
      </c>
      <c r="AA170" s="9">
        <v>10805</v>
      </c>
      <c r="AB170" s="10">
        <v>0.84393063583815031</v>
      </c>
      <c r="AC170" s="11">
        <v>10.359127535426506</v>
      </c>
      <c r="AD170" s="9">
        <v>10242.129943502825</v>
      </c>
      <c r="AE170" s="8">
        <v>3.8942307692307693E-2</v>
      </c>
    </row>
    <row r="171" spans="1:31" x14ac:dyDescent="0.35">
      <c r="A171" s="6" t="s">
        <v>192</v>
      </c>
      <c r="B171" s="7">
        <v>0</v>
      </c>
      <c r="C171" s="7">
        <v>0</v>
      </c>
      <c r="D171" s="7">
        <v>0</v>
      </c>
      <c r="E171" s="7">
        <v>18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s="10">
        <v>0.71419883166557552</v>
      </c>
      <c r="Y171" s="9">
        <v>4205</v>
      </c>
      <c r="Z171" s="9">
        <v>3965</v>
      </c>
      <c r="AA171" s="9">
        <v>4165</v>
      </c>
      <c r="AB171" s="10">
        <v>0.83333333333333337</v>
      </c>
      <c r="AC171" s="11">
        <v>2.8610725201444849</v>
      </c>
      <c r="AD171" s="9">
        <v>4005.9039548022597</v>
      </c>
      <c r="AE171" s="8">
        <v>3.3498759305210915E-2</v>
      </c>
    </row>
    <row r="172" spans="1:31" x14ac:dyDescent="0.35">
      <c r="A172" s="6" t="s">
        <v>193</v>
      </c>
      <c r="B172" s="7">
        <v>0</v>
      </c>
      <c r="C172" s="7">
        <v>0</v>
      </c>
      <c r="D172" s="7">
        <v>0</v>
      </c>
      <c r="E172" s="7">
        <v>18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 s="10">
        <v>0.53861352544452157</v>
      </c>
      <c r="Y172" s="9">
        <v>7360</v>
      </c>
      <c r="Z172" s="9">
        <v>6590</v>
      </c>
      <c r="AA172" s="9">
        <v>7090</v>
      </c>
      <c r="AB172" s="10">
        <v>0.64935064935064934</v>
      </c>
      <c r="AC172" s="11">
        <v>9.2778549597110285</v>
      </c>
      <c r="AD172" s="9">
        <v>6742.6920903954806</v>
      </c>
      <c r="AE172" s="8">
        <v>4.1116005873715125E-2</v>
      </c>
    </row>
    <row r="173" spans="1:31" x14ac:dyDescent="0.35">
      <c r="A173" s="6" t="s">
        <v>194</v>
      </c>
      <c r="B173" s="7">
        <v>0</v>
      </c>
      <c r="C173" s="7">
        <v>0</v>
      </c>
      <c r="D173" s="7">
        <v>0</v>
      </c>
      <c r="E173" s="7">
        <v>18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 s="10">
        <v>0.73505234747691783</v>
      </c>
      <c r="Y173" s="9">
        <v>110700</v>
      </c>
      <c r="Z173" s="9">
        <v>109375</v>
      </c>
      <c r="AA173" s="9">
        <v>110700</v>
      </c>
      <c r="AB173" s="10">
        <v>1</v>
      </c>
      <c r="AC173" s="11">
        <v>15.141150319533203</v>
      </c>
      <c r="AD173" s="9">
        <v>109642.69491525424</v>
      </c>
      <c r="AE173" s="8">
        <v>1.2114285714285715E-2</v>
      </c>
    </row>
    <row r="174" spans="1:31" x14ac:dyDescent="0.35">
      <c r="A174" s="6" t="s">
        <v>195</v>
      </c>
      <c r="B174" s="7">
        <v>0</v>
      </c>
      <c r="C174" s="7">
        <v>0</v>
      </c>
      <c r="D174" s="7">
        <v>0</v>
      </c>
      <c r="E174" s="7">
        <v>18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 s="10">
        <v>0.97641565555377086</v>
      </c>
      <c r="Y174" s="9">
        <v>101000</v>
      </c>
      <c r="Z174" s="9">
        <v>100385</v>
      </c>
      <c r="AA174" s="9">
        <v>100990</v>
      </c>
      <c r="AB174" s="10">
        <v>0.98373983739837401</v>
      </c>
      <c r="AC174" s="11">
        <v>9.7507641011392057</v>
      </c>
      <c r="AD174" s="9">
        <v>100396.26836158193</v>
      </c>
      <c r="AE174" s="8">
        <v>6.0267968321960456E-3</v>
      </c>
    </row>
    <row r="175" spans="1:31" x14ac:dyDescent="0.35">
      <c r="A175" s="6" t="s">
        <v>196</v>
      </c>
      <c r="B175" s="7">
        <v>0</v>
      </c>
      <c r="C175" s="7">
        <v>0</v>
      </c>
      <c r="D175" s="7">
        <v>0</v>
      </c>
      <c r="E175" s="7">
        <v>18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 s="10">
        <v>0.41917058396780127</v>
      </c>
      <c r="Y175" s="9">
        <v>11805</v>
      </c>
      <c r="Z175" s="9">
        <v>11240</v>
      </c>
      <c r="AA175" s="9">
        <v>11515</v>
      </c>
      <c r="AB175" s="10">
        <v>0.48672566371681414</v>
      </c>
      <c r="AC175" s="11">
        <v>5.5061128091136426</v>
      </c>
      <c r="AD175" s="9">
        <v>11299.813559322034</v>
      </c>
      <c r="AE175" s="8">
        <v>3.0487804878048782E-3</v>
      </c>
    </row>
    <row r="176" spans="1:31" x14ac:dyDescent="0.35">
      <c r="A176" s="6" t="s">
        <v>197</v>
      </c>
      <c r="B176" s="7">
        <v>0</v>
      </c>
      <c r="C176" s="7">
        <v>0</v>
      </c>
      <c r="D176" s="7">
        <v>0</v>
      </c>
      <c r="E176" s="7">
        <v>18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 s="10">
        <v>0.35525738609804824</v>
      </c>
      <c r="Y176" s="9">
        <v>11475</v>
      </c>
      <c r="Z176" s="9">
        <v>10935</v>
      </c>
      <c r="AA176" s="9">
        <v>11215</v>
      </c>
      <c r="AB176" s="10">
        <v>0.51851851851851849</v>
      </c>
      <c r="AC176" s="11">
        <v>-4.672964712420117</v>
      </c>
      <c r="AD176" s="9">
        <v>11387.358757062148</v>
      </c>
      <c r="AE176" s="8">
        <v>-4.4563279857397502E-4</v>
      </c>
    </row>
    <row r="177" spans="1:31" x14ac:dyDescent="0.35">
      <c r="A177" s="6" t="s">
        <v>198</v>
      </c>
      <c r="B177" s="7">
        <v>0</v>
      </c>
      <c r="C177" s="7">
        <v>0</v>
      </c>
      <c r="D177" s="7">
        <v>0</v>
      </c>
      <c r="E177" s="7">
        <v>18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 s="10">
        <v>0.77942946229709886</v>
      </c>
      <c r="Y177" s="9">
        <v>7220</v>
      </c>
      <c r="Z177" s="9">
        <v>6535</v>
      </c>
      <c r="AA177" s="9">
        <v>7205</v>
      </c>
      <c r="AB177" s="10">
        <v>0.97810218978102192</v>
      </c>
      <c r="AC177" s="11">
        <v>9.6385106974159491</v>
      </c>
      <c r="AD177" s="9">
        <v>6607.0254237288136</v>
      </c>
      <c r="AE177" s="8">
        <v>7.0579494799405645E-2</v>
      </c>
    </row>
    <row r="178" spans="1:31" x14ac:dyDescent="0.35">
      <c r="A178" s="6" t="s">
        <v>199</v>
      </c>
      <c r="B178" s="7">
        <v>0</v>
      </c>
      <c r="C178" s="7">
        <v>0</v>
      </c>
      <c r="D178" s="7">
        <v>0</v>
      </c>
      <c r="E178" s="7">
        <v>18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 s="10">
        <v>0.93488087182559565</v>
      </c>
      <c r="Y178" s="9">
        <v>101190</v>
      </c>
      <c r="Z178" s="9">
        <v>100350</v>
      </c>
      <c r="AA178" s="9">
        <v>101190</v>
      </c>
      <c r="AB178" s="10">
        <v>1</v>
      </c>
      <c r="AC178" s="11">
        <v>12.055709919422062</v>
      </c>
      <c r="AD178" s="9">
        <v>100417.05084745762</v>
      </c>
      <c r="AE178" s="8">
        <v>8.3707025411061294E-3</v>
      </c>
    </row>
    <row r="179" spans="1:31" x14ac:dyDescent="0.35">
      <c r="A179" s="6" t="s">
        <v>200</v>
      </c>
      <c r="B179" s="7">
        <v>0</v>
      </c>
      <c r="C179" s="7">
        <v>0</v>
      </c>
      <c r="D179" s="7">
        <v>0</v>
      </c>
      <c r="E179" s="7">
        <v>18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 s="10">
        <v>0.75476715131511474</v>
      </c>
      <c r="Y179" s="9">
        <v>6085</v>
      </c>
      <c r="Z179" s="9">
        <v>5670</v>
      </c>
      <c r="AA179" s="9">
        <v>5965</v>
      </c>
      <c r="AB179" s="10">
        <v>0.71084337349397586</v>
      </c>
      <c r="AC179" s="11">
        <v>5.2086690747429838</v>
      </c>
      <c r="AD179" s="9">
        <v>5749.4689265536717</v>
      </c>
      <c r="AE179" s="8">
        <v>1.7050298380221655E-2</v>
      </c>
    </row>
    <row r="180" spans="1:31" x14ac:dyDescent="0.35">
      <c r="A180" s="6" t="s">
        <v>201</v>
      </c>
      <c r="B180" s="7">
        <v>0</v>
      </c>
      <c r="C180" s="7">
        <v>0</v>
      </c>
      <c r="D180" s="7">
        <v>0</v>
      </c>
      <c r="E180" s="7">
        <v>18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 s="10">
        <v>0.20504162034254342</v>
      </c>
      <c r="Y180" s="9">
        <v>12095</v>
      </c>
      <c r="Z180" s="9">
        <v>10845</v>
      </c>
      <c r="AA180" s="9">
        <v>11170</v>
      </c>
      <c r="AB180" s="10">
        <v>0.26</v>
      </c>
      <c r="AC180" s="11">
        <v>8.3100861350375119</v>
      </c>
      <c r="AD180" s="9">
        <v>11308.875706214691</v>
      </c>
      <c r="AE180" s="8">
        <v>1.4532243415077202E-2</v>
      </c>
    </row>
    <row r="181" spans="1:31" x14ac:dyDescent="0.35">
      <c r="A181" s="6" t="s">
        <v>202</v>
      </c>
      <c r="B181" s="7">
        <v>8</v>
      </c>
      <c r="C181" s="7">
        <v>10</v>
      </c>
      <c r="D181" s="7">
        <v>0</v>
      </c>
      <c r="E181" s="7">
        <v>0</v>
      </c>
      <c r="F181">
        <v>2516</v>
      </c>
      <c r="G181">
        <v>142</v>
      </c>
      <c r="H181">
        <v>5.65</v>
      </c>
      <c r="I181">
        <v>130</v>
      </c>
      <c r="J181">
        <v>5.16</v>
      </c>
      <c r="K181">
        <v>1964</v>
      </c>
      <c r="L181">
        <v>806</v>
      </c>
      <c r="M181">
        <v>1158</v>
      </c>
      <c r="N181">
        <v>1058.21</v>
      </c>
      <c r="O181">
        <v>11.69</v>
      </c>
      <c r="P181">
        <v>9.17</v>
      </c>
      <c r="Q181">
        <v>1.07</v>
      </c>
      <c r="R181">
        <v>0.47</v>
      </c>
      <c r="S181">
        <v>649</v>
      </c>
      <c r="T181">
        <v>5560</v>
      </c>
      <c r="U181">
        <v>12581</v>
      </c>
      <c r="V181">
        <v>261</v>
      </c>
      <c r="W181">
        <v>4.9400000000000004</v>
      </c>
      <c r="X181" s="10">
        <v>1.4633833318573573E-2</v>
      </c>
      <c r="Y181" s="9">
        <v>6050</v>
      </c>
      <c r="Z181" s="9">
        <v>4680</v>
      </c>
      <c r="AA181" s="9">
        <v>5390</v>
      </c>
      <c r="AB181" s="10">
        <v>0.51824817518248179</v>
      </c>
      <c r="AC181" s="11">
        <v>2.3505140316754658</v>
      </c>
      <c r="AD181" s="9">
        <v>5237.7259887005657</v>
      </c>
      <c r="AE181" s="8">
        <v>-0.10166666666666667</v>
      </c>
    </row>
    <row r="182" spans="1:31" x14ac:dyDescent="0.35">
      <c r="A182" s="6" t="s">
        <v>203</v>
      </c>
      <c r="B182" s="7">
        <v>0</v>
      </c>
      <c r="C182" s="7">
        <v>9</v>
      </c>
      <c r="D182" s="7">
        <v>3</v>
      </c>
      <c r="E182" s="7">
        <v>6</v>
      </c>
      <c r="F182">
        <v>371</v>
      </c>
      <c r="G182">
        <v>-18</v>
      </c>
      <c r="H182">
        <v>-4.9400000000000004</v>
      </c>
      <c r="I182">
        <v>-11</v>
      </c>
      <c r="J182">
        <v>-2.86</v>
      </c>
      <c r="K182">
        <v>664</v>
      </c>
      <c r="L182">
        <v>149</v>
      </c>
      <c r="M182">
        <v>515</v>
      </c>
      <c r="N182">
        <v>587.05999999999995</v>
      </c>
      <c r="O182">
        <v>-2.0499999999999998</v>
      </c>
      <c r="P182">
        <v>0</v>
      </c>
      <c r="Q182">
        <v>0.77</v>
      </c>
      <c r="R182">
        <v>1.06</v>
      </c>
      <c r="S182">
        <v>-71</v>
      </c>
      <c r="T182">
        <v>3385</v>
      </c>
      <c r="U182">
        <v>2472</v>
      </c>
      <c r="V182">
        <v>8</v>
      </c>
      <c r="W182">
        <v>48.8</v>
      </c>
      <c r="X182" s="10">
        <v>0.81795293587602746</v>
      </c>
      <c r="Y182" s="9">
        <v>3375</v>
      </c>
      <c r="Z182" s="9">
        <v>2460</v>
      </c>
      <c r="AA182" s="9">
        <v>3215</v>
      </c>
      <c r="AB182" s="10">
        <v>0.82513661202185795</v>
      </c>
      <c r="AC182" s="11">
        <v>17.008891358710752</v>
      </c>
      <c r="AD182" s="9">
        <v>2349.7288135593221</v>
      </c>
      <c r="AE182" s="8">
        <v>0.20411985018726592</v>
      </c>
    </row>
    <row r="183" spans="1:31" x14ac:dyDescent="0.35">
      <c r="A183" s="6" t="s">
        <v>204</v>
      </c>
      <c r="B183" s="7">
        <v>7</v>
      </c>
      <c r="C183" s="7">
        <v>7</v>
      </c>
      <c r="D183" s="7">
        <v>4</v>
      </c>
      <c r="E183" s="7">
        <v>0</v>
      </c>
      <c r="F183">
        <v>6920</v>
      </c>
      <c r="G183">
        <v>338</v>
      </c>
      <c r="H183">
        <v>4.8899999999999997</v>
      </c>
      <c r="I183">
        <v>362</v>
      </c>
      <c r="J183">
        <v>5.24</v>
      </c>
      <c r="K183">
        <v>4720</v>
      </c>
      <c r="L183">
        <v>1131</v>
      </c>
      <c r="M183">
        <v>3590</v>
      </c>
      <c r="N183">
        <v>1383.35</v>
      </c>
      <c r="O183">
        <v>10.5</v>
      </c>
      <c r="P183">
        <v>7.84</v>
      </c>
      <c r="Q183">
        <v>0.8</v>
      </c>
      <c r="R183">
        <v>0.41</v>
      </c>
      <c r="S183">
        <v>7486</v>
      </c>
      <c r="T183">
        <v>73038</v>
      </c>
      <c r="U183">
        <v>142968</v>
      </c>
      <c r="V183">
        <v>417</v>
      </c>
      <c r="W183">
        <v>6.81</v>
      </c>
      <c r="X183" s="10">
        <v>0.32935838966636349</v>
      </c>
      <c r="Y183" s="9">
        <v>61600</v>
      </c>
      <c r="Z183" s="9">
        <v>55300</v>
      </c>
      <c r="AA183" s="9">
        <v>58000</v>
      </c>
      <c r="AB183" s="10">
        <v>0.42857142857142855</v>
      </c>
      <c r="AC183" s="11">
        <v>50.26396221172547</v>
      </c>
      <c r="AD183" s="9">
        <v>56240.282485875709</v>
      </c>
      <c r="AE183" s="8">
        <v>-1.5280135823429542E-2</v>
      </c>
    </row>
    <row r="184" spans="1:31" x14ac:dyDescent="0.35">
      <c r="A184" s="6" t="s">
        <v>205</v>
      </c>
      <c r="B184" s="7">
        <v>1</v>
      </c>
      <c r="C184" s="7">
        <v>3</v>
      </c>
      <c r="D184" s="7">
        <v>12</v>
      </c>
      <c r="E184" s="7">
        <v>2</v>
      </c>
      <c r="F184">
        <v>118</v>
      </c>
      <c r="G184">
        <v>73</v>
      </c>
      <c r="H184">
        <v>61.62</v>
      </c>
      <c r="I184">
        <v>-224</v>
      </c>
      <c r="J184">
        <v>-189.89</v>
      </c>
      <c r="K184">
        <v>3645</v>
      </c>
      <c r="L184">
        <v>83</v>
      </c>
      <c r="M184">
        <v>3561</v>
      </c>
      <c r="N184">
        <v>1614.26</v>
      </c>
      <c r="O184">
        <v>-6.05</v>
      </c>
      <c r="P184">
        <v>0</v>
      </c>
      <c r="Q184">
        <v>0.89</v>
      </c>
      <c r="R184">
        <v>25.9</v>
      </c>
      <c r="S184">
        <v>-5476</v>
      </c>
      <c r="T184">
        <v>83652</v>
      </c>
      <c r="U184">
        <v>2884</v>
      </c>
      <c r="V184">
        <v>75</v>
      </c>
      <c r="W184">
        <v>42.04</v>
      </c>
      <c r="X184" s="10">
        <v>6.5839069977659107E-2</v>
      </c>
      <c r="Y184" s="9">
        <v>75800</v>
      </c>
      <c r="Z184" s="9">
        <v>67100</v>
      </c>
      <c r="AA184" s="9">
        <v>74100</v>
      </c>
      <c r="AB184" s="10">
        <v>0.8045977011494253</v>
      </c>
      <c r="AC184" s="11">
        <v>-32.40622395109753</v>
      </c>
      <c r="AD184" s="9">
        <v>71893.389830508473</v>
      </c>
      <c r="AE184" s="8">
        <v>-2.1136063408190225E-2</v>
      </c>
    </row>
    <row r="185" spans="1:31" x14ac:dyDescent="0.35">
      <c r="A185" s="6" t="s">
        <v>206</v>
      </c>
      <c r="B185" s="7">
        <v>2</v>
      </c>
      <c r="C185" s="7">
        <v>2</v>
      </c>
      <c r="D185" s="7">
        <v>3</v>
      </c>
      <c r="E185" s="7">
        <v>11</v>
      </c>
      <c r="F185">
        <v>807</v>
      </c>
      <c r="G185">
        <v>-110</v>
      </c>
      <c r="H185">
        <v>-13.58</v>
      </c>
      <c r="I185">
        <v>-127</v>
      </c>
      <c r="J185">
        <v>-15.71</v>
      </c>
      <c r="K185">
        <v>1368</v>
      </c>
      <c r="L185">
        <v>910</v>
      </c>
      <c r="M185">
        <v>458</v>
      </c>
      <c r="N185">
        <v>-23.21</v>
      </c>
      <c r="O185">
        <v>-24.58</v>
      </c>
      <c r="P185">
        <v>0</v>
      </c>
      <c r="Q185">
        <v>2.78</v>
      </c>
      <c r="R185">
        <v>1.53</v>
      </c>
      <c r="S185">
        <v>-106</v>
      </c>
      <c r="T185">
        <v>372</v>
      </c>
      <c r="U185">
        <v>676</v>
      </c>
      <c r="V185">
        <v>-81</v>
      </c>
      <c r="W185">
        <v>-21.53</v>
      </c>
      <c r="X185" s="10">
        <v>0.80851063749260688</v>
      </c>
      <c r="Y185" s="9">
        <v>1445</v>
      </c>
      <c r="Z185" s="9">
        <v>983</v>
      </c>
      <c r="AA185" s="9">
        <v>1385</v>
      </c>
      <c r="AB185" s="10">
        <v>0.87012987012987009</v>
      </c>
      <c r="AC185" s="11">
        <v>8.0381494859683258</v>
      </c>
      <c r="AD185" s="9">
        <v>949.55310734463274</v>
      </c>
      <c r="AE185" s="8">
        <v>0.40895218718209564</v>
      </c>
    </row>
    <row r="186" spans="1:31" x14ac:dyDescent="0.35">
      <c r="A186" s="6" t="s">
        <v>207</v>
      </c>
      <c r="B186" s="7">
        <v>9</v>
      </c>
      <c r="C186" s="7">
        <v>2</v>
      </c>
      <c r="D186" s="7">
        <v>7</v>
      </c>
      <c r="E186" s="7">
        <v>0</v>
      </c>
      <c r="F186">
        <v>1375</v>
      </c>
      <c r="G186">
        <v>220</v>
      </c>
      <c r="H186">
        <v>16.03</v>
      </c>
      <c r="I186">
        <v>210</v>
      </c>
      <c r="J186">
        <v>15.29</v>
      </c>
      <c r="K186">
        <v>4949</v>
      </c>
      <c r="L186">
        <v>3106</v>
      </c>
      <c r="M186">
        <v>1843</v>
      </c>
      <c r="N186">
        <v>3097.21</v>
      </c>
      <c r="O186">
        <v>12.21</v>
      </c>
      <c r="P186">
        <v>6.91</v>
      </c>
      <c r="Q186">
        <v>0.79</v>
      </c>
      <c r="R186">
        <v>1.06</v>
      </c>
      <c r="S186">
        <v>1815</v>
      </c>
      <c r="T186">
        <v>15864</v>
      </c>
      <c r="U186">
        <v>11872</v>
      </c>
      <c r="V186">
        <v>401</v>
      </c>
      <c r="W186">
        <v>10.59</v>
      </c>
      <c r="X186" s="10">
        <v>0.91715644164831522</v>
      </c>
      <c r="Y186" s="9">
        <v>15000</v>
      </c>
      <c r="Z186" s="9">
        <v>11650</v>
      </c>
      <c r="AA186" s="9">
        <v>15000</v>
      </c>
      <c r="AB186" s="10">
        <v>1</v>
      </c>
      <c r="AC186" s="11">
        <v>47.381217004723538</v>
      </c>
      <c r="AD186" s="9">
        <v>11995.706214689266</v>
      </c>
      <c r="AE186" s="8">
        <v>0.2</v>
      </c>
    </row>
    <row r="187" spans="1:31" x14ac:dyDescent="0.35">
      <c r="A187" s="6" t="s">
        <v>208</v>
      </c>
      <c r="B187" s="7">
        <v>0</v>
      </c>
      <c r="C187" s="7">
        <v>0</v>
      </c>
      <c r="D187" s="7">
        <v>0</v>
      </c>
      <c r="E187" s="7">
        <v>18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 s="10">
        <v>0.79448736684565491</v>
      </c>
      <c r="Y187" s="9">
        <v>26300</v>
      </c>
      <c r="Z187" s="9">
        <v>24330</v>
      </c>
      <c r="AA187" s="9">
        <v>25985</v>
      </c>
      <c r="AB187" s="10">
        <v>0.84010152284263961</v>
      </c>
      <c r="AC187" s="11">
        <v>24.069046957488194</v>
      </c>
      <c r="AD187" s="9">
        <v>24679.977401129941</v>
      </c>
      <c r="AE187" s="8">
        <v>3.9815926370548219E-2</v>
      </c>
    </row>
    <row r="188" spans="1:31" x14ac:dyDescent="0.35">
      <c r="A188" s="6" t="s">
        <v>209</v>
      </c>
      <c r="B188" s="7">
        <v>0</v>
      </c>
      <c r="C188" s="7">
        <v>0</v>
      </c>
      <c r="D188" s="7">
        <v>0</v>
      </c>
      <c r="E188" s="7">
        <v>18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 s="10">
        <v>0.19283542049143101</v>
      </c>
      <c r="Y188" s="9">
        <v>4930</v>
      </c>
      <c r="Z188" s="9">
        <v>4715</v>
      </c>
      <c r="AA188" s="9">
        <v>4845</v>
      </c>
      <c r="AB188" s="10">
        <v>0.60465116279069764</v>
      </c>
      <c r="AC188" s="11">
        <v>1.1379549874965269</v>
      </c>
      <c r="AD188" s="9">
        <v>4811.0423728813557</v>
      </c>
      <c r="AE188" s="8">
        <v>2.0682523267838678E-3</v>
      </c>
    </row>
    <row r="189" spans="1:31" x14ac:dyDescent="0.35">
      <c r="A189" s="6" t="s">
        <v>210</v>
      </c>
      <c r="B189" s="7">
        <v>0</v>
      </c>
      <c r="C189" s="7">
        <v>0</v>
      </c>
      <c r="D189" s="7">
        <v>0</v>
      </c>
      <c r="E189" s="7">
        <v>18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 s="10">
        <v>0.50178575142273341</v>
      </c>
      <c r="Y189" s="9">
        <v>130175</v>
      </c>
      <c r="Z189" s="9">
        <v>124805</v>
      </c>
      <c r="AA189" s="9">
        <v>128980</v>
      </c>
      <c r="AB189" s="10">
        <v>0.77746741154562382</v>
      </c>
      <c r="AC189" s="11">
        <v>45.625034731869967</v>
      </c>
      <c r="AD189" s="9">
        <v>126469.18644067796</v>
      </c>
      <c r="AE189" s="8">
        <v>2.0734409623298512E-2</v>
      </c>
    </row>
    <row r="190" spans="1:31" x14ac:dyDescent="0.35">
      <c r="A190" s="6" t="s">
        <v>211</v>
      </c>
      <c r="B190" s="7">
        <v>0</v>
      </c>
      <c r="C190" s="7">
        <v>0</v>
      </c>
      <c r="D190" s="7">
        <v>0</v>
      </c>
      <c r="E190" s="7">
        <v>18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 s="10">
        <v>0.73177792370172723</v>
      </c>
      <c r="Y190" s="9">
        <v>110980</v>
      </c>
      <c r="Z190" s="9">
        <v>109590</v>
      </c>
      <c r="AA190" s="9">
        <v>110980</v>
      </c>
      <c r="AB190" s="10">
        <v>1</v>
      </c>
      <c r="AC190" s="11">
        <v>14.828146707418728</v>
      </c>
      <c r="AD190" s="9">
        <v>109917.6581920904</v>
      </c>
      <c r="AE190" s="8">
        <v>1.2683639018158591E-2</v>
      </c>
    </row>
    <row r="191" spans="1:31" x14ac:dyDescent="0.35">
      <c r="A191" s="6" t="s">
        <v>212</v>
      </c>
      <c r="B191" s="7">
        <v>0</v>
      </c>
      <c r="C191" s="7">
        <v>0</v>
      </c>
      <c r="D191" s="7">
        <v>0</v>
      </c>
      <c r="E191" s="7">
        <v>18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 s="10">
        <v>0.98170449471506394</v>
      </c>
      <c r="Y191" s="9">
        <v>101265</v>
      </c>
      <c r="Z191" s="9">
        <v>100670</v>
      </c>
      <c r="AA191" s="9">
        <v>101265</v>
      </c>
      <c r="AB191" s="10">
        <v>1</v>
      </c>
      <c r="AC191" s="11">
        <v>9.4804112253403723</v>
      </c>
      <c r="AD191" s="9">
        <v>100680.84745762713</v>
      </c>
      <c r="AE191" s="8">
        <v>5.9104003178702689E-3</v>
      </c>
    </row>
    <row r="192" spans="1:31" x14ac:dyDescent="0.35">
      <c r="A192" s="6" t="s">
        <v>213</v>
      </c>
      <c r="B192" s="7">
        <v>0</v>
      </c>
      <c r="C192" s="7">
        <v>0</v>
      </c>
      <c r="D192" s="7">
        <v>0</v>
      </c>
      <c r="E192" s="7">
        <v>18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 s="10">
        <v>0.77812018800051874</v>
      </c>
      <c r="Y192" s="9">
        <v>10380</v>
      </c>
      <c r="Z192" s="9">
        <v>8885</v>
      </c>
      <c r="AA192" s="9">
        <v>10090</v>
      </c>
      <c r="AB192" s="10">
        <v>0.80602006688963213</v>
      </c>
      <c r="AC192" s="11">
        <v>17.548068908030011</v>
      </c>
      <c r="AD192" s="9">
        <v>9172.2005649717503</v>
      </c>
      <c r="AE192" s="8">
        <v>7.226354941551541E-2</v>
      </c>
    </row>
    <row r="193" spans="1:31" x14ac:dyDescent="0.35">
      <c r="A193" s="6" t="s">
        <v>214</v>
      </c>
      <c r="B193" s="7">
        <v>0</v>
      </c>
      <c r="C193" s="7">
        <v>0</v>
      </c>
      <c r="D193" s="7">
        <v>0</v>
      </c>
      <c r="E193" s="7">
        <v>18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 s="10">
        <v>0.66929293847249427</v>
      </c>
      <c r="Y193" s="9">
        <v>8875</v>
      </c>
      <c r="Z193" s="9">
        <v>7975</v>
      </c>
      <c r="AA193" s="9">
        <v>8555</v>
      </c>
      <c r="AB193" s="10">
        <v>0.64444444444444449</v>
      </c>
      <c r="AC193" s="11">
        <v>10.766462906362879</v>
      </c>
      <c r="AD193" s="9">
        <v>8132.2062146892658</v>
      </c>
      <c r="AE193" s="8">
        <v>2.7010804321728692E-2</v>
      </c>
    </row>
    <row r="194" spans="1:31" x14ac:dyDescent="0.35">
      <c r="A194" s="6" t="s">
        <v>215</v>
      </c>
      <c r="B194" s="7">
        <v>0</v>
      </c>
      <c r="C194" s="7">
        <v>0</v>
      </c>
      <c r="D194" s="7">
        <v>0</v>
      </c>
      <c r="E194" s="7">
        <v>18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s="10">
        <v>0.42630930898860642</v>
      </c>
      <c r="Y194" s="9">
        <v>10110</v>
      </c>
      <c r="Z194" s="9">
        <v>9560</v>
      </c>
      <c r="AA194" s="9">
        <v>10005</v>
      </c>
      <c r="AB194" s="10">
        <v>0.80909090909090908</v>
      </c>
      <c r="AC194" s="11">
        <v>4.4253959433175885</v>
      </c>
      <c r="AD194" s="9">
        <v>9727.1920903954797</v>
      </c>
      <c r="AE194" s="8">
        <v>8.5685483870967735E-3</v>
      </c>
    </row>
    <row r="195" spans="1:31" x14ac:dyDescent="0.35">
      <c r="A195" s="6" t="s">
        <v>216</v>
      </c>
      <c r="B195" s="7">
        <v>0</v>
      </c>
      <c r="C195" s="7">
        <v>0</v>
      </c>
      <c r="D195" s="7">
        <v>0</v>
      </c>
      <c r="E195" s="7">
        <v>18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 s="10">
        <v>0.90098264291362218</v>
      </c>
      <c r="Y195" s="9">
        <v>104710</v>
      </c>
      <c r="Z195" s="9">
        <v>103030</v>
      </c>
      <c r="AA195" s="9">
        <v>104710</v>
      </c>
      <c r="AB195" s="10">
        <v>1</v>
      </c>
      <c r="AC195" s="11">
        <v>22.96499027507641</v>
      </c>
      <c r="AD195" s="9">
        <v>103140.06779661016</v>
      </c>
      <c r="AE195" s="8">
        <v>1.630593031155974E-2</v>
      </c>
    </row>
    <row r="196" spans="1:31" x14ac:dyDescent="0.35">
      <c r="A196" s="6" t="s">
        <v>217</v>
      </c>
      <c r="B196" s="7">
        <v>0</v>
      </c>
      <c r="C196" s="7">
        <v>0</v>
      </c>
      <c r="D196" s="7">
        <v>0</v>
      </c>
      <c r="E196" s="7">
        <v>18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s="10">
        <v>0.87465674952020989</v>
      </c>
      <c r="Y196" s="9">
        <v>16010</v>
      </c>
      <c r="Z196" s="9">
        <v>11705</v>
      </c>
      <c r="AA196" s="9">
        <v>15345</v>
      </c>
      <c r="AB196" s="10">
        <v>0.84552845528455289</v>
      </c>
      <c r="AC196" s="11">
        <v>75.015559877743812</v>
      </c>
      <c r="AD196" s="9">
        <v>11285.525423728814</v>
      </c>
      <c r="AE196" s="8">
        <v>0.18907400232468036</v>
      </c>
    </row>
    <row r="197" spans="1:31" x14ac:dyDescent="0.35">
      <c r="A197" s="6" t="s">
        <v>218</v>
      </c>
      <c r="B197" s="7">
        <v>0</v>
      </c>
      <c r="C197" s="7">
        <v>0</v>
      </c>
      <c r="D197" s="7">
        <v>0</v>
      </c>
      <c r="E197" s="7">
        <v>18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s="10">
        <v>0.82238484019820879</v>
      </c>
      <c r="Y197" s="9">
        <v>30240</v>
      </c>
      <c r="Z197" s="9">
        <v>28480</v>
      </c>
      <c r="AA197" s="9">
        <v>29915</v>
      </c>
      <c r="AB197" s="10">
        <v>0.81534090909090906</v>
      </c>
      <c r="AC197" s="11">
        <v>21.545151430953045</v>
      </c>
      <c r="AD197" s="9">
        <v>28767.5395480226</v>
      </c>
      <c r="AE197" s="8">
        <v>3.0130853994490357E-2</v>
      </c>
    </row>
    <row r="198" spans="1:31" x14ac:dyDescent="0.35">
      <c r="A198" s="6" t="s">
        <v>219</v>
      </c>
      <c r="B198" s="7">
        <v>0</v>
      </c>
      <c r="C198" s="7">
        <v>0</v>
      </c>
      <c r="D198" s="7">
        <v>0</v>
      </c>
      <c r="E198" s="7">
        <v>18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 s="10">
        <v>4.3772589135013112E-2</v>
      </c>
      <c r="Y198" s="9">
        <v>14845</v>
      </c>
      <c r="Z198" s="9">
        <v>12430</v>
      </c>
      <c r="AA198" s="9">
        <v>14630</v>
      </c>
      <c r="AB198" s="10">
        <v>0.91097308488612838</v>
      </c>
      <c r="AC198" s="11">
        <v>7.549736037788275</v>
      </c>
      <c r="AD198" s="9">
        <v>13187.816384180791</v>
      </c>
      <c r="AE198" s="8">
        <v>8.4507042253521125E-2</v>
      </c>
    </row>
    <row r="199" spans="1:31" x14ac:dyDescent="0.35">
      <c r="A199" s="6" t="s">
        <v>220</v>
      </c>
      <c r="B199" s="7">
        <v>0</v>
      </c>
      <c r="C199" s="7">
        <v>0</v>
      </c>
      <c r="D199" s="7">
        <v>0</v>
      </c>
      <c r="E199" s="7">
        <v>18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 s="10">
        <v>0.87102692932752068</v>
      </c>
      <c r="Y199" s="9">
        <v>51630</v>
      </c>
      <c r="Z199" s="9">
        <v>49960</v>
      </c>
      <c r="AA199" s="9">
        <v>51490</v>
      </c>
      <c r="AB199" s="10">
        <v>0.91616766467065869</v>
      </c>
      <c r="AC199" s="11">
        <v>23.004167824395665</v>
      </c>
      <c r="AD199" s="9">
        <v>50128.206214689271</v>
      </c>
      <c r="AE199" s="8">
        <v>2.3556306530165987E-2</v>
      </c>
    </row>
    <row r="200" spans="1:31" x14ac:dyDescent="0.35">
      <c r="A200" s="6" t="s">
        <v>221</v>
      </c>
      <c r="B200" s="7">
        <v>0</v>
      </c>
      <c r="C200" s="7">
        <v>0</v>
      </c>
      <c r="D200" s="7">
        <v>0</v>
      </c>
      <c r="E200" s="7">
        <v>18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 s="10">
        <v>0.84970801278886177</v>
      </c>
      <c r="Y200" s="9">
        <v>2150</v>
      </c>
      <c r="Z200" s="9">
        <v>1855</v>
      </c>
      <c r="AA200" s="9">
        <v>2110</v>
      </c>
      <c r="AB200" s="10">
        <v>0.86440677966101698</v>
      </c>
      <c r="AC200" s="11">
        <v>4.8817727146429561</v>
      </c>
      <c r="AD200" s="9">
        <v>1860.5225988700565</v>
      </c>
      <c r="AE200" s="8">
        <v>0.13746630727762804</v>
      </c>
    </row>
    <row r="201" spans="1:31" x14ac:dyDescent="0.35">
      <c r="A201" s="6" t="s">
        <v>222</v>
      </c>
      <c r="B201" s="7">
        <v>3</v>
      </c>
      <c r="C201" s="7">
        <v>1</v>
      </c>
      <c r="D201" s="7">
        <v>0</v>
      </c>
      <c r="E201" s="7">
        <v>14</v>
      </c>
      <c r="F201">
        <v>174358</v>
      </c>
      <c r="G201">
        <v>-7195</v>
      </c>
      <c r="H201">
        <v>-4.13</v>
      </c>
      <c r="I201">
        <v>-11419</v>
      </c>
      <c r="J201">
        <v>-6.55</v>
      </c>
      <c r="K201">
        <v>249203</v>
      </c>
      <c r="L201">
        <v>153144</v>
      </c>
      <c r="M201">
        <v>96059</v>
      </c>
      <c r="N201">
        <v>569.36</v>
      </c>
      <c r="O201">
        <v>-11.06</v>
      </c>
      <c r="P201">
        <v>0</v>
      </c>
      <c r="Q201">
        <v>1.1399999999999999</v>
      </c>
      <c r="R201">
        <v>0.44</v>
      </c>
      <c r="S201">
        <v>-4667</v>
      </c>
      <c r="T201">
        <v>27432</v>
      </c>
      <c r="U201">
        <v>71266</v>
      </c>
      <c r="V201">
        <v>23680</v>
      </c>
      <c r="W201">
        <v>7.04</v>
      </c>
      <c r="X201" s="10">
        <v>0.20495813047759587</v>
      </c>
      <c r="Y201" s="9">
        <v>31900</v>
      </c>
      <c r="Z201" s="9">
        <v>28500</v>
      </c>
      <c r="AA201" s="9">
        <v>29450</v>
      </c>
      <c r="AB201" s="10">
        <v>0.27941176470588236</v>
      </c>
      <c r="AC201" s="11">
        <v>-17.952208946929701</v>
      </c>
      <c r="AD201" s="9">
        <v>30539.209039548023</v>
      </c>
      <c r="AE201" s="8">
        <v>-5.6089743589743592E-2</v>
      </c>
    </row>
    <row r="202" spans="1:31" x14ac:dyDescent="0.35">
      <c r="A202" s="6" t="s">
        <v>223</v>
      </c>
      <c r="B202" s="7">
        <v>4</v>
      </c>
      <c r="C202" s="7">
        <v>9</v>
      </c>
      <c r="D202" s="7">
        <v>2</v>
      </c>
      <c r="E202" s="7">
        <v>3</v>
      </c>
      <c r="F202">
        <v>27426</v>
      </c>
      <c r="G202">
        <v>10546</v>
      </c>
      <c r="H202">
        <v>38.450000000000003</v>
      </c>
      <c r="I202">
        <v>7471</v>
      </c>
      <c r="J202">
        <v>27.24</v>
      </c>
      <c r="K202">
        <v>62949</v>
      </c>
      <c r="L202">
        <v>9532</v>
      </c>
      <c r="M202">
        <v>53417</v>
      </c>
      <c r="N202">
        <v>494.87</v>
      </c>
      <c r="O202">
        <v>14.4</v>
      </c>
      <c r="P202">
        <v>12.82</v>
      </c>
      <c r="Q202">
        <v>1.96</v>
      </c>
      <c r="R202">
        <v>3.49</v>
      </c>
      <c r="S202">
        <v>5934</v>
      </c>
      <c r="T202">
        <v>38787</v>
      </c>
      <c r="U202">
        <v>21784</v>
      </c>
      <c r="V202">
        <v>11587</v>
      </c>
      <c r="W202">
        <v>9.02</v>
      </c>
      <c r="X202" s="10">
        <v>0.36547566224181871</v>
      </c>
      <c r="Y202" s="9">
        <v>89800</v>
      </c>
      <c r="Z202" s="9">
        <v>76000</v>
      </c>
      <c r="AA202" s="9">
        <v>86900</v>
      </c>
      <c r="AB202" s="10">
        <v>0.78985507246376807</v>
      </c>
      <c r="AC202" s="11">
        <v>91.806057238121696</v>
      </c>
      <c r="AD202" s="9">
        <v>78004.91525423729</v>
      </c>
      <c r="AE202" s="8">
        <v>0.13594771241830064</v>
      </c>
    </row>
    <row r="203" spans="1:31" x14ac:dyDescent="0.35">
      <c r="A203" s="6" t="s">
        <v>224</v>
      </c>
      <c r="B203" s="7">
        <v>0</v>
      </c>
      <c r="C203" s="7">
        <v>6</v>
      </c>
      <c r="D203" s="7">
        <v>0</v>
      </c>
      <c r="E203" s="7">
        <v>12</v>
      </c>
      <c r="F203">
        <v>1090</v>
      </c>
      <c r="G203">
        <v>41</v>
      </c>
      <c r="H203">
        <v>3.79</v>
      </c>
      <c r="I203">
        <v>-531</v>
      </c>
      <c r="J203">
        <v>-48.68</v>
      </c>
      <c r="K203">
        <v>22655</v>
      </c>
      <c r="L203">
        <v>18764</v>
      </c>
      <c r="M203">
        <v>3891</v>
      </c>
      <c r="N203">
        <v>11.72</v>
      </c>
      <c r="O203">
        <v>-17.02</v>
      </c>
      <c r="P203">
        <v>0</v>
      </c>
      <c r="Q203">
        <v>0.41</v>
      </c>
      <c r="R203">
        <v>1.05</v>
      </c>
      <c r="S203">
        <v>-1353</v>
      </c>
      <c r="T203">
        <v>5308</v>
      </c>
      <c r="U203">
        <v>2100</v>
      </c>
      <c r="V203">
        <v>0</v>
      </c>
      <c r="W203">
        <v>0</v>
      </c>
      <c r="X203" s="10">
        <v>0.72868575348182951</v>
      </c>
      <c r="Y203" s="9">
        <v>2865</v>
      </c>
      <c r="Z203" s="9">
        <v>1665</v>
      </c>
      <c r="AA203" s="9">
        <v>2735</v>
      </c>
      <c r="AB203" s="10">
        <v>0.89166666666666672</v>
      </c>
      <c r="AC203" s="11">
        <v>15.451514309530427</v>
      </c>
      <c r="AD203" s="9">
        <v>1588.5621468926554</v>
      </c>
      <c r="AE203" s="8">
        <v>0.48641304347826086</v>
      </c>
    </row>
    <row r="204" spans="1:31" x14ac:dyDescent="0.35">
      <c r="A204" s="6" t="s">
        <v>225</v>
      </c>
      <c r="B204" s="7">
        <v>4</v>
      </c>
      <c r="C204" s="7">
        <v>3</v>
      </c>
      <c r="D204" s="7">
        <v>4</v>
      </c>
      <c r="E204" s="7">
        <v>7</v>
      </c>
      <c r="F204">
        <v>4380</v>
      </c>
      <c r="G204">
        <v>150</v>
      </c>
      <c r="H204">
        <v>3.42</v>
      </c>
      <c r="I204">
        <v>112</v>
      </c>
      <c r="J204">
        <v>2.56</v>
      </c>
      <c r="K204">
        <v>2017</v>
      </c>
      <c r="L204">
        <v>598</v>
      </c>
      <c r="M204">
        <v>1419</v>
      </c>
      <c r="N204">
        <v>495.34</v>
      </c>
      <c r="O204">
        <v>8.4600000000000009</v>
      </c>
      <c r="P204">
        <v>10.210000000000001</v>
      </c>
      <c r="Q204">
        <v>0.94</v>
      </c>
      <c r="R204">
        <v>0.26</v>
      </c>
      <c r="S204">
        <v>289</v>
      </c>
      <c r="T204">
        <v>3144</v>
      </c>
      <c r="U204">
        <v>11319</v>
      </c>
      <c r="V204">
        <v>177</v>
      </c>
      <c r="W204">
        <v>7.13</v>
      </c>
      <c r="X204" s="10">
        <v>0.75178254934585698</v>
      </c>
      <c r="Y204" s="9">
        <v>3925</v>
      </c>
      <c r="Z204" s="9">
        <v>2700</v>
      </c>
      <c r="AA204" s="9">
        <v>3465</v>
      </c>
      <c r="AB204" s="10">
        <v>0.6244897959183674</v>
      </c>
      <c r="AC204" s="11">
        <v>20.211725479299801</v>
      </c>
      <c r="AD204" s="9">
        <v>2549.7090395480227</v>
      </c>
      <c r="AE204" s="8">
        <v>0.15886287625418061</v>
      </c>
    </row>
    <row r="205" spans="1:31" x14ac:dyDescent="0.35">
      <c r="A205" s="6" t="s">
        <v>226</v>
      </c>
      <c r="B205" s="7">
        <v>13</v>
      </c>
      <c r="C205" s="7">
        <v>0</v>
      </c>
      <c r="D205" s="7">
        <v>2</v>
      </c>
      <c r="E205" s="7">
        <v>3</v>
      </c>
      <c r="F205">
        <v>1361</v>
      </c>
      <c r="G205">
        <v>69</v>
      </c>
      <c r="H205">
        <v>5.08</v>
      </c>
      <c r="I205">
        <v>122</v>
      </c>
      <c r="J205">
        <v>8.9700000000000006</v>
      </c>
      <c r="K205">
        <v>2270</v>
      </c>
      <c r="L205">
        <v>314</v>
      </c>
      <c r="M205">
        <v>1956</v>
      </c>
      <c r="N205">
        <v>447.57</v>
      </c>
      <c r="O205">
        <v>6.52</v>
      </c>
      <c r="P205">
        <v>23.39</v>
      </c>
      <c r="Q205">
        <v>1.61</v>
      </c>
      <c r="R205">
        <v>2.0099999999999998</v>
      </c>
      <c r="S205">
        <v>327</v>
      </c>
      <c r="T205">
        <v>4765</v>
      </c>
      <c r="U205">
        <v>3810</v>
      </c>
      <c r="V205">
        <v>264</v>
      </c>
      <c r="W205">
        <v>10.35</v>
      </c>
      <c r="X205" s="10">
        <v>0.9565489955947224</v>
      </c>
      <c r="Y205" s="9">
        <v>14800</v>
      </c>
      <c r="Z205" s="9">
        <v>7600</v>
      </c>
      <c r="AA205" s="9">
        <v>14700</v>
      </c>
      <c r="AB205" s="10">
        <v>0.98611111111111116</v>
      </c>
      <c r="AC205" s="11">
        <v>130.5640455682134</v>
      </c>
      <c r="AD205" s="9">
        <v>7004.4632768361571</v>
      </c>
      <c r="AE205" s="8">
        <v>0.90414507772020725</v>
      </c>
    </row>
    <row r="206" spans="1:31" x14ac:dyDescent="0.35">
      <c r="A206" s="6" t="s">
        <v>227</v>
      </c>
      <c r="B206" s="7">
        <v>0</v>
      </c>
      <c r="C206" s="7">
        <v>0</v>
      </c>
      <c r="D206" s="7">
        <v>0</v>
      </c>
      <c r="E206" s="7">
        <v>18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 s="10">
        <v>0.66824199737223922</v>
      </c>
      <c r="Y206" s="9">
        <v>16960</v>
      </c>
      <c r="Z206" s="9">
        <v>15895</v>
      </c>
      <c r="AA206" s="9">
        <v>16665</v>
      </c>
      <c r="AB206" s="10">
        <v>0.72300469483568075</v>
      </c>
      <c r="AC206" s="11">
        <v>11.60225062517366</v>
      </c>
      <c r="AD206" s="9">
        <v>16100.54802259887</v>
      </c>
      <c r="AE206" s="8">
        <v>1.5229972586049346E-2</v>
      </c>
    </row>
    <row r="207" spans="1:31" x14ac:dyDescent="0.35">
      <c r="A207" s="6" t="s">
        <v>228</v>
      </c>
      <c r="B207" s="7">
        <v>3</v>
      </c>
      <c r="C207" s="7">
        <v>12</v>
      </c>
      <c r="D207" s="7">
        <v>3</v>
      </c>
      <c r="E207" s="7">
        <v>0</v>
      </c>
      <c r="F207">
        <v>863</v>
      </c>
      <c r="G207">
        <v>75</v>
      </c>
      <c r="H207">
        <v>8.6999999999999993</v>
      </c>
      <c r="I207">
        <v>32</v>
      </c>
      <c r="J207">
        <v>3.75</v>
      </c>
      <c r="K207">
        <v>834</v>
      </c>
      <c r="L207">
        <v>271</v>
      </c>
      <c r="M207">
        <v>563</v>
      </c>
      <c r="N207">
        <v>169.37</v>
      </c>
      <c r="O207">
        <v>7.12</v>
      </c>
      <c r="P207">
        <v>69.099999999999994</v>
      </c>
      <c r="Q207">
        <v>4.9400000000000004</v>
      </c>
      <c r="R207">
        <v>2.6</v>
      </c>
      <c r="S207">
        <v>78</v>
      </c>
      <c r="T207">
        <v>1090</v>
      </c>
      <c r="U207">
        <v>2077</v>
      </c>
      <c r="V207">
        <v>103</v>
      </c>
      <c r="W207">
        <v>21.9</v>
      </c>
      <c r="X207" s="10">
        <v>0.26968530657890727</v>
      </c>
      <c r="Y207" s="9">
        <v>6810</v>
      </c>
      <c r="Z207" s="9">
        <v>5110</v>
      </c>
      <c r="AA207" s="9">
        <v>5110</v>
      </c>
      <c r="AB207" s="10">
        <v>0</v>
      </c>
      <c r="AC207" s="11">
        <v>-13.504028896915809</v>
      </c>
      <c r="AD207" s="9">
        <v>6237.7062146892649</v>
      </c>
      <c r="AE207" s="8">
        <v>-3.5849056603773584E-2</v>
      </c>
    </row>
    <row r="208" spans="1:31" x14ac:dyDescent="0.35">
      <c r="A208" s="6" t="s">
        <v>229</v>
      </c>
      <c r="B208" s="7">
        <v>5</v>
      </c>
      <c r="C208" s="7">
        <v>8</v>
      </c>
      <c r="D208" s="7">
        <v>5</v>
      </c>
      <c r="E208" s="7">
        <v>0</v>
      </c>
      <c r="F208">
        <v>624</v>
      </c>
      <c r="G208">
        <v>92</v>
      </c>
      <c r="H208">
        <v>14.68</v>
      </c>
      <c r="I208">
        <v>79</v>
      </c>
      <c r="J208">
        <v>12.59</v>
      </c>
      <c r="K208">
        <v>1089</v>
      </c>
      <c r="L208">
        <v>151</v>
      </c>
      <c r="M208">
        <v>938</v>
      </c>
      <c r="N208">
        <v>336.55</v>
      </c>
      <c r="O208">
        <v>11.51</v>
      </c>
      <c r="P208">
        <v>12.71</v>
      </c>
      <c r="Q208">
        <v>1.53</v>
      </c>
      <c r="R208">
        <v>1.6</v>
      </c>
      <c r="S208">
        <v>509</v>
      </c>
      <c r="T208">
        <v>4240</v>
      </c>
      <c r="U208">
        <v>4049</v>
      </c>
      <c r="V208">
        <v>190</v>
      </c>
      <c r="W208">
        <v>7.45</v>
      </c>
      <c r="X208" s="10">
        <v>0.32931010524235882</v>
      </c>
      <c r="Y208" s="9">
        <v>5530</v>
      </c>
      <c r="Z208" s="9">
        <v>5040</v>
      </c>
      <c r="AA208" s="9">
        <v>5530</v>
      </c>
      <c r="AB208" s="10">
        <v>1</v>
      </c>
      <c r="AC208" s="11">
        <v>4.120033342595165</v>
      </c>
      <c r="AD208" s="9">
        <v>5101.6723163841807</v>
      </c>
      <c r="AE208" s="8">
        <v>5.938697318007663E-2</v>
      </c>
    </row>
    <row r="209" spans="1:31" x14ac:dyDescent="0.35">
      <c r="A209" s="6" t="s">
        <v>230</v>
      </c>
      <c r="B209" s="7">
        <v>10</v>
      </c>
      <c r="C209" s="7">
        <v>1</v>
      </c>
      <c r="D209" s="7">
        <v>5</v>
      </c>
      <c r="E209" s="7">
        <v>2</v>
      </c>
      <c r="F209">
        <v>13853</v>
      </c>
      <c r="G209">
        <v>1116</v>
      </c>
      <c r="H209">
        <v>8.06</v>
      </c>
      <c r="I209">
        <v>974</v>
      </c>
      <c r="J209">
        <v>7.03</v>
      </c>
      <c r="K209">
        <v>14190</v>
      </c>
      <c r="L209">
        <v>3529</v>
      </c>
      <c r="M209">
        <v>10660</v>
      </c>
      <c r="N209">
        <v>629.15</v>
      </c>
      <c r="O209">
        <v>9.51</v>
      </c>
      <c r="P209">
        <v>8.98</v>
      </c>
      <c r="Q209">
        <v>0.87</v>
      </c>
      <c r="R209">
        <v>0.63</v>
      </c>
      <c r="S209">
        <v>3330</v>
      </c>
      <c r="T209">
        <v>34348</v>
      </c>
      <c r="U209">
        <v>47376</v>
      </c>
      <c r="V209">
        <v>1475</v>
      </c>
      <c r="W209">
        <v>5.93</v>
      </c>
      <c r="X209" s="10">
        <v>0.36639653680462825</v>
      </c>
      <c r="Y209" s="9">
        <v>32300</v>
      </c>
      <c r="Z209" s="9">
        <v>28400</v>
      </c>
      <c r="AA209" s="9">
        <v>31000</v>
      </c>
      <c r="AB209" s="10">
        <v>0.66666666666666663</v>
      </c>
      <c r="AC209" s="11">
        <v>31.929702695193104</v>
      </c>
      <c r="AD209" s="9">
        <v>29530.310734463277</v>
      </c>
      <c r="AE209" s="8">
        <v>2.3102310231023101E-2</v>
      </c>
    </row>
    <row r="210" spans="1:31" x14ac:dyDescent="0.35">
      <c r="A210" s="6" t="s">
        <v>231</v>
      </c>
      <c r="B210" s="7">
        <v>4</v>
      </c>
      <c r="C210" s="7">
        <v>8</v>
      </c>
      <c r="D210" s="7">
        <v>3</v>
      </c>
      <c r="E210" s="7">
        <v>3</v>
      </c>
      <c r="F210">
        <v>5757</v>
      </c>
      <c r="G210">
        <v>4170</v>
      </c>
      <c r="H210">
        <v>72.44</v>
      </c>
      <c r="I210">
        <v>3606</v>
      </c>
      <c r="J210">
        <v>62.63</v>
      </c>
      <c r="K210">
        <v>80538</v>
      </c>
      <c r="L210">
        <v>2849</v>
      </c>
      <c r="M210">
        <v>77689</v>
      </c>
      <c r="N210">
        <v>783.75</v>
      </c>
      <c r="O210">
        <v>4.7</v>
      </c>
      <c r="P210">
        <v>29.84</v>
      </c>
      <c r="Q210">
        <v>1.39</v>
      </c>
      <c r="R210">
        <v>18.690000000000001</v>
      </c>
      <c r="S210">
        <v>2051</v>
      </c>
      <c r="T210">
        <v>44102</v>
      </c>
      <c r="U210">
        <v>3275</v>
      </c>
      <c r="V210">
        <v>4343</v>
      </c>
      <c r="W210">
        <v>24.63</v>
      </c>
      <c r="X210" s="10">
        <v>0.10574238014341868</v>
      </c>
      <c r="Y210" s="9">
        <v>64700</v>
      </c>
      <c r="Z210" s="9">
        <v>59100</v>
      </c>
      <c r="AA210" s="9">
        <v>60700</v>
      </c>
      <c r="AB210" s="10">
        <v>0.2857142857142857</v>
      </c>
      <c r="AC210" s="11">
        <v>-25.526535148652403</v>
      </c>
      <c r="AD210" s="9">
        <v>62723.5593220339</v>
      </c>
      <c r="AE210" s="8">
        <v>-3.4976152623211444E-2</v>
      </c>
    </row>
    <row r="211" spans="1:31" x14ac:dyDescent="0.35">
      <c r="A211" s="6" t="s">
        <v>232</v>
      </c>
      <c r="B211" s="7">
        <v>9</v>
      </c>
      <c r="C211" s="7">
        <v>4</v>
      </c>
      <c r="D211" s="7">
        <v>0</v>
      </c>
      <c r="E211" s="7">
        <v>5</v>
      </c>
      <c r="F211">
        <v>253837</v>
      </c>
      <c r="G211">
        <v>9848</v>
      </c>
      <c r="H211">
        <v>3.88</v>
      </c>
      <c r="I211">
        <v>9731</v>
      </c>
      <c r="J211">
        <v>3.83</v>
      </c>
      <c r="K211">
        <v>210118</v>
      </c>
      <c r="L211">
        <v>103878</v>
      </c>
      <c r="M211">
        <v>106241</v>
      </c>
      <c r="N211">
        <v>493.83</v>
      </c>
      <c r="O211">
        <v>9.5500000000000007</v>
      </c>
      <c r="P211">
        <v>12.37</v>
      </c>
      <c r="Q211">
        <v>1.19</v>
      </c>
      <c r="R211">
        <v>0.47</v>
      </c>
      <c r="S211">
        <v>2720</v>
      </c>
      <c r="T211">
        <v>28174</v>
      </c>
      <c r="U211">
        <v>70941</v>
      </c>
      <c r="V211">
        <v>41031</v>
      </c>
      <c r="W211">
        <v>3.38</v>
      </c>
      <c r="X211" s="10">
        <v>0.38917909633818432</v>
      </c>
      <c r="Y211" s="9">
        <v>36900</v>
      </c>
      <c r="Z211" s="9">
        <v>30650</v>
      </c>
      <c r="AA211" s="9">
        <v>32300</v>
      </c>
      <c r="AB211" s="10">
        <v>0.26400000000000001</v>
      </c>
      <c r="AC211" s="11">
        <v>-60.450125034731869</v>
      </c>
      <c r="AD211" s="9">
        <v>35893.728813559319</v>
      </c>
      <c r="AE211" s="8">
        <v>-4.8600883652430045E-2</v>
      </c>
    </row>
    <row r="212" spans="1:31" x14ac:dyDescent="0.35">
      <c r="A212" s="6" t="s">
        <v>233</v>
      </c>
      <c r="B212" s="7">
        <v>1</v>
      </c>
      <c r="C212" s="7">
        <v>4</v>
      </c>
      <c r="D212" s="7">
        <v>3</v>
      </c>
      <c r="E212" s="7">
        <v>10</v>
      </c>
      <c r="F212">
        <v>37765</v>
      </c>
      <c r="G212">
        <v>960</v>
      </c>
      <c r="H212">
        <v>2.54</v>
      </c>
      <c r="I212">
        <v>-298</v>
      </c>
      <c r="J212">
        <v>-0.79</v>
      </c>
      <c r="K212">
        <v>29336</v>
      </c>
      <c r="L212">
        <v>15160</v>
      </c>
      <c r="M212">
        <v>14176</v>
      </c>
      <c r="N212">
        <v>631.99</v>
      </c>
      <c r="O212">
        <v>-2.06</v>
      </c>
      <c r="P212">
        <v>0</v>
      </c>
      <c r="Q212">
        <v>0.89</v>
      </c>
      <c r="R212">
        <v>0.28999999999999998</v>
      </c>
      <c r="S212">
        <v>-770</v>
      </c>
      <c r="T212">
        <v>32325</v>
      </c>
      <c r="U212">
        <v>97687</v>
      </c>
      <c r="V212">
        <v>1458</v>
      </c>
      <c r="W212">
        <v>11.49</v>
      </c>
      <c r="X212" s="10">
        <v>0.57686428520213218</v>
      </c>
      <c r="Y212" s="9">
        <v>39350</v>
      </c>
      <c r="Z212" s="9">
        <v>28700</v>
      </c>
      <c r="AA212" s="9">
        <v>36350</v>
      </c>
      <c r="AB212" s="10">
        <v>0.71830985915492962</v>
      </c>
      <c r="AC212" s="11">
        <v>147.27563212003341</v>
      </c>
      <c r="AD212" s="9">
        <v>30373.926553672318</v>
      </c>
      <c r="AE212" s="8">
        <v>0.25996533795493937</v>
      </c>
    </row>
    <row r="213" spans="1:31" x14ac:dyDescent="0.35">
      <c r="A213" s="6" t="s">
        <v>234</v>
      </c>
      <c r="B213" s="7">
        <v>5</v>
      </c>
      <c r="C213" s="7">
        <v>0</v>
      </c>
      <c r="D213" s="7">
        <v>5</v>
      </c>
      <c r="E213" s="7">
        <v>8</v>
      </c>
      <c r="F213">
        <v>4118</v>
      </c>
      <c r="G213">
        <v>154</v>
      </c>
      <c r="H213">
        <v>3.74</v>
      </c>
      <c r="I213">
        <v>-25</v>
      </c>
      <c r="J213">
        <v>-0.62</v>
      </c>
      <c r="K213">
        <v>6487</v>
      </c>
      <c r="L213">
        <v>3995</v>
      </c>
      <c r="M213">
        <v>2491</v>
      </c>
      <c r="N213">
        <v>196.36</v>
      </c>
      <c r="O213">
        <v>-1.01</v>
      </c>
      <c r="P213">
        <v>0</v>
      </c>
      <c r="Q213">
        <v>2.98</v>
      </c>
      <c r="R213">
        <v>1.48</v>
      </c>
      <c r="S213">
        <v>-151</v>
      </c>
      <c r="T213">
        <v>12176</v>
      </c>
      <c r="U213">
        <v>24491</v>
      </c>
      <c r="V213">
        <v>470</v>
      </c>
      <c r="W213">
        <v>18.489999999999998</v>
      </c>
      <c r="X213" s="10">
        <v>0.67246600935176248</v>
      </c>
      <c r="Y213" s="9">
        <v>58000</v>
      </c>
      <c r="Z213" s="9">
        <v>36250</v>
      </c>
      <c r="AA213" s="9">
        <v>55200</v>
      </c>
      <c r="AB213" s="10">
        <v>0.87126436781609196</v>
      </c>
      <c r="AC213" s="11">
        <v>224.7832731314254</v>
      </c>
      <c r="AD213" s="9">
        <v>38996.610169491527</v>
      </c>
      <c r="AE213" s="8">
        <v>0.52275862068965517</v>
      </c>
    </row>
    <row r="214" spans="1:31" x14ac:dyDescent="0.35">
      <c r="A214" s="6" t="s">
        <v>235</v>
      </c>
      <c r="B214" s="7">
        <v>0</v>
      </c>
      <c r="C214" s="7">
        <v>0</v>
      </c>
      <c r="D214" s="7">
        <v>0</v>
      </c>
      <c r="E214" s="7">
        <v>18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 s="10">
        <v>0.74192722061734384</v>
      </c>
      <c r="Y214" s="9">
        <v>31900</v>
      </c>
      <c r="Z214" s="9">
        <v>22300</v>
      </c>
      <c r="AA214" s="9">
        <v>30250</v>
      </c>
      <c r="AB214" s="10">
        <v>0.828125</v>
      </c>
      <c r="AC214" s="11">
        <v>116.33231453181438</v>
      </c>
      <c r="AD214" s="9">
        <v>22300.197740112995</v>
      </c>
      <c r="AE214" s="8">
        <v>0.35650224215246634</v>
      </c>
    </row>
    <row r="215" spans="1:31" x14ac:dyDescent="0.35">
      <c r="A215" s="6" t="s">
        <v>236</v>
      </c>
      <c r="B215" s="7">
        <v>7</v>
      </c>
      <c r="C215" s="7">
        <v>8</v>
      </c>
      <c r="D215" s="7">
        <v>0</v>
      </c>
      <c r="E215" s="7">
        <v>3</v>
      </c>
      <c r="F215">
        <v>25134</v>
      </c>
      <c r="G215">
        <v>3091</v>
      </c>
      <c r="H215">
        <v>12.3</v>
      </c>
      <c r="I215">
        <v>2493</v>
      </c>
      <c r="J215">
        <v>9.92</v>
      </c>
      <c r="K215">
        <v>26917</v>
      </c>
      <c r="L215">
        <v>14623</v>
      </c>
      <c r="M215">
        <v>12294</v>
      </c>
      <c r="N215">
        <v>1367.78</v>
      </c>
      <c r="O215">
        <v>21.86</v>
      </c>
      <c r="P215">
        <v>41.9</v>
      </c>
      <c r="Q215">
        <v>9.33</v>
      </c>
      <c r="R215">
        <v>4.1500000000000004</v>
      </c>
      <c r="S215">
        <v>14867</v>
      </c>
      <c r="T215">
        <v>66787</v>
      </c>
      <c r="U215">
        <v>149966</v>
      </c>
      <c r="V215">
        <v>3627</v>
      </c>
      <c r="W215">
        <v>30.59</v>
      </c>
      <c r="X215" s="10">
        <v>0.66661761501867201</v>
      </c>
      <c r="Y215" s="9">
        <v>800000</v>
      </c>
      <c r="Z215" s="9">
        <v>598000</v>
      </c>
      <c r="AA215" s="9">
        <v>788000</v>
      </c>
      <c r="AB215" s="10">
        <v>0.94059405940594054</v>
      </c>
      <c r="AC215" s="11">
        <v>2460.3500972492361</v>
      </c>
      <c r="AD215" s="9">
        <v>594125.98870056495</v>
      </c>
      <c r="AE215" s="8">
        <v>0.25079365079365079</v>
      </c>
    </row>
    <row r="216" spans="1:31" x14ac:dyDescent="0.35">
      <c r="A216" s="6" t="s">
        <v>237</v>
      </c>
      <c r="B216" s="7">
        <v>0</v>
      </c>
      <c r="C216" s="7">
        <v>0</v>
      </c>
      <c r="D216" s="7">
        <v>0</v>
      </c>
      <c r="E216" s="7">
        <v>18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 s="10">
        <v>0.78622591686190568</v>
      </c>
      <c r="Y216" s="9">
        <v>364000</v>
      </c>
      <c r="Z216" s="9">
        <v>268500</v>
      </c>
      <c r="AA216" s="9">
        <v>362000</v>
      </c>
      <c r="AB216" s="10">
        <v>0.97905759162303663</v>
      </c>
      <c r="AC216" s="11">
        <v>1338.746874131703</v>
      </c>
      <c r="AD216" s="9">
        <v>266526.55367231637</v>
      </c>
      <c r="AE216" s="8">
        <v>0.29285714285714287</v>
      </c>
    </row>
    <row r="217" spans="1:31" x14ac:dyDescent="0.35">
      <c r="A217" s="6" t="s">
        <v>238</v>
      </c>
      <c r="B217" s="7">
        <v>0</v>
      </c>
      <c r="C217" s="7">
        <v>0</v>
      </c>
      <c r="D217" s="7">
        <v>0</v>
      </c>
      <c r="E217" s="7">
        <v>18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 s="10">
        <v>0.78587308510659493</v>
      </c>
      <c r="Y217" s="9">
        <v>41200</v>
      </c>
      <c r="Z217" s="9">
        <v>34700</v>
      </c>
      <c r="AA217" s="9">
        <v>34700</v>
      </c>
      <c r="AB217" s="10">
        <v>0</v>
      </c>
      <c r="AC217" s="11">
        <v>-89.163656571269797</v>
      </c>
      <c r="AD217" s="9">
        <v>41364.491525423728</v>
      </c>
      <c r="AE217" s="8">
        <v>-0.15158924205378974</v>
      </c>
    </row>
    <row r="218" spans="1:31" x14ac:dyDescent="0.35">
      <c r="A218" s="6" t="s">
        <v>239</v>
      </c>
      <c r="B218" s="7">
        <v>9</v>
      </c>
      <c r="C218" s="7">
        <v>1</v>
      </c>
      <c r="D218" s="7">
        <v>7</v>
      </c>
      <c r="E218" s="7">
        <v>1</v>
      </c>
      <c r="F218">
        <v>109849</v>
      </c>
      <c r="G218">
        <v>5931</v>
      </c>
      <c r="H218">
        <v>5.4</v>
      </c>
      <c r="I218">
        <v>2440</v>
      </c>
      <c r="J218">
        <v>2.2200000000000002</v>
      </c>
      <c r="K218">
        <v>119863</v>
      </c>
      <c r="L218">
        <v>77970</v>
      </c>
      <c r="M218">
        <v>41893</v>
      </c>
      <c r="N218">
        <v>62.76</v>
      </c>
      <c r="O218">
        <v>5.95</v>
      </c>
      <c r="P218">
        <v>20.57</v>
      </c>
      <c r="Q218">
        <v>1.63</v>
      </c>
      <c r="R218">
        <v>0.46</v>
      </c>
      <c r="S218">
        <v>559</v>
      </c>
      <c r="T218">
        <v>7055</v>
      </c>
      <c r="U218">
        <v>25160</v>
      </c>
      <c r="V218">
        <v>20930</v>
      </c>
      <c r="W218">
        <v>4.55</v>
      </c>
      <c r="X218" s="10">
        <v>0.53118590449371694</v>
      </c>
      <c r="Y218" s="9">
        <v>12750</v>
      </c>
      <c r="Z218" s="9">
        <v>10650</v>
      </c>
      <c r="AA218" s="9">
        <v>11250</v>
      </c>
      <c r="AB218" s="10">
        <v>0.2857142857142857</v>
      </c>
      <c r="AC218" s="11">
        <v>-20.348707974437342</v>
      </c>
      <c r="AD218" s="9">
        <v>12304.802259887005</v>
      </c>
      <c r="AE218" s="8">
        <v>-2.5974025974025976E-2</v>
      </c>
    </row>
    <row r="219" spans="1:31" x14ac:dyDescent="0.35">
      <c r="A219" s="6" t="s">
        <v>240</v>
      </c>
      <c r="B219" s="7">
        <v>5</v>
      </c>
      <c r="C219" s="7">
        <v>9</v>
      </c>
      <c r="D219" s="7">
        <v>1</v>
      </c>
      <c r="E219" s="7">
        <v>3</v>
      </c>
      <c r="F219">
        <v>58402</v>
      </c>
      <c r="G219">
        <v>2466</v>
      </c>
      <c r="H219">
        <v>4.22</v>
      </c>
      <c r="I219">
        <v>589</v>
      </c>
      <c r="J219">
        <v>1.01</v>
      </c>
      <c r="K219">
        <v>41045</v>
      </c>
      <c r="L219">
        <v>25633</v>
      </c>
      <c r="M219">
        <v>15412</v>
      </c>
      <c r="N219">
        <v>1202.6500000000001</v>
      </c>
      <c r="O219">
        <v>4.26</v>
      </c>
      <c r="P219">
        <v>45.22</v>
      </c>
      <c r="Q219">
        <v>1.95</v>
      </c>
      <c r="R219">
        <v>0.46</v>
      </c>
      <c r="S219">
        <v>2488</v>
      </c>
      <c r="T219">
        <v>57688</v>
      </c>
      <c r="U219">
        <v>246793</v>
      </c>
      <c r="V219">
        <v>7178</v>
      </c>
      <c r="W219">
        <v>5.14</v>
      </c>
      <c r="X219" s="10">
        <v>1.234381080641934E-3</v>
      </c>
      <c r="Y219" s="9">
        <v>117000</v>
      </c>
      <c r="Z219" s="9">
        <v>94300</v>
      </c>
      <c r="AA219" s="9">
        <v>114500</v>
      </c>
      <c r="AB219" s="10">
        <v>0.88986784140969166</v>
      </c>
      <c r="AC219" s="11">
        <v>-11.303139761044726</v>
      </c>
      <c r="AD219" s="9">
        <v>107348.0790960452</v>
      </c>
      <c r="AE219" s="8">
        <v>4.0909090909090909E-2</v>
      </c>
    </row>
    <row r="220" spans="1:31" x14ac:dyDescent="0.35">
      <c r="A220" s="6" t="s">
        <v>241</v>
      </c>
      <c r="B220" s="7">
        <v>8</v>
      </c>
      <c r="C220" s="7">
        <v>3</v>
      </c>
      <c r="D220" s="7">
        <v>1</v>
      </c>
      <c r="E220" s="7">
        <v>6</v>
      </c>
      <c r="F220">
        <v>295564</v>
      </c>
      <c r="G220">
        <v>3013</v>
      </c>
      <c r="H220">
        <v>1.02</v>
      </c>
      <c r="I220">
        <v>-1545</v>
      </c>
      <c r="J220">
        <v>-0.52</v>
      </c>
      <c r="K220">
        <v>262823</v>
      </c>
      <c r="L220">
        <v>167936</v>
      </c>
      <c r="M220">
        <v>94887</v>
      </c>
      <c r="N220">
        <v>954.4</v>
      </c>
      <c r="O220">
        <v>-1.6</v>
      </c>
      <c r="P220">
        <v>0</v>
      </c>
      <c r="Q220">
        <v>1.25</v>
      </c>
      <c r="R220">
        <v>0.36</v>
      </c>
      <c r="S220">
        <v>-863</v>
      </c>
      <c r="T220">
        <v>47139</v>
      </c>
      <c r="U220">
        <v>164138</v>
      </c>
      <c r="V220">
        <v>12784</v>
      </c>
      <c r="W220">
        <v>12.05</v>
      </c>
      <c r="X220" s="10">
        <v>7.7712977907894526E-2</v>
      </c>
      <c r="Y220" s="9">
        <v>64300</v>
      </c>
      <c r="Z220" s="9">
        <v>58400</v>
      </c>
      <c r="AA220" s="9">
        <v>58900</v>
      </c>
      <c r="AB220" s="10">
        <v>8.4745762711864403E-2</v>
      </c>
      <c r="AC220" s="11">
        <v>-18.024451236454571</v>
      </c>
      <c r="AD220" s="9">
        <v>61144.745762711864</v>
      </c>
      <c r="AE220" s="8">
        <v>-1.0084033613445379E-2</v>
      </c>
    </row>
    <row r="221" spans="1:31" x14ac:dyDescent="0.35">
      <c r="A221" s="6" t="s">
        <v>242</v>
      </c>
      <c r="B221" s="7">
        <v>0</v>
      </c>
      <c r="C221" s="7">
        <v>0</v>
      </c>
      <c r="D221" s="7">
        <v>0</v>
      </c>
      <c r="E221" s="7">
        <v>18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 s="10">
        <v>0.14833798308827975</v>
      </c>
      <c r="Y221" s="9">
        <v>31300</v>
      </c>
      <c r="Z221" s="9">
        <v>26950</v>
      </c>
      <c r="AA221" s="9">
        <v>27100</v>
      </c>
      <c r="AB221" s="10">
        <v>3.4482758620689655E-2</v>
      </c>
      <c r="AC221" s="11">
        <v>-22.654904140038898</v>
      </c>
      <c r="AD221" s="9">
        <v>29668.474576271186</v>
      </c>
      <c r="AE221" s="8">
        <v>-1.9891500904159132E-2</v>
      </c>
    </row>
    <row r="222" spans="1:31" x14ac:dyDescent="0.35">
      <c r="A222" s="6" t="s">
        <v>243</v>
      </c>
      <c r="B222" s="7">
        <v>13</v>
      </c>
      <c r="C222" s="7">
        <v>0</v>
      </c>
      <c r="D222" s="7">
        <v>5</v>
      </c>
      <c r="E222" s="7">
        <v>0</v>
      </c>
      <c r="F222">
        <v>24404</v>
      </c>
      <c r="G222">
        <v>1189</v>
      </c>
      <c r="H222">
        <v>4.87</v>
      </c>
      <c r="I222">
        <v>578</v>
      </c>
      <c r="J222">
        <v>2.37</v>
      </c>
      <c r="K222">
        <v>17812</v>
      </c>
      <c r="L222">
        <v>9293</v>
      </c>
      <c r="M222">
        <v>8519</v>
      </c>
      <c r="N222">
        <v>1607.78</v>
      </c>
      <c r="O222">
        <v>6.95</v>
      </c>
      <c r="P222">
        <v>27.97</v>
      </c>
      <c r="Q222">
        <v>1.99</v>
      </c>
      <c r="R222">
        <v>0.66</v>
      </c>
      <c r="S222">
        <v>5791</v>
      </c>
      <c r="T222">
        <v>81487</v>
      </c>
      <c r="U222">
        <v>244481</v>
      </c>
      <c r="V222">
        <v>1922</v>
      </c>
      <c r="W222">
        <v>9.91</v>
      </c>
      <c r="X222" s="10">
        <v>0.51016282597123053</v>
      </c>
      <c r="Y222" s="9">
        <v>194500</v>
      </c>
      <c r="Z222" s="9">
        <v>159500</v>
      </c>
      <c r="AA222" s="9">
        <v>172000</v>
      </c>
      <c r="AB222" s="10">
        <v>0.35714285714285715</v>
      </c>
      <c r="AC222" s="11">
        <v>375.3125868296749</v>
      </c>
      <c r="AD222" s="9">
        <v>166194.63276836157</v>
      </c>
      <c r="AE222" s="8">
        <v>6.1728395061728392E-2</v>
      </c>
    </row>
    <row r="223" spans="1:31" x14ac:dyDescent="0.35">
      <c r="A223" s="6" t="s">
        <v>244</v>
      </c>
      <c r="B223" s="7">
        <v>0</v>
      </c>
      <c r="C223" s="7">
        <v>0</v>
      </c>
      <c r="D223" s="7">
        <v>0</v>
      </c>
      <c r="E223" s="7">
        <v>18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 s="10">
        <v>0.66748008725475472</v>
      </c>
      <c r="Y223" s="9">
        <v>95900</v>
      </c>
      <c r="Z223" s="9">
        <v>77400</v>
      </c>
      <c r="AA223" s="9">
        <v>90500</v>
      </c>
      <c r="AB223" s="10">
        <v>0.70810810810810809</v>
      </c>
      <c r="AC223" s="11">
        <v>273.42595165323695</v>
      </c>
      <c r="AD223" s="9">
        <v>79603.841807909601</v>
      </c>
      <c r="AE223" s="8">
        <v>0.14556962025316456</v>
      </c>
    </row>
    <row r="224" spans="1:31" x14ac:dyDescent="0.35">
      <c r="A224" s="6" t="s">
        <v>245</v>
      </c>
      <c r="B224" s="7">
        <v>4</v>
      </c>
      <c r="C224" s="7">
        <v>1</v>
      </c>
      <c r="D224" s="7">
        <v>2</v>
      </c>
      <c r="E224" s="7">
        <v>11</v>
      </c>
      <c r="F224">
        <v>196760</v>
      </c>
      <c r="G224">
        <v>11331</v>
      </c>
      <c r="H224">
        <v>5.76</v>
      </c>
      <c r="I224">
        <v>8235</v>
      </c>
      <c r="J224">
        <v>4.1900000000000004</v>
      </c>
      <c r="K224">
        <v>158934</v>
      </c>
      <c r="L224">
        <v>43419</v>
      </c>
      <c r="M224">
        <v>115516</v>
      </c>
      <c r="N224">
        <v>3030.46</v>
      </c>
      <c r="O224">
        <v>7.28</v>
      </c>
      <c r="P224">
        <v>16.170000000000002</v>
      </c>
      <c r="Q224">
        <v>1.19</v>
      </c>
      <c r="R224">
        <v>0.68</v>
      </c>
      <c r="S224">
        <v>11194</v>
      </c>
      <c r="T224">
        <v>152348</v>
      </c>
      <c r="U224">
        <v>267554</v>
      </c>
      <c r="V224">
        <v>20645</v>
      </c>
      <c r="W224">
        <v>6.43</v>
      </c>
      <c r="X224" s="10">
        <v>0.86680516773714089</v>
      </c>
      <c r="Y224" s="9">
        <v>237000</v>
      </c>
      <c r="Z224" s="9">
        <v>164500</v>
      </c>
      <c r="AA224" s="9">
        <v>226500</v>
      </c>
      <c r="AB224" s="10">
        <v>0.85517241379310349</v>
      </c>
      <c r="AC224" s="11">
        <v>1212.1839399833284</v>
      </c>
      <c r="AD224" s="9">
        <v>171620.05649717513</v>
      </c>
      <c r="AE224" s="8">
        <v>0.23433242506811988</v>
      </c>
    </row>
    <row r="225" spans="1:31" x14ac:dyDescent="0.35">
      <c r="A225" s="6" t="s">
        <v>246</v>
      </c>
      <c r="B225" s="7">
        <v>0</v>
      </c>
      <c r="C225" s="7">
        <v>0</v>
      </c>
      <c r="D225" s="7">
        <v>0</v>
      </c>
      <c r="E225" s="7">
        <v>18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 s="10">
        <v>0.60499077644050725</v>
      </c>
      <c r="Y225" s="9">
        <v>166500</v>
      </c>
      <c r="Z225" s="9">
        <v>123500</v>
      </c>
      <c r="AA225" s="9">
        <v>150500</v>
      </c>
      <c r="AB225" s="10">
        <v>0.62790697674418605</v>
      </c>
      <c r="AC225" s="11">
        <v>494.74854126146164</v>
      </c>
      <c r="AD225" s="9">
        <v>133626.83615819208</v>
      </c>
      <c r="AE225" s="8">
        <v>6.3604240282685506E-2</v>
      </c>
    </row>
    <row r="226" spans="1:31" x14ac:dyDescent="0.35">
      <c r="A226" s="6" t="s">
        <v>247</v>
      </c>
      <c r="B226" s="7">
        <v>2</v>
      </c>
      <c r="C226" s="7">
        <v>9</v>
      </c>
      <c r="D226" s="7">
        <v>3</v>
      </c>
      <c r="E226" s="7">
        <v>4</v>
      </c>
      <c r="F226">
        <v>107046</v>
      </c>
      <c r="G226">
        <v>1714</v>
      </c>
      <c r="H226">
        <v>1.6</v>
      </c>
      <c r="I226">
        <v>1387</v>
      </c>
      <c r="J226">
        <v>1.3</v>
      </c>
      <c r="K226">
        <v>231347</v>
      </c>
      <c r="L226">
        <v>214003</v>
      </c>
      <c r="M226">
        <v>17344</v>
      </c>
      <c r="N226">
        <v>5870.11</v>
      </c>
      <c r="O226">
        <v>8.69</v>
      </c>
      <c r="P226">
        <v>10.210000000000001</v>
      </c>
      <c r="Q226">
        <v>0.97</v>
      </c>
      <c r="R226">
        <v>0.13</v>
      </c>
      <c r="S226">
        <v>2683</v>
      </c>
      <c r="T226">
        <v>28194</v>
      </c>
      <c r="U226">
        <v>207012</v>
      </c>
      <c r="V226">
        <v>0</v>
      </c>
      <c r="W226">
        <v>0</v>
      </c>
      <c r="X226" s="10">
        <v>0.79394174448720278</v>
      </c>
      <c r="Y226" s="9">
        <v>27400</v>
      </c>
      <c r="Z226" s="9">
        <v>21700</v>
      </c>
      <c r="AA226" s="9">
        <v>22450</v>
      </c>
      <c r="AB226" s="10">
        <v>0.13157894736842105</v>
      </c>
      <c r="AC226" s="11">
        <v>-77.585440400111125</v>
      </c>
      <c r="AD226" s="9">
        <v>26413.022598870059</v>
      </c>
      <c r="AE226" s="8">
        <v>-0.17463235294117646</v>
      </c>
    </row>
    <row r="227" spans="1:31" x14ac:dyDescent="0.35">
      <c r="A227" s="6" t="s">
        <v>248</v>
      </c>
      <c r="B227" s="7">
        <v>1</v>
      </c>
      <c r="C227" s="7">
        <v>1</v>
      </c>
      <c r="D227" s="7">
        <v>16</v>
      </c>
      <c r="E227" s="7">
        <v>0</v>
      </c>
      <c r="F227">
        <v>638</v>
      </c>
      <c r="G227">
        <v>-96</v>
      </c>
      <c r="H227">
        <v>-15.12</v>
      </c>
      <c r="I227">
        <v>-87</v>
      </c>
      <c r="J227">
        <v>-13.72</v>
      </c>
      <c r="K227">
        <v>889</v>
      </c>
      <c r="L227">
        <v>607</v>
      </c>
      <c r="M227">
        <v>282</v>
      </c>
      <c r="N227">
        <v>167.96</v>
      </c>
      <c r="O227">
        <v>-35.89</v>
      </c>
      <c r="P227">
        <v>0</v>
      </c>
      <c r="Q227">
        <v>5.27</v>
      </c>
      <c r="R227">
        <v>1.45</v>
      </c>
      <c r="S227">
        <v>-528</v>
      </c>
      <c r="T227">
        <v>1061</v>
      </c>
      <c r="U227">
        <v>3847</v>
      </c>
      <c r="V227">
        <v>-100</v>
      </c>
      <c r="W227">
        <v>-16.16</v>
      </c>
      <c r="X227" s="10">
        <v>0.61268353518985741</v>
      </c>
      <c r="Y227" s="9">
        <v>5740</v>
      </c>
      <c r="Z227" s="9">
        <v>3885</v>
      </c>
      <c r="AA227" s="9">
        <v>5550</v>
      </c>
      <c r="AB227" s="10">
        <v>0.89757412398921832</v>
      </c>
      <c r="AC227" s="11">
        <v>22.598499583217563</v>
      </c>
      <c r="AD227" s="9">
        <v>3859.0790960451973</v>
      </c>
      <c r="AE227" s="8">
        <v>0.31205673758865249</v>
      </c>
    </row>
    <row r="228" spans="1:31" x14ac:dyDescent="0.35">
      <c r="A228" s="6" t="s">
        <v>249</v>
      </c>
      <c r="B228" s="7">
        <v>3</v>
      </c>
      <c r="C228" s="7">
        <v>2</v>
      </c>
      <c r="D228" s="7">
        <v>0</v>
      </c>
      <c r="E228" s="7">
        <v>13</v>
      </c>
      <c r="F228">
        <v>978</v>
      </c>
      <c r="G228">
        <v>614</v>
      </c>
      <c r="H228">
        <v>62.74</v>
      </c>
      <c r="I228">
        <v>525</v>
      </c>
      <c r="J228">
        <v>53.71</v>
      </c>
      <c r="K228">
        <v>21508</v>
      </c>
      <c r="L228">
        <v>4077</v>
      </c>
      <c r="M228">
        <v>17431</v>
      </c>
      <c r="N228">
        <v>1031.22</v>
      </c>
      <c r="O228">
        <v>3.03</v>
      </c>
      <c r="P228">
        <v>28.7</v>
      </c>
      <c r="Q228">
        <v>1.01</v>
      </c>
      <c r="R228">
        <v>15.41</v>
      </c>
      <c r="S228">
        <v>1892</v>
      </c>
      <c r="T228">
        <v>54003</v>
      </c>
      <c r="U228">
        <v>3524</v>
      </c>
      <c r="V228">
        <v>658</v>
      </c>
      <c r="W228">
        <v>30.98</v>
      </c>
      <c r="X228" s="10">
        <v>6.6843630786881617E-2</v>
      </c>
      <c r="Y228" s="9">
        <v>55700</v>
      </c>
      <c r="Z228" s="9">
        <v>46850</v>
      </c>
      <c r="AA228" s="9">
        <v>52000</v>
      </c>
      <c r="AB228" s="10">
        <v>0.58192090395480223</v>
      </c>
      <c r="AC228" s="11">
        <v>37.039455404278968</v>
      </c>
      <c r="AD228" s="9">
        <v>49714.463276836155</v>
      </c>
      <c r="AE228" s="8">
        <v>-6.6427289048473961E-2</v>
      </c>
    </row>
    <row r="229" spans="1:31" x14ac:dyDescent="0.35">
      <c r="A229" s="6" t="s">
        <v>250</v>
      </c>
      <c r="B229" s="7">
        <v>4</v>
      </c>
      <c r="C229" s="7">
        <v>3</v>
      </c>
      <c r="D229" s="7">
        <v>3</v>
      </c>
      <c r="E229" s="7">
        <v>8</v>
      </c>
      <c r="F229">
        <v>8457</v>
      </c>
      <c r="G229">
        <v>111</v>
      </c>
      <c r="H229">
        <v>1.32</v>
      </c>
      <c r="I229">
        <v>-182</v>
      </c>
      <c r="J229">
        <v>-2.15</v>
      </c>
      <c r="K229">
        <v>14126</v>
      </c>
      <c r="L229">
        <v>7690</v>
      </c>
      <c r="M229">
        <v>6437</v>
      </c>
      <c r="N229">
        <v>68.680000000000007</v>
      </c>
      <c r="O229">
        <v>-2.78</v>
      </c>
      <c r="P229">
        <v>0</v>
      </c>
      <c r="Q229">
        <v>0.51</v>
      </c>
      <c r="R229">
        <v>0.36</v>
      </c>
      <c r="S229">
        <v>-251</v>
      </c>
      <c r="T229">
        <v>8069</v>
      </c>
      <c r="U229">
        <v>11320</v>
      </c>
      <c r="V229">
        <v>262</v>
      </c>
      <c r="W229">
        <v>30.65</v>
      </c>
      <c r="X229" s="10">
        <v>0.61801739101539577</v>
      </c>
      <c r="Y229" s="9">
        <v>4595</v>
      </c>
      <c r="Z229" s="9">
        <v>3590</v>
      </c>
      <c r="AA229" s="9">
        <v>4345</v>
      </c>
      <c r="AB229" s="10">
        <v>0.75124378109452739</v>
      </c>
      <c r="AC229" s="11">
        <v>14.229369269241454</v>
      </c>
      <c r="AD229" s="9">
        <v>3535.9209039548023</v>
      </c>
      <c r="AE229" s="8">
        <v>6.8880688806888066E-2</v>
      </c>
    </row>
    <row r="230" spans="1:31" x14ac:dyDescent="0.35">
      <c r="A230" s="6" t="s">
        <v>251</v>
      </c>
      <c r="B230" s="7">
        <v>0</v>
      </c>
      <c r="C230" s="7">
        <v>0</v>
      </c>
      <c r="D230" s="7">
        <v>0</v>
      </c>
      <c r="E230" s="7">
        <v>18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 s="10">
        <v>4.7088937707148468E-5</v>
      </c>
      <c r="Y230" s="9">
        <v>4740</v>
      </c>
      <c r="Z230" s="9">
        <v>3570</v>
      </c>
      <c r="AA230" s="9">
        <v>4560</v>
      </c>
      <c r="AB230" s="10">
        <v>0.84615384615384615</v>
      </c>
      <c r="AC230" s="11">
        <v>-0.13295359822172825</v>
      </c>
      <c r="AD230" s="9">
        <v>4171.3050847457625</v>
      </c>
      <c r="AE230" s="8">
        <v>-1.935483870967742E-2</v>
      </c>
    </row>
    <row r="231" spans="1:31" x14ac:dyDescent="0.35">
      <c r="A231" s="6" t="s">
        <v>252</v>
      </c>
      <c r="B231" s="7">
        <v>6</v>
      </c>
      <c r="C231" s="7">
        <v>2</v>
      </c>
      <c r="D231" s="7">
        <v>6</v>
      </c>
      <c r="E231" s="7">
        <v>4</v>
      </c>
      <c r="F231">
        <v>18277</v>
      </c>
      <c r="G231">
        <v>1551</v>
      </c>
      <c r="H231">
        <v>8.49</v>
      </c>
      <c r="I231">
        <v>939</v>
      </c>
      <c r="J231">
        <v>5.14</v>
      </c>
      <c r="K231">
        <v>21511</v>
      </c>
      <c r="L231">
        <v>11952</v>
      </c>
      <c r="M231">
        <v>9559</v>
      </c>
      <c r="N231">
        <v>554.29999999999995</v>
      </c>
      <c r="O231">
        <v>10.11</v>
      </c>
      <c r="P231">
        <v>18.68</v>
      </c>
      <c r="Q231">
        <v>2.17</v>
      </c>
      <c r="R231">
        <v>0.96</v>
      </c>
      <c r="S231">
        <v>3202</v>
      </c>
      <c r="T231">
        <v>27586</v>
      </c>
      <c r="U231">
        <v>62324</v>
      </c>
      <c r="V231">
        <v>2277</v>
      </c>
      <c r="W231">
        <v>9.8699999999999992</v>
      </c>
      <c r="X231" s="10">
        <v>0.18787038250805826</v>
      </c>
      <c r="Y231" s="9">
        <v>63000</v>
      </c>
      <c r="Z231" s="9">
        <v>58000</v>
      </c>
      <c r="AA231" s="9">
        <v>62600</v>
      </c>
      <c r="AB231" s="10">
        <v>0.92</v>
      </c>
      <c r="AC231" s="11">
        <v>24.740205612670188</v>
      </c>
      <c r="AD231" s="9">
        <v>59868.757062146899</v>
      </c>
      <c r="AE231" s="8">
        <v>3.130148270181219E-2</v>
      </c>
    </row>
    <row r="232" spans="1:31" x14ac:dyDescent="0.35">
      <c r="A232" s="6" t="s">
        <v>253</v>
      </c>
      <c r="B232" s="7">
        <v>12</v>
      </c>
      <c r="C232" s="7">
        <v>3</v>
      </c>
      <c r="D232" s="7">
        <v>0</v>
      </c>
      <c r="E232" s="7">
        <v>3</v>
      </c>
      <c r="F232">
        <v>846</v>
      </c>
      <c r="G232">
        <v>92</v>
      </c>
      <c r="H232">
        <v>10.91</v>
      </c>
      <c r="I232">
        <v>91</v>
      </c>
      <c r="J232">
        <v>10.77</v>
      </c>
      <c r="K232">
        <v>1069</v>
      </c>
      <c r="L232">
        <v>227</v>
      </c>
      <c r="M232">
        <v>842</v>
      </c>
      <c r="N232">
        <v>1645.39</v>
      </c>
      <c r="O232">
        <v>11.38</v>
      </c>
      <c r="P232">
        <v>19.920000000000002</v>
      </c>
      <c r="Q232">
        <v>2.4900000000000002</v>
      </c>
      <c r="R232">
        <v>2.15</v>
      </c>
      <c r="S232">
        <v>1039</v>
      </c>
      <c r="T232">
        <v>8321</v>
      </c>
      <c r="U232">
        <v>9647</v>
      </c>
      <c r="V232">
        <v>102</v>
      </c>
      <c r="W232">
        <v>17.87</v>
      </c>
      <c r="X232" s="10">
        <v>0.26676194750016835</v>
      </c>
      <c r="Y232" s="9">
        <v>23700</v>
      </c>
      <c r="Z232" s="9">
        <v>20700</v>
      </c>
      <c r="AA232" s="9">
        <v>21450</v>
      </c>
      <c r="AB232" s="10">
        <v>0.25</v>
      </c>
      <c r="AC232" s="11">
        <v>20.905807168657965</v>
      </c>
      <c r="AD232" s="9">
        <v>21655.706214689264</v>
      </c>
      <c r="AE232" s="8">
        <v>3.125E-2</v>
      </c>
    </row>
    <row r="233" spans="1:31" x14ac:dyDescent="0.35">
      <c r="A233" s="6" t="s">
        <v>254</v>
      </c>
      <c r="B233" s="7">
        <v>4</v>
      </c>
      <c r="C233" s="7">
        <v>9</v>
      </c>
      <c r="D233" s="7">
        <v>3</v>
      </c>
      <c r="E233" s="7">
        <v>2</v>
      </c>
      <c r="F233">
        <v>490</v>
      </c>
      <c r="G233">
        <v>87</v>
      </c>
      <c r="H233">
        <v>17.86</v>
      </c>
      <c r="I233">
        <v>46</v>
      </c>
      <c r="J233">
        <v>9.43</v>
      </c>
      <c r="K233">
        <v>853</v>
      </c>
      <c r="L233">
        <v>327</v>
      </c>
      <c r="M233">
        <v>525</v>
      </c>
      <c r="N233">
        <v>1042.28</v>
      </c>
      <c r="O233">
        <v>9.27</v>
      </c>
      <c r="P233">
        <v>11.62</v>
      </c>
      <c r="Q233">
        <v>1.1499999999999999</v>
      </c>
      <c r="R233">
        <v>1.1000000000000001</v>
      </c>
      <c r="S233">
        <v>640</v>
      </c>
      <c r="T233">
        <v>6496</v>
      </c>
      <c r="U233">
        <v>6788</v>
      </c>
      <c r="V233">
        <v>96</v>
      </c>
      <c r="W233">
        <v>7.89</v>
      </c>
      <c r="X233" s="10">
        <v>0.3712621558447417</v>
      </c>
      <c r="Y233" s="9">
        <v>9190</v>
      </c>
      <c r="Z233" s="9">
        <v>7160</v>
      </c>
      <c r="AA233" s="9">
        <v>8070</v>
      </c>
      <c r="AB233" s="10">
        <v>0.44827586206896552</v>
      </c>
      <c r="AC233" s="11">
        <v>16.322589608224511</v>
      </c>
      <c r="AD233" s="9">
        <v>7576.3276836158193</v>
      </c>
      <c r="AE233" s="8">
        <v>9.7959183673469383E-2</v>
      </c>
    </row>
    <row r="234" spans="1:31" x14ac:dyDescent="0.35">
      <c r="A234" s="6" t="s">
        <v>255</v>
      </c>
      <c r="B234" s="7">
        <v>4</v>
      </c>
      <c r="C234" s="7">
        <v>4</v>
      </c>
      <c r="D234" s="7">
        <v>3</v>
      </c>
      <c r="E234" s="7">
        <v>7</v>
      </c>
      <c r="F234">
        <v>1429</v>
      </c>
      <c r="G234">
        <v>18</v>
      </c>
      <c r="H234">
        <v>1.23</v>
      </c>
      <c r="I234">
        <v>9</v>
      </c>
      <c r="J234">
        <v>0.65</v>
      </c>
      <c r="K234">
        <v>831</v>
      </c>
      <c r="L234">
        <v>377</v>
      </c>
      <c r="M234">
        <v>454</v>
      </c>
      <c r="N234">
        <v>736.92</v>
      </c>
      <c r="O234">
        <v>2.61</v>
      </c>
      <c r="P234">
        <v>253.93</v>
      </c>
      <c r="Q234">
        <v>6.88</v>
      </c>
      <c r="R234">
        <v>1.64</v>
      </c>
      <c r="S234">
        <v>14</v>
      </c>
      <c r="T234">
        <v>517</v>
      </c>
      <c r="U234">
        <v>2173</v>
      </c>
      <c r="V234">
        <v>57</v>
      </c>
      <c r="W234">
        <v>49.23</v>
      </c>
      <c r="X234" s="10">
        <v>4.453346779720967E-3</v>
      </c>
      <c r="Y234" s="9">
        <v>4115</v>
      </c>
      <c r="Z234" s="9">
        <v>3045</v>
      </c>
      <c r="AA234" s="9">
        <v>4115</v>
      </c>
      <c r="AB234" s="10">
        <v>1</v>
      </c>
      <c r="AC234" s="11">
        <v>-0.97916087802167229</v>
      </c>
      <c r="AD234" s="9">
        <v>3659.1977401129943</v>
      </c>
      <c r="AE234" s="8">
        <v>0.21207658321060383</v>
      </c>
    </row>
    <row r="235" spans="1:31" x14ac:dyDescent="0.35">
      <c r="A235" s="6" t="s">
        <v>256</v>
      </c>
      <c r="B235" s="7">
        <v>4</v>
      </c>
      <c r="C235" s="7">
        <v>6</v>
      </c>
      <c r="D235" s="7">
        <v>8</v>
      </c>
      <c r="E235" s="7">
        <v>0</v>
      </c>
      <c r="F235">
        <v>16372</v>
      </c>
      <c r="G235">
        <v>7119</v>
      </c>
      <c r="H235">
        <v>43.48</v>
      </c>
      <c r="I235">
        <v>4607</v>
      </c>
      <c r="J235">
        <v>28.14</v>
      </c>
      <c r="K235">
        <v>27284</v>
      </c>
      <c r="L235">
        <v>8171</v>
      </c>
      <c r="M235">
        <v>19113</v>
      </c>
      <c r="N235">
        <v>16910.099999999999</v>
      </c>
      <c r="O235">
        <v>26.13</v>
      </c>
      <c r="P235">
        <v>45.98</v>
      </c>
      <c r="Q235">
        <v>12.53</v>
      </c>
      <c r="R235">
        <v>12.94</v>
      </c>
      <c r="S235">
        <v>15486</v>
      </c>
      <c r="T235">
        <v>56845</v>
      </c>
      <c r="U235">
        <v>55036</v>
      </c>
      <c r="V235">
        <v>7407</v>
      </c>
      <c r="W235">
        <v>31.69</v>
      </c>
      <c r="X235" s="10">
        <v>0.62873901864070358</v>
      </c>
      <c r="Y235" s="9">
        <v>790000</v>
      </c>
      <c r="Z235" s="9">
        <v>626000</v>
      </c>
      <c r="AA235" s="9">
        <v>672000</v>
      </c>
      <c r="AB235" s="10">
        <v>0.28048780487804881</v>
      </c>
      <c r="AC235" s="11">
        <v>-2248.0133370380659</v>
      </c>
      <c r="AD235" s="9">
        <v>767697.74011299433</v>
      </c>
      <c r="AE235" s="8">
        <v>-7.0539419087136929E-2</v>
      </c>
    </row>
    <row r="236" spans="1:31" x14ac:dyDescent="0.35">
      <c r="A236" s="6" t="s">
        <v>257</v>
      </c>
      <c r="B236" s="7">
        <v>3</v>
      </c>
      <c r="C236" s="7">
        <v>8</v>
      </c>
      <c r="D236" s="7">
        <v>6</v>
      </c>
      <c r="E236" s="7">
        <v>1</v>
      </c>
      <c r="F236">
        <v>544</v>
      </c>
      <c r="G236">
        <v>55</v>
      </c>
      <c r="H236">
        <v>10.16</v>
      </c>
      <c r="I236">
        <v>42</v>
      </c>
      <c r="J236">
        <v>7.8</v>
      </c>
      <c r="K236">
        <v>1736</v>
      </c>
      <c r="L236">
        <v>488</v>
      </c>
      <c r="M236">
        <v>1248</v>
      </c>
      <c r="N236">
        <v>1721.75</v>
      </c>
      <c r="O236">
        <v>5.63</v>
      </c>
      <c r="P236">
        <v>40.380000000000003</v>
      </c>
      <c r="Q236">
        <v>1.99</v>
      </c>
      <c r="R236">
        <v>3.15</v>
      </c>
      <c r="S236">
        <v>447</v>
      </c>
      <c r="T236">
        <v>9067</v>
      </c>
      <c r="U236">
        <v>5733</v>
      </c>
      <c r="V236">
        <v>57</v>
      </c>
      <c r="W236">
        <v>41.72</v>
      </c>
      <c r="X236" s="10">
        <v>2.4762986801736258E-2</v>
      </c>
      <c r="Y236" s="9">
        <v>25150</v>
      </c>
      <c r="Z236" s="9">
        <v>17900</v>
      </c>
      <c r="AA236" s="9">
        <v>25000</v>
      </c>
      <c r="AB236" s="10">
        <v>0.97931034482758617</v>
      </c>
      <c r="AC236" s="11">
        <v>13.109196999166432</v>
      </c>
      <c r="AD236" s="9">
        <v>21973.502824858755</v>
      </c>
      <c r="AE236" s="8">
        <v>0.39664804469273746</v>
      </c>
    </row>
    <row r="237" spans="1:31" x14ac:dyDescent="0.35">
      <c r="A237" s="6" t="s">
        <v>258</v>
      </c>
      <c r="B237" s="7">
        <v>8</v>
      </c>
      <c r="C237" s="7">
        <v>0</v>
      </c>
      <c r="D237" s="7">
        <v>8</v>
      </c>
      <c r="E237" s="7">
        <v>2</v>
      </c>
      <c r="F237">
        <v>2428</v>
      </c>
      <c r="G237">
        <v>166</v>
      </c>
      <c r="H237">
        <v>6.85</v>
      </c>
      <c r="I237">
        <v>183</v>
      </c>
      <c r="J237">
        <v>7.52</v>
      </c>
      <c r="K237">
        <v>11725</v>
      </c>
      <c r="L237">
        <v>752</v>
      </c>
      <c r="M237">
        <v>10973</v>
      </c>
      <c r="N237">
        <v>14712.57</v>
      </c>
      <c r="O237">
        <v>1.7</v>
      </c>
      <c r="P237">
        <v>71.78</v>
      </c>
      <c r="Q237">
        <v>1.23</v>
      </c>
      <c r="R237">
        <v>5.4</v>
      </c>
      <c r="S237">
        <v>1219</v>
      </c>
      <c r="T237">
        <v>71112</v>
      </c>
      <c r="U237">
        <v>16194</v>
      </c>
      <c r="V237">
        <v>293</v>
      </c>
      <c r="W237">
        <v>45.24</v>
      </c>
      <c r="X237" s="10">
        <v>0.63695484711968409</v>
      </c>
      <c r="Y237" s="9">
        <v>94400</v>
      </c>
      <c r="Z237" s="9">
        <v>67100</v>
      </c>
      <c r="AA237" s="9">
        <v>69100</v>
      </c>
      <c r="AB237" s="10">
        <v>7.3260073260073263E-2</v>
      </c>
      <c r="AC237" s="11">
        <v>-311.66157265907185</v>
      </c>
      <c r="AD237" s="9">
        <v>85067.344632768363</v>
      </c>
      <c r="AE237" s="8">
        <v>-0.21298405466970388</v>
      </c>
    </row>
    <row r="238" spans="1:31" x14ac:dyDescent="0.35">
      <c r="A238" s="6" t="s">
        <v>259</v>
      </c>
      <c r="B238" s="7">
        <v>2</v>
      </c>
      <c r="C238" s="7">
        <v>12</v>
      </c>
      <c r="D238" s="7">
        <v>1</v>
      </c>
      <c r="E238" s="7">
        <v>3</v>
      </c>
      <c r="F238">
        <v>33410</v>
      </c>
      <c r="G238">
        <v>886</v>
      </c>
      <c r="H238">
        <v>2.65</v>
      </c>
      <c r="I238">
        <v>611</v>
      </c>
      <c r="J238">
        <v>1.83</v>
      </c>
      <c r="K238">
        <v>343942</v>
      </c>
      <c r="L238">
        <v>308597</v>
      </c>
      <c r="M238">
        <v>35345</v>
      </c>
      <c r="N238">
        <v>217.25</v>
      </c>
      <c r="O238">
        <v>2.33</v>
      </c>
      <c r="P238">
        <v>29.43</v>
      </c>
      <c r="Q238">
        <v>0.73</v>
      </c>
      <c r="R238">
        <v>0.57999999999999996</v>
      </c>
      <c r="S238">
        <v>401</v>
      </c>
      <c r="T238">
        <v>16107</v>
      </c>
      <c r="U238">
        <v>20513</v>
      </c>
      <c r="V238">
        <v>0</v>
      </c>
      <c r="W238">
        <v>0</v>
      </c>
      <c r="X238" s="10">
        <v>0.82715554769996036</v>
      </c>
      <c r="Y238" s="9">
        <v>13900</v>
      </c>
      <c r="Z238" s="9">
        <v>10050</v>
      </c>
      <c r="AA238" s="9">
        <v>13700</v>
      </c>
      <c r="AB238" s="10">
        <v>0.94805194805194803</v>
      </c>
      <c r="AC238" s="11">
        <v>51.265629341483738</v>
      </c>
      <c r="AD238" s="9">
        <v>9957.2316384180795</v>
      </c>
      <c r="AE238" s="8">
        <v>0.33658536585365856</v>
      </c>
    </row>
    <row r="239" spans="1:31" x14ac:dyDescent="0.35">
      <c r="A239" s="6" t="s">
        <v>260</v>
      </c>
      <c r="B239" s="7">
        <v>0</v>
      </c>
      <c r="C239" s="7">
        <v>0</v>
      </c>
      <c r="D239" s="7">
        <v>0</v>
      </c>
      <c r="E239" s="7">
        <v>18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 s="10">
        <v>0.78144526689864779</v>
      </c>
      <c r="Y239" s="9">
        <v>7310</v>
      </c>
      <c r="Z239" s="9">
        <v>5610</v>
      </c>
      <c r="AA239" s="9">
        <v>7150</v>
      </c>
      <c r="AB239" s="10">
        <v>0.90588235294117647</v>
      </c>
      <c r="AC239" s="11">
        <v>21.686579605445953</v>
      </c>
      <c r="AD239" s="9">
        <v>5659.2259887005657</v>
      </c>
      <c r="AE239" s="8">
        <v>0.19765494137353434</v>
      </c>
    </row>
    <row r="240" spans="1:31" x14ac:dyDescent="0.35">
      <c r="A240" s="6" t="s">
        <v>261</v>
      </c>
      <c r="B240" s="7">
        <v>10</v>
      </c>
      <c r="C240" s="7">
        <v>5</v>
      </c>
      <c r="D240" s="7">
        <v>0</v>
      </c>
      <c r="E240" s="7">
        <v>3</v>
      </c>
      <c r="F240">
        <v>249</v>
      </c>
      <c r="G240">
        <v>55</v>
      </c>
      <c r="H240">
        <v>22.06</v>
      </c>
      <c r="I240">
        <v>87</v>
      </c>
      <c r="J240">
        <v>35.14</v>
      </c>
      <c r="K240">
        <v>3745</v>
      </c>
      <c r="L240">
        <v>497</v>
      </c>
      <c r="M240">
        <v>3247</v>
      </c>
      <c r="N240">
        <v>1699.51</v>
      </c>
      <c r="O240">
        <v>2.71</v>
      </c>
      <c r="P240">
        <v>64.08</v>
      </c>
      <c r="Q240">
        <v>1.79</v>
      </c>
      <c r="R240">
        <v>22.53</v>
      </c>
      <c r="S240">
        <v>238</v>
      </c>
      <c r="T240">
        <v>8524</v>
      </c>
      <c r="U240">
        <v>677</v>
      </c>
      <c r="V240">
        <v>74</v>
      </c>
      <c r="W240">
        <v>82.68</v>
      </c>
      <c r="X240" s="10">
        <v>0.69636878437940652</v>
      </c>
      <c r="Y240" s="9">
        <v>20500</v>
      </c>
      <c r="Z240" s="9">
        <v>14650</v>
      </c>
      <c r="AA240" s="9">
        <v>20500</v>
      </c>
      <c r="AB240" s="10">
        <v>1</v>
      </c>
      <c r="AC240" s="11">
        <v>61.424006668519034</v>
      </c>
      <c r="AD240" s="9">
        <v>16272.401129943501</v>
      </c>
      <c r="AE240" s="8">
        <v>0.39931740614334471</v>
      </c>
    </row>
    <row r="241" spans="1:31" x14ac:dyDescent="0.35">
      <c r="A241" s="6" t="s">
        <v>262</v>
      </c>
      <c r="B241" s="7">
        <v>11</v>
      </c>
      <c r="C241" s="7">
        <v>5</v>
      </c>
      <c r="D241" s="7">
        <v>0</v>
      </c>
      <c r="E241" s="7">
        <v>2</v>
      </c>
      <c r="F241">
        <v>2205</v>
      </c>
      <c r="G241">
        <v>222</v>
      </c>
      <c r="H241">
        <v>10.050000000000001</v>
      </c>
      <c r="I241">
        <v>169</v>
      </c>
      <c r="J241">
        <v>7.65</v>
      </c>
      <c r="K241">
        <v>1589</v>
      </c>
      <c r="L241">
        <v>418</v>
      </c>
      <c r="M241">
        <v>1170</v>
      </c>
      <c r="N241">
        <v>285.67</v>
      </c>
      <c r="O241">
        <v>15.02</v>
      </c>
      <c r="P241">
        <v>17.010000000000002</v>
      </c>
      <c r="Q241">
        <v>3.16</v>
      </c>
      <c r="R241">
        <v>1.3</v>
      </c>
      <c r="S241">
        <v>278</v>
      </c>
      <c r="T241">
        <v>1497</v>
      </c>
      <c r="U241">
        <v>3632</v>
      </c>
      <c r="V241">
        <v>296</v>
      </c>
      <c r="W241">
        <v>9.7100000000000009</v>
      </c>
      <c r="X241" s="10">
        <v>0.4744920731250849</v>
      </c>
      <c r="Y241" s="9">
        <v>6750</v>
      </c>
      <c r="Z241" s="9">
        <v>4715</v>
      </c>
      <c r="AA241" s="9">
        <v>6300</v>
      </c>
      <c r="AB241" s="10">
        <v>0.77886977886977882</v>
      </c>
      <c r="AC241" s="11">
        <v>17.418866351764375</v>
      </c>
      <c r="AD241" s="9">
        <v>5605.8079096045194</v>
      </c>
      <c r="AE241" s="8">
        <v>0.33616118769883352</v>
      </c>
    </row>
    <row r="242" spans="1:31" x14ac:dyDescent="0.35">
      <c r="A242" s="6" t="s">
        <v>263</v>
      </c>
      <c r="B242" s="7">
        <v>9</v>
      </c>
      <c r="C242" s="7">
        <v>2</v>
      </c>
      <c r="D242" s="7">
        <v>4</v>
      </c>
      <c r="E242" s="7">
        <v>3</v>
      </c>
      <c r="F242">
        <v>1266</v>
      </c>
      <c r="G242">
        <v>104</v>
      </c>
      <c r="H242">
        <v>8.25</v>
      </c>
      <c r="I242">
        <v>53</v>
      </c>
      <c r="J242">
        <v>4.1900000000000004</v>
      </c>
      <c r="K242">
        <v>1692</v>
      </c>
      <c r="L242">
        <v>966</v>
      </c>
      <c r="M242">
        <v>725</v>
      </c>
      <c r="N242">
        <v>410.41</v>
      </c>
      <c r="O242">
        <v>7.5</v>
      </c>
      <c r="P242">
        <v>12.53</v>
      </c>
      <c r="Q242">
        <v>0.92</v>
      </c>
      <c r="R242">
        <v>0.52</v>
      </c>
      <c r="S242">
        <v>186</v>
      </c>
      <c r="T242">
        <v>2532</v>
      </c>
      <c r="U242">
        <v>4453</v>
      </c>
      <c r="V242">
        <v>171</v>
      </c>
      <c r="W242">
        <v>8.31</v>
      </c>
      <c r="X242" s="10">
        <v>0.47655429455339038</v>
      </c>
      <c r="Y242" s="9">
        <v>2600</v>
      </c>
      <c r="Z242" s="9">
        <v>2180</v>
      </c>
      <c r="AA242" s="9">
        <v>2600</v>
      </c>
      <c r="AB242" s="10">
        <v>1</v>
      </c>
      <c r="AC242" s="11">
        <v>4.3395387607668798</v>
      </c>
      <c r="AD242" s="9">
        <v>2282.9774011299437</v>
      </c>
      <c r="AE242" s="8">
        <v>9.0146750524109018E-2</v>
      </c>
    </row>
    <row r="243" spans="1:31" x14ac:dyDescent="0.35">
      <c r="A243" s="6" t="s">
        <v>264</v>
      </c>
      <c r="B243" s="7">
        <v>9</v>
      </c>
      <c r="C243" s="7">
        <v>1</v>
      </c>
      <c r="D243" s="7">
        <v>7</v>
      </c>
      <c r="E243" s="7">
        <v>1</v>
      </c>
      <c r="F243">
        <v>2992</v>
      </c>
      <c r="G243">
        <v>148</v>
      </c>
      <c r="H243">
        <v>4.96</v>
      </c>
      <c r="I243">
        <v>159</v>
      </c>
      <c r="J243">
        <v>5.3</v>
      </c>
      <c r="K243">
        <v>2580</v>
      </c>
      <c r="L243">
        <v>1005</v>
      </c>
      <c r="M243">
        <v>1574</v>
      </c>
      <c r="N243">
        <v>650.97</v>
      </c>
      <c r="O243">
        <v>10.54</v>
      </c>
      <c r="P243">
        <v>14.26</v>
      </c>
      <c r="Q243">
        <v>1.48</v>
      </c>
      <c r="R243">
        <v>0.77</v>
      </c>
      <c r="S243">
        <v>387</v>
      </c>
      <c r="T243">
        <v>3725</v>
      </c>
      <c r="U243">
        <v>7123</v>
      </c>
      <c r="V243">
        <v>342</v>
      </c>
      <c r="W243">
        <v>8.26</v>
      </c>
      <c r="X243" s="10">
        <v>0.91000097457807738</v>
      </c>
      <c r="Y243" s="9">
        <v>6390</v>
      </c>
      <c r="Z243" s="9">
        <v>5290</v>
      </c>
      <c r="AA243" s="9">
        <v>6380</v>
      </c>
      <c r="AB243" s="10">
        <v>0.99090909090909096</v>
      </c>
      <c r="AC243" s="11">
        <v>15.585440400111143</v>
      </c>
      <c r="AD243" s="9">
        <v>5330.9774011299432</v>
      </c>
      <c r="AE243" s="8">
        <v>0.16211293260473589</v>
      </c>
    </row>
    <row r="244" spans="1:31" x14ac:dyDescent="0.35">
      <c r="A244" s="6" t="s">
        <v>265</v>
      </c>
      <c r="B244" s="7">
        <v>0</v>
      </c>
      <c r="C244" s="7">
        <v>0</v>
      </c>
      <c r="D244" s="7">
        <v>0</v>
      </c>
      <c r="E244" s="7">
        <v>18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 s="10">
        <v>0.64542174862801083</v>
      </c>
      <c r="Y244" s="9">
        <v>3240</v>
      </c>
      <c r="Z244" s="9">
        <v>2505</v>
      </c>
      <c r="AA244" s="9">
        <v>2910</v>
      </c>
      <c r="AB244" s="10">
        <v>0.55102040816326525</v>
      </c>
      <c r="AC244" s="11">
        <v>6.3574604056682409</v>
      </c>
      <c r="AD244" s="9">
        <v>2520.1807909604522</v>
      </c>
      <c r="AE244" s="8">
        <v>0.15247524752475247</v>
      </c>
    </row>
    <row r="245" spans="1:31" x14ac:dyDescent="0.35">
      <c r="A245" s="6" t="s">
        <v>266</v>
      </c>
      <c r="B245" s="7">
        <v>0</v>
      </c>
      <c r="C245" s="7">
        <v>13</v>
      </c>
      <c r="D245" s="7">
        <v>4</v>
      </c>
      <c r="E245" s="7">
        <v>1</v>
      </c>
      <c r="F245">
        <v>23078</v>
      </c>
      <c r="G245">
        <v>-729</v>
      </c>
      <c r="H245">
        <v>-3.16</v>
      </c>
      <c r="I245">
        <v>222</v>
      </c>
      <c r="J245">
        <v>0.96</v>
      </c>
      <c r="K245">
        <v>54721</v>
      </c>
      <c r="L245">
        <v>24389</v>
      </c>
      <c r="M245">
        <v>30332</v>
      </c>
      <c r="N245">
        <v>2283.6799999999998</v>
      </c>
      <c r="O245">
        <v>0.73</v>
      </c>
      <c r="P245">
        <v>84.61</v>
      </c>
      <c r="Q245">
        <v>0.62</v>
      </c>
      <c r="R245">
        <v>0.81</v>
      </c>
      <c r="S245">
        <v>929</v>
      </c>
      <c r="T245">
        <v>126169</v>
      </c>
      <c r="U245">
        <v>96767</v>
      </c>
      <c r="V245">
        <v>3500</v>
      </c>
      <c r="W245">
        <v>8.8800000000000008</v>
      </c>
      <c r="X245" s="10">
        <v>0.76460439356541277</v>
      </c>
      <c r="Y245" s="9">
        <v>128000</v>
      </c>
      <c r="Z245" s="9">
        <v>70100</v>
      </c>
      <c r="AA245" s="9">
        <v>102000</v>
      </c>
      <c r="AB245" s="10">
        <v>0.5509499136442142</v>
      </c>
      <c r="AC245" s="11">
        <v>855.09030286190614</v>
      </c>
      <c r="AD245" s="9">
        <v>64431.412429378535</v>
      </c>
      <c r="AE245" s="8">
        <v>0.2895069532237674</v>
      </c>
    </row>
    <row r="246" spans="1:31" x14ac:dyDescent="0.35">
      <c r="A246" s="6" t="s">
        <v>267</v>
      </c>
      <c r="B246" s="7">
        <v>2</v>
      </c>
      <c r="C246" s="7">
        <v>14</v>
      </c>
      <c r="D246" s="7">
        <v>1</v>
      </c>
      <c r="E246" s="7">
        <v>1</v>
      </c>
      <c r="F246">
        <v>1962</v>
      </c>
      <c r="G246">
        <v>343</v>
      </c>
      <c r="H246">
        <v>17.47</v>
      </c>
      <c r="I246">
        <v>235</v>
      </c>
      <c r="J246">
        <v>12</v>
      </c>
      <c r="K246">
        <v>5059</v>
      </c>
      <c r="L246">
        <v>1687</v>
      </c>
      <c r="M246">
        <v>3373</v>
      </c>
      <c r="N246">
        <v>6295.06</v>
      </c>
      <c r="O246">
        <v>7.15</v>
      </c>
      <c r="P246">
        <v>22.94</v>
      </c>
      <c r="Q246">
        <v>1.61</v>
      </c>
      <c r="R246">
        <v>2.75</v>
      </c>
      <c r="S246">
        <v>2232</v>
      </c>
      <c r="T246">
        <v>31811</v>
      </c>
      <c r="U246">
        <v>18603</v>
      </c>
      <c r="V246">
        <v>751</v>
      </c>
      <c r="W246">
        <v>8.7799999999999994</v>
      </c>
      <c r="X246" s="10">
        <v>0.96467157361122602</v>
      </c>
      <c r="Y246" s="9">
        <v>95200</v>
      </c>
      <c r="Z246" s="9">
        <v>51200</v>
      </c>
      <c r="AA246" s="9">
        <v>90800</v>
      </c>
      <c r="AB246" s="10">
        <v>0.9</v>
      </c>
      <c r="AC246" s="11">
        <v>713.34815226451781</v>
      </c>
      <c r="AD246" s="9">
        <v>52286.214689265536</v>
      </c>
      <c r="AE246" s="8">
        <v>0.73282442748091603</v>
      </c>
    </row>
    <row r="247" spans="1:31" x14ac:dyDescent="0.35">
      <c r="A247" s="6" t="s">
        <v>268</v>
      </c>
      <c r="B247" s="7">
        <v>0</v>
      </c>
      <c r="C247" s="7">
        <v>0</v>
      </c>
      <c r="D247" s="7">
        <v>0</v>
      </c>
      <c r="E247" s="7">
        <v>18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 s="10">
        <v>0.59068514471643752</v>
      </c>
      <c r="Y247" s="9">
        <v>11715</v>
      </c>
      <c r="Z247" s="9">
        <v>10000</v>
      </c>
      <c r="AA247" s="9">
        <v>11545</v>
      </c>
      <c r="AB247" s="10">
        <v>0.9008746355685131</v>
      </c>
      <c r="AC247" s="11">
        <v>18.208808002222838</v>
      </c>
      <c r="AD247" s="9">
        <v>10061.881355932204</v>
      </c>
      <c r="AE247" s="8">
        <v>0.1425037110341415</v>
      </c>
    </row>
    <row r="248" spans="1:31" x14ac:dyDescent="0.35">
      <c r="A248" s="6" t="s">
        <v>269</v>
      </c>
      <c r="B248" s="7">
        <v>0</v>
      </c>
      <c r="C248" s="7">
        <v>0</v>
      </c>
      <c r="D248" s="7">
        <v>0</v>
      </c>
      <c r="E248" s="7">
        <v>18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 s="10">
        <v>0.87722394234681567</v>
      </c>
      <c r="Y248" s="9">
        <v>10805</v>
      </c>
      <c r="Z248" s="9">
        <v>9450</v>
      </c>
      <c r="AA248" s="9">
        <v>10770</v>
      </c>
      <c r="AB248" s="10">
        <v>0.97416974169741699</v>
      </c>
      <c r="AC248" s="11">
        <v>20.086273964990276</v>
      </c>
      <c r="AD248" s="9">
        <v>9517.2853107344636</v>
      </c>
      <c r="AE248" s="8">
        <v>0.11088189788550799</v>
      </c>
    </row>
    <row r="249" spans="1:31" x14ac:dyDescent="0.35">
      <c r="A249" s="6" t="s">
        <v>270</v>
      </c>
      <c r="B249" s="7">
        <v>0</v>
      </c>
      <c r="C249" s="7">
        <v>0</v>
      </c>
      <c r="D249" s="7">
        <v>0</v>
      </c>
      <c r="E249" s="7">
        <v>18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 s="10">
        <v>0.94750559512316013</v>
      </c>
      <c r="Y249" s="9">
        <v>12325</v>
      </c>
      <c r="Z249" s="9">
        <v>9980</v>
      </c>
      <c r="AA249" s="9">
        <v>12010</v>
      </c>
      <c r="AB249" s="10">
        <v>0.86567164179104472</v>
      </c>
      <c r="AC249" s="11">
        <v>40.654904140038902</v>
      </c>
      <c r="AD249" s="9">
        <v>10045.525423728814</v>
      </c>
      <c r="AE249" s="8">
        <v>0.1705653021442495</v>
      </c>
    </row>
    <row r="250" spans="1:31" x14ac:dyDescent="0.35">
      <c r="A250" s="6" t="s">
        <v>271</v>
      </c>
      <c r="B250" s="7">
        <v>0</v>
      </c>
      <c r="C250" s="7">
        <v>0</v>
      </c>
      <c r="D250" s="7">
        <v>0</v>
      </c>
      <c r="E250" s="7">
        <v>18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 s="10">
        <v>0.68970252234900098</v>
      </c>
      <c r="Y250" s="9">
        <v>5520</v>
      </c>
      <c r="Z250" s="9">
        <v>5150</v>
      </c>
      <c r="AA250" s="9">
        <v>5390</v>
      </c>
      <c r="AB250" s="10">
        <v>0.64864864864864868</v>
      </c>
      <c r="AC250" s="11">
        <v>4.14559599888858</v>
      </c>
      <c r="AD250" s="9">
        <v>5216.7259887005657</v>
      </c>
      <c r="AE250" s="8">
        <v>1.890359168241966E-2</v>
      </c>
    </row>
    <row r="251" spans="1:31" x14ac:dyDescent="0.35">
      <c r="A251" s="6" t="s">
        <v>272</v>
      </c>
      <c r="B251" s="7">
        <v>10</v>
      </c>
      <c r="C251" s="7">
        <v>3</v>
      </c>
      <c r="D251" s="7">
        <v>5</v>
      </c>
      <c r="E251" s="7">
        <v>0</v>
      </c>
      <c r="F251">
        <v>543</v>
      </c>
      <c r="G251">
        <v>12</v>
      </c>
      <c r="H251">
        <v>2.15</v>
      </c>
      <c r="I251">
        <v>10</v>
      </c>
      <c r="J251">
        <v>1.87</v>
      </c>
      <c r="K251">
        <v>457</v>
      </c>
      <c r="L251">
        <v>174</v>
      </c>
      <c r="M251">
        <v>283</v>
      </c>
      <c r="N251">
        <v>469.64</v>
      </c>
      <c r="O251">
        <v>4.8499999999999996</v>
      </c>
      <c r="P251">
        <v>32.85</v>
      </c>
      <c r="Q251">
        <v>1.71</v>
      </c>
      <c r="R251">
        <v>0.61</v>
      </c>
      <c r="S251">
        <v>144</v>
      </c>
      <c r="T251">
        <v>2773</v>
      </c>
      <c r="U251">
        <v>7699</v>
      </c>
      <c r="V251">
        <v>16</v>
      </c>
      <c r="W251">
        <v>30.52</v>
      </c>
      <c r="X251" s="10">
        <v>0.12217854759639857</v>
      </c>
      <c r="Y251" s="9">
        <v>3845</v>
      </c>
      <c r="Z251" s="9">
        <v>3065</v>
      </c>
      <c r="AA251" s="9">
        <v>3560</v>
      </c>
      <c r="AB251" s="10">
        <v>0.63461538461538458</v>
      </c>
      <c r="AC251" s="11">
        <v>3.6679633231453179</v>
      </c>
      <c r="AD251" s="9">
        <v>3427.2937853107342</v>
      </c>
      <c r="AE251" s="8">
        <v>0.16150081566068517</v>
      </c>
    </row>
    <row r="252" spans="1:31" x14ac:dyDescent="0.35">
      <c r="A252" s="6" t="s">
        <v>273</v>
      </c>
      <c r="B252" s="7">
        <v>4</v>
      </c>
      <c r="C252" s="7">
        <v>3</v>
      </c>
      <c r="D252" s="7">
        <v>2</v>
      </c>
      <c r="E252" s="7">
        <v>9</v>
      </c>
      <c r="F252">
        <v>292189</v>
      </c>
      <c r="G252">
        <v>23500</v>
      </c>
      <c r="H252">
        <v>8.0399999999999991</v>
      </c>
      <c r="I252">
        <v>11390</v>
      </c>
      <c r="J252">
        <v>3.9</v>
      </c>
      <c r="K252">
        <v>525973</v>
      </c>
      <c r="L252">
        <v>101219</v>
      </c>
      <c r="M252">
        <v>424754</v>
      </c>
      <c r="N252">
        <v>9023.0499999999993</v>
      </c>
      <c r="O252">
        <v>2.69</v>
      </c>
      <c r="P252">
        <v>19.88</v>
      </c>
      <c r="Q252">
        <v>0.56999999999999995</v>
      </c>
      <c r="R252">
        <v>0.75</v>
      </c>
      <c r="S252">
        <v>13858</v>
      </c>
      <c r="T252">
        <v>482737</v>
      </c>
      <c r="U252">
        <v>366144</v>
      </c>
      <c r="V252">
        <v>44919</v>
      </c>
      <c r="W252">
        <v>6.26</v>
      </c>
      <c r="X252" s="10">
        <v>0.44090921489354312</v>
      </c>
      <c r="Y252" s="9">
        <v>290500</v>
      </c>
      <c r="Z252" s="9">
        <v>251500</v>
      </c>
      <c r="AA252" s="9">
        <v>251500</v>
      </c>
      <c r="AB252" s="10">
        <v>0</v>
      </c>
      <c r="AC252" s="11">
        <v>-367.57432620172267</v>
      </c>
      <c r="AD252" s="9">
        <v>280044.35028248583</v>
      </c>
      <c r="AE252" s="8">
        <v>-9.8566308243727599E-2</v>
      </c>
    </row>
    <row r="253" spans="1:31" x14ac:dyDescent="0.35">
      <c r="A253" s="6" t="s">
        <v>274</v>
      </c>
      <c r="B253" s="7">
        <v>5</v>
      </c>
      <c r="C253" s="7">
        <v>10</v>
      </c>
      <c r="D253" s="7">
        <v>1</v>
      </c>
      <c r="E253" s="7">
        <v>2</v>
      </c>
      <c r="F253">
        <v>216</v>
      </c>
      <c r="G253">
        <v>44</v>
      </c>
      <c r="H253">
        <v>20.39</v>
      </c>
      <c r="I253">
        <v>28</v>
      </c>
      <c r="J253">
        <v>13.06</v>
      </c>
      <c r="K253">
        <v>615</v>
      </c>
      <c r="L253">
        <v>181</v>
      </c>
      <c r="M253">
        <v>434</v>
      </c>
      <c r="N253">
        <v>998.95</v>
      </c>
      <c r="O253">
        <v>6.72</v>
      </c>
      <c r="P253">
        <v>6.94</v>
      </c>
      <c r="Q253">
        <v>0.45</v>
      </c>
      <c r="R253">
        <v>0.91</v>
      </c>
      <c r="S253">
        <v>358</v>
      </c>
      <c r="T253">
        <v>5493</v>
      </c>
      <c r="U253">
        <v>2739</v>
      </c>
      <c r="V253">
        <v>52</v>
      </c>
      <c r="W253">
        <v>3.75</v>
      </c>
      <c r="X253" s="10">
        <v>0.62550950692330032</v>
      </c>
      <c r="Y253" s="9">
        <v>4850</v>
      </c>
      <c r="Z253" s="9">
        <v>2345</v>
      </c>
      <c r="AA253" s="9">
        <v>3770</v>
      </c>
      <c r="AB253" s="10">
        <v>0.56886227544910184</v>
      </c>
      <c r="AC253" s="11">
        <v>30.98763545429286</v>
      </c>
      <c r="AD253" s="9">
        <v>1945.7937853107342</v>
      </c>
      <c r="AE253" s="8">
        <v>0.51710261569416494</v>
      </c>
    </row>
    <row r="254" spans="1:31" x14ac:dyDescent="0.35">
      <c r="A254" s="6" t="s">
        <v>275</v>
      </c>
      <c r="B254" s="7">
        <v>3</v>
      </c>
      <c r="C254" s="7">
        <v>4</v>
      </c>
      <c r="D254" s="7">
        <v>10</v>
      </c>
      <c r="E254" s="7">
        <v>1</v>
      </c>
      <c r="F254">
        <v>2427</v>
      </c>
      <c r="G254">
        <v>138</v>
      </c>
      <c r="H254">
        <v>5.68</v>
      </c>
      <c r="I254">
        <v>113</v>
      </c>
      <c r="J254">
        <v>4.6399999999999997</v>
      </c>
      <c r="K254">
        <v>3045</v>
      </c>
      <c r="L254">
        <v>968</v>
      </c>
      <c r="M254">
        <v>2077</v>
      </c>
      <c r="N254">
        <v>5763.77</v>
      </c>
      <c r="O254">
        <v>5.55</v>
      </c>
      <c r="P254">
        <v>9.65</v>
      </c>
      <c r="Q254">
        <v>0.53</v>
      </c>
      <c r="R254">
        <v>0.45</v>
      </c>
      <c r="S254">
        <v>1590</v>
      </c>
      <c r="T254">
        <v>28751</v>
      </c>
      <c r="U254">
        <v>34264</v>
      </c>
      <c r="V254">
        <v>160</v>
      </c>
      <c r="W254">
        <v>6.79</v>
      </c>
      <c r="X254" s="10">
        <v>0.84704124641848044</v>
      </c>
      <c r="Y254" s="9">
        <v>17600</v>
      </c>
      <c r="Z254" s="9">
        <v>15150</v>
      </c>
      <c r="AA254" s="9">
        <v>17200</v>
      </c>
      <c r="AB254" s="10">
        <v>0.83673469387755106</v>
      </c>
      <c r="AC254" s="11">
        <v>37.659071964434567</v>
      </c>
      <c r="AD254" s="9">
        <v>15418.898305084746</v>
      </c>
      <c r="AE254" s="8">
        <v>0.12786885245901639</v>
      </c>
    </row>
    <row r="255" spans="1:31" x14ac:dyDescent="0.35">
      <c r="A255" s="6" t="s">
        <v>276</v>
      </c>
      <c r="B255" s="7">
        <v>15</v>
      </c>
      <c r="C255" s="7">
        <v>2</v>
      </c>
      <c r="D255" s="7">
        <v>1</v>
      </c>
      <c r="E255" s="7">
        <v>0</v>
      </c>
      <c r="F255">
        <v>7816</v>
      </c>
      <c r="G255">
        <v>548</v>
      </c>
      <c r="H255">
        <v>7.01</v>
      </c>
      <c r="I255">
        <v>456</v>
      </c>
      <c r="J255">
        <v>5.83</v>
      </c>
      <c r="K255">
        <v>8741</v>
      </c>
      <c r="L255">
        <v>3385</v>
      </c>
      <c r="M255">
        <v>5356</v>
      </c>
      <c r="N255">
        <v>640.15</v>
      </c>
      <c r="O255">
        <v>8.77</v>
      </c>
      <c r="P255">
        <v>12.95</v>
      </c>
      <c r="Q255">
        <v>1.1599999999999999</v>
      </c>
      <c r="R255">
        <v>0.76</v>
      </c>
      <c r="S255">
        <v>3242</v>
      </c>
      <c r="T255">
        <v>36131</v>
      </c>
      <c r="U255">
        <v>54958</v>
      </c>
      <c r="V255">
        <v>720</v>
      </c>
      <c r="W255">
        <v>8.4</v>
      </c>
      <c r="X255" s="10">
        <v>0.84551642895031343</v>
      </c>
      <c r="Y255" s="9">
        <v>53000</v>
      </c>
      <c r="Z255" s="9">
        <v>40000</v>
      </c>
      <c r="AA255" s="9">
        <v>52500</v>
      </c>
      <c r="AB255" s="10">
        <v>0.96153846153846156</v>
      </c>
      <c r="AC255" s="11">
        <v>204.07196443456516</v>
      </c>
      <c r="AD255" s="9">
        <v>39853.305084745763</v>
      </c>
      <c r="AE255" s="8">
        <v>0.25598086124401914</v>
      </c>
    </row>
    <row r="256" spans="1:31" x14ac:dyDescent="0.35">
      <c r="A256" s="6" t="s">
        <v>277</v>
      </c>
      <c r="B256" s="7">
        <v>2</v>
      </c>
      <c r="C256" s="7">
        <v>0</v>
      </c>
      <c r="D256" s="7">
        <v>2</v>
      </c>
      <c r="E256" s="7">
        <v>14</v>
      </c>
      <c r="F256">
        <v>5045</v>
      </c>
      <c r="G256">
        <v>-70</v>
      </c>
      <c r="H256">
        <v>-1.39</v>
      </c>
      <c r="I256">
        <v>8</v>
      </c>
      <c r="J256">
        <v>0.15</v>
      </c>
      <c r="K256">
        <v>8868</v>
      </c>
      <c r="L256">
        <v>2393</v>
      </c>
      <c r="M256">
        <v>6475</v>
      </c>
      <c r="N256">
        <v>702.93</v>
      </c>
      <c r="O256">
        <v>0.12</v>
      </c>
      <c r="P256">
        <v>340.8</v>
      </c>
      <c r="Q256">
        <v>0.45</v>
      </c>
      <c r="R256">
        <v>0.52</v>
      </c>
      <c r="S256">
        <v>25</v>
      </c>
      <c r="T256">
        <v>19110</v>
      </c>
      <c r="U256">
        <v>16440</v>
      </c>
      <c r="V256">
        <v>103</v>
      </c>
      <c r="W256">
        <v>26.78</v>
      </c>
      <c r="X256" s="10">
        <v>0.85434711452997214</v>
      </c>
      <c r="Y256" s="9">
        <v>11650</v>
      </c>
      <c r="Z256" s="9">
        <v>8500</v>
      </c>
      <c r="AA256" s="9">
        <v>11650</v>
      </c>
      <c r="AB256" s="10">
        <v>1</v>
      </c>
      <c r="AC256" s="11">
        <v>45.458460683523207</v>
      </c>
      <c r="AD256" s="9">
        <v>8781.350282485877</v>
      </c>
      <c r="AE256" s="8">
        <v>0.36416861826697894</v>
      </c>
    </row>
    <row r="257" spans="1:31" x14ac:dyDescent="0.35">
      <c r="A257" s="6" t="s">
        <v>278</v>
      </c>
      <c r="B257" s="7">
        <v>8</v>
      </c>
      <c r="C257" s="7">
        <v>0</v>
      </c>
      <c r="D257" s="7">
        <v>5</v>
      </c>
      <c r="E257" s="7">
        <v>5</v>
      </c>
      <c r="F257">
        <v>77</v>
      </c>
      <c r="G257">
        <v>60</v>
      </c>
      <c r="H257">
        <v>77.459999999999994</v>
      </c>
      <c r="I257">
        <v>69</v>
      </c>
      <c r="J257">
        <v>89.48</v>
      </c>
      <c r="K257">
        <v>3992</v>
      </c>
      <c r="L257">
        <v>4</v>
      </c>
      <c r="M257">
        <v>3989</v>
      </c>
      <c r="N257">
        <v>5113.29</v>
      </c>
      <c r="O257">
        <v>1.73</v>
      </c>
      <c r="P257">
        <v>42.42</v>
      </c>
      <c r="Q257">
        <v>0.73</v>
      </c>
      <c r="R257">
        <v>37.909999999999997</v>
      </c>
      <c r="S257">
        <v>462</v>
      </c>
      <c r="T257">
        <v>26727</v>
      </c>
      <c r="U257">
        <v>517</v>
      </c>
      <c r="V257">
        <v>60</v>
      </c>
      <c r="W257">
        <v>48.42</v>
      </c>
      <c r="X257" s="10">
        <v>0.53823186406689827</v>
      </c>
      <c r="Y257" s="9">
        <v>23200</v>
      </c>
      <c r="Z257" s="9">
        <v>19400</v>
      </c>
      <c r="AA257" s="9">
        <v>22150</v>
      </c>
      <c r="AB257" s="10">
        <v>0.72368421052631582</v>
      </c>
      <c r="AC257" s="11">
        <v>41.35593220338982</v>
      </c>
      <c r="AD257" s="9">
        <v>19410.310734463277</v>
      </c>
      <c r="AE257" s="8">
        <v>0.13589743589743589</v>
      </c>
    </row>
    <row r="258" spans="1:31" x14ac:dyDescent="0.35">
      <c r="A258" s="6" t="s">
        <v>279</v>
      </c>
      <c r="B258" s="7">
        <v>4</v>
      </c>
      <c r="C258" s="7">
        <v>1</v>
      </c>
      <c r="D258" s="7">
        <v>12</v>
      </c>
      <c r="E258" s="7">
        <v>1</v>
      </c>
      <c r="F258">
        <v>174</v>
      </c>
      <c r="G258">
        <v>5</v>
      </c>
      <c r="H258">
        <v>2.86</v>
      </c>
      <c r="I258">
        <v>2</v>
      </c>
      <c r="J258">
        <v>1.04</v>
      </c>
      <c r="K258">
        <v>302</v>
      </c>
      <c r="L258">
        <v>50</v>
      </c>
      <c r="M258">
        <v>253</v>
      </c>
      <c r="N258">
        <v>203.11</v>
      </c>
      <c r="O258">
        <v>0.62</v>
      </c>
      <c r="P258">
        <v>396.88</v>
      </c>
      <c r="Q258">
        <v>2.88</v>
      </c>
      <c r="R258">
        <v>3.89</v>
      </c>
      <c r="S258">
        <v>8</v>
      </c>
      <c r="T258">
        <v>1102</v>
      </c>
      <c r="U258">
        <v>816</v>
      </c>
      <c r="V258">
        <v>18</v>
      </c>
      <c r="W258">
        <v>37.65</v>
      </c>
      <c r="X258" s="10">
        <v>0.37634814038838676</v>
      </c>
      <c r="Y258" s="9">
        <v>3635</v>
      </c>
      <c r="Z258" s="9">
        <v>2640</v>
      </c>
      <c r="AA258" s="9">
        <v>3200</v>
      </c>
      <c r="AB258" s="10">
        <v>0.56281407035175879</v>
      </c>
      <c r="AC258" s="11">
        <v>6.8878855237565988</v>
      </c>
      <c r="AD258" s="9">
        <v>2947.3361581920904</v>
      </c>
      <c r="AE258" s="8">
        <v>0.21212121212121213</v>
      </c>
    </row>
    <row r="259" spans="1:31" x14ac:dyDescent="0.35">
      <c r="A259" s="6" t="s">
        <v>280</v>
      </c>
      <c r="B259" s="7">
        <v>7</v>
      </c>
      <c r="C259" s="7">
        <v>2</v>
      </c>
      <c r="D259" s="7">
        <v>5</v>
      </c>
      <c r="E259" s="7">
        <v>4</v>
      </c>
      <c r="F259">
        <v>138</v>
      </c>
      <c r="G259">
        <v>30</v>
      </c>
      <c r="H259">
        <v>21.54</v>
      </c>
      <c r="I259">
        <v>29</v>
      </c>
      <c r="J259">
        <v>21.08</v>
      </c>
      <c r="K259">
        <v>799</v>
      </c>
      <c r="L259">
        <v>13</v>
      </c>
      <c r="M259">
        <v>786</v>
      </c>
      <c r="N259">
        <v>-4.63</v>
      </c>
      <c r="O259">
        <v>3.76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 s="10">
        <v>0.7242593045537068</v>
      </c>
      <c r="Y259" s="9">
        <v>625</v>
      </c>
      <c r="Z259" s="9">
        <v>358</v>
      </c>
      <c r="AA259" s="9">
        <v>593</v>
      </c>
      <c r="AB259" s="10">
        <v>0.88014981273408244</v>
      </c>
      <c r="AC259" s="11">
        <v>4.3277854959711028</v>
      </c>
      <c r="AD259" s="9">
        <v>377.71920903954799</v>
      </c>
      <c r="AE259" s="8">
        <v>0.65642458100558654</v>
      </c>
    </row>
    <row r="260" spans="1:31" x14ac:dyDescent="0.35">
      <c r="A260" s="6" t="s">
        <v>281</v>
      </c>
      <c r="B260" s="7">
        <v>1</v>
      </c>
      <c r="C260" s="7">
        <v>3</v>
      </c>
      <c r="D260" s="7">
        <v>5</v>
      </c>
      <c r="E260" s="7">
        <v>9</v>
      </c>
      <c r="F260">
        <v>7957</v>
      </c>
      <c r="G260">
        <v>-129</v>
      </c>
      <c r="H260">
        <v>-1.62</v>
      </c>
      <c r="I260">
        <v>-34</v>
      </c>
      <c r="J260">
        <v>-0.42</v>
      </c>
      <c r="K260">
        <v>7996</v>
      </c>
      <c r="L260">
        <v>2577</v>
      </c>
      <c r="M260">
        <v>5419</v>
      </c>
      <c r="N260">
        <v>498.88</v>
      </c>
      <c r="O260">
        <v>-0.61</v>
      </c>
      <c r="P260">
        <v>0</v>
      </c>
      <c r="Q260">
        <v>1</v>
      </c>
      <c r="R260">
        <v>0.67</v>
      </c>
      <c r="S260">
        <v>-184</v>
      </c>
      <c r="T260">
        <v>29316</v>
      </c>
      <c r="U260">
        <v>43615</v>
      </c>
      <c r="V260">
        <v>177</v>
      </c>
      <c r="W260">
        <v>30.25</v>
      </c>
      <c r="X260" s="10">
        <v>0.90781545814991416</v>
      </c>
      <c r="Y260" s="9">
        <v>39900</v>
      </c>
      <c r="Z260" s="9">
        <v>28200</v>
      </c>
      <c r="AA260" s="9">
        <v>39900</v>
      </c>
      <c r="AB260" s="10">
        <v>1</v>
      </c>
      <c r="AC260" s="11">
        <v>194.57071408724647</v>
      </c>
      <c r="AD260" s="9">
        <v>26998.926553672318</v>
      </c>
      <c r="AE260" s="8">
        <v>0.36643835616438358</v>
      </c>
    </row>
    <row r="261" spans="1:31" x14ac:dyDescent="0.35">
      <c r="A261" s="6" t="s">
        <v>282</v>
      </c>
      <c r="B261" s="7">
        <v>0</v>
      </c>
      <c r="C261" s="7">
        <v>11</v>
      </c>
      <c r="D261" s="7">
        <v>3</v>
      </c>
      <c r="E261" s="7">
        <v>4</v>
      </c>
      <c r="F261">
        <v>171</v>
      </c>
      <c r="G261">
        <v>63</v>
      </c>
      <c r="H261">
        <v>37.18</v>
      </c>
      <c r="I261">
        <v>79</v>
      </c>
      <c r="J261">
        <v>46.31</v>
      </c>
      <c r="K261">
        <v>5356</v>
      </c>
      <c r="L261">
        <v>46</v>
      </c>
      <c r="M261">
        <v>5311</v>
      </c>
      <c r="N261">
        <v>659.23</v>
      </c>
      <c r="O261">
        <v>1.5</v>
      </c>
      <c r="P261">
        <v>70.260000000000005</v>
      </c>
      <c r="Q261">
        <v>1.06</v>
      </c>
      <c r="R261">
        <v>32.83</v>
      </c>
      <c r="S261">
        <v>57</v>
      </c>
      <c r="T261">
        <v>3786</v>
      </c>
      <c r="U261">
        <v>122</v>
      </c>
      <c r="V261">
        <v>67</v>
      </c>
      <c r="W261">
        <v>83.73</v>
      </c>
      <c r="X261" s="10">
        <v>0.80998722370235232</v>
      </c>
      <c r="Y261" s="9">
        <v>5250</v>
      </c>
      <c r="Z261" s="9">
        <v>4005</v>
      </c>
      <c r="AA261" s="9">
        <v>4850</v>
      </c>
      <c r="AB261" s="10">
        <v>0.67871485943775101</v>
      </c>
      <c r="AC261" s="11">
        <v>17.989858293970549</v>
      </c>
      <c r="AD261" s="9">
        <v>4182.3926553672318</v>
      </c>
      <c r="AE261" s="8">
        <v>0.18148599269183921</v>
      </c>
    </row>
    <row r="262" spans="1:31" x14ac:dyDescent="0.35">
      <c r="A262" s="6" t="s">
        <v>283</v>
      </c>
      <c r="B262" s="7">
        <v>9</v>
      </c>
      <c r="C262" s="7">
        <v>0</v>
      </c>
      <c r="D262" s="7">
        <v>7</v>
      </c>
      <c r="E262" s="7">
        <v>2</v>
      </c>
      <c r="F262">
        <v>1981</v>
      </c>
      <c r="G262">
        <v>134</v>
      </c>
      <c r="H262">
        <v>6.74</v>
      </c>
      <c r="I262">
        <v>88</v>
      </c>
      <c r="J262">
        <v>4.46</v>
      </c>
      <c r="K262">
        <v>2208</v>
      </c>
      <c r="L262">
        <v>651</v>
      </c>
      <c r="M262">
        <v>1557</v>
      </c>
      <c r="N262">
        <v>1350.69</v>
      </c>
      <c r="O262">
        <v>5.76</v>
      </c>
      <c r="P262">
        <v>35.19</v>
      </c>
      <c r="Q262">
        <v>2.0299999999999998</v>
      </c>
      <c r="R262">
        <v>1.57</v>
      </c>
      <c r="S262">
        <v>412</v>
      </c>
      <c r="T262">
        <v>7133</v>
      </c>
      <c r="U262">
        <v>9228</v>
      </c>
      <c r="V262">
        <v>160</v>
      </c>
      <c r="W262">
        <v>19.399999999999999</v>
      </c>
      <c r="X262" s="10">
        <v>0.27717889418480518</v>
      </c>
      <c r="Y262" s="9">
        <v>18150</v>
      </c>
      <c r="Z262" s="9">
        <v>11500</v>
      </c>
      <c r="AA262" s="9">
        <v>15500</v>
      </c>
      <c r="AB262" s="10">
        <v>0.60150375939849621</v>
      </c>
      <c r="AC262" s="11">
        <v>49.1761600444568</v>
      </c>
      <c r="AD262" s="9">
        <v>12955.960451977402</v>
      </c>
      <c r="AE262" s="8">
        <v>4.72972972972973E-2</v>
      </c>
    </row>
    <row r="263" spans="1:31" x14ac:dyDescent="0.35">
      <c r="A263" s="6" t="s">
        <v>284</v>
      </c>
      <c r="B263" s="7">
        <v>2</v>
      </c>
      <c r="C263" s="7">
        <v>0</v>
      </c>
      <c r="D263" s="7">
        <v>10</v>
      </c>
      <c r="E263" s="7">
        <v>6</v>
      </c>
      <c r="F263">
        <v>420</v>
      </c>
      <c r="G263">
        <v>-2</v>
      </c>
      <c r="H263">
        <v>-0.41</v>
      </c>
      <c r="I263">
        <v>-78</v>
      </c>
      <c r="J263">
        <v>-18.66</v>
      </c>
      <c r="K263">
        <v>943</v>
      </c>
      <c r="L263">
        <v>529</v>
      </c>
      <c r="M263">
        <v>414</v>
      </c>
      <c r="N263">
        <v>176.55</v>
      </c>
      <c r="O263">
        <v>-18.170000000000002</v>
      </c>
      <c r="P263">
        <v>0</v>
      </c>
      <c r="Q263">
        <v>0.73</v>
      </c>
      <c r="R263">
        <v>0.66</v>
      </c>
      <c r="S263">
        <v>-283</v>
      </c>
      <c r="T263">
        <v>1368</v>
      </c>
      <c r="U263">
        <v>1516</v>
      </c>
      <c r="V263">
        <v>14</v>
      </c>
      <c r="W263">
        <v>53.73</v>
      </c>
      <c r="X263" s="10">
        <v>0.38565867193790376</v>
      </c>
      <c r="Y263" s="9">
        <v>1305</v>
      </c>
      <c r="Z263" s="9">
        <v>938</v>
      </c>
      <c r="AA263" s="9">
        <v>1000</v>
      </c>
      <c r="AB263" s="10">
        <v>0.16893732970027248</v>
      </c>
      <c r="AC263" s="11">
        <v>3.0275632120033342</v>
      </c>
      <c r="AD263" s="9">
        <v>958.65932203389832</v>
      </c>
      <c r="AE263" s="8">
        <v>0</v>
      </c>
    </row>
    <row r="264" spans="1:31" x14ac:dyDescent="0.35">
      <c r="A264" s="6" t="s">
        <v>285</v>
      </c>
      <c r="B264" s="7">
        <v>11</v>
      </c>
      <c r="C264" s="7">
        <v>4</v>
      </c>
      <c r="D264" s="7">
        <v>2</v>
      </c>
      <c r="E264" s="7">
        <v>1</v>
      </c>
      <c r="F264">
        <v>549</v>
      </c>
      <c r="G264">
        <v>43</v>
      </c>
      <c r="H264">
        <v>7.75</v>
      </c>
      <c r="I264">
        <v>33</v>
      </c>
      <c r="J264">
        <v>6.01</v>
      </c>
      <c r="K264">
        <v>1162</v>
      </c>
      <c r="L264">
        <v>245</v>
      </c>
      <c r="M264">
        <v>916</v>
      </c>
      <c r="N264">
        <v>442.68</v>
      </c>
      <c r="O264">
        <v>3.66</v>
      </c>
      <c r="P264">
        <v>38.78</v>
      </c>
      <c r="Q264">
        <v>1.42</v>
      </c>
      <c r="R264">
        <v>2.34</v>
      </c>
      <c r="S264">
        <v>98</v>
      </c>
      <c r="T264">
        <v>2671</v>
      </c>
      <c r="U264">
        <v>1626</v>
      </c>
      <c r="V264">
        <v>48</v>
      </c>
      <c r="W264">
        <v>27.35</v>
      </c>
      <c r="X264" s="10">
        <v>0.19516669973841247</v>
      </c>
      <c r="Y264" s="9">
        <v>4420</v>
      </c>
      <c r="Z264" s="9">
        <v>3615</v>
      </c>
      <c r="AA264" s="9">
        <v>4150</v>
      </c>
      <c r="AB264" s="10">
        <v>0.6645962732919255</v>
      </c>
      <c r="AC264" s="11">
        <v>5.0505696026674087</v>
      </c>
      <c r="AD264" s="9">
        <v>3884.6242937853103</v>
      </c>
      <c r="AE264" s="8">
        <v>2.9776674937965261E-2</v>
      </c>
    </row>
    <row r="265" spans="1:31" x14ac:dyDescent="0.35">
      <c r="A265" s="6" t="s">
        <v>286</v>
      </c>
      <c r="B265" s="7">
        <v>4</v>
      </c>
      <c r="C265" s="7">
        <v>5</v>
      </c>
      <c r="D265" s="7">
        <v>9</v>
      </c>
      <c r="E265" s="7">
        <v>0</v>
      </c>
      <c r="F265">
        <v>409</v>
      </c>
      <c r="G265">
        <v>0</v>
      </c>
      <c r="H265">
        <v>0.04</v>
      </c>
      <c r="I265">
        <v>1</v>
      </c>
      <c r="J265">
        <v>0.31</v>
      </c>
      <c r="K265">
        <v>623</v>
      </c>
      <c r="L265">
        <v>286</v>
      </c>
      <c r="M265">
        <v>337</v>
      </c>
      <c r="N265">
        <v>24.76</v>
      </c>
      <c r="O265">
        <v>0.39</v>
      </c>
      <c r="P265">
        <v>387.5</v>
      </c>
      <c r="Q265">
        <v>1.47</v>
      </c>
      <c r="R265">
        <v>1.02</v>
      </c>
      <c r="S265">
        <v>2</v>
      </c>
      <c r="T265">
        <v>527</v>
      </c>
      <c r="U265">
        <v>759</v>
      </c>
      <c r="V265">
        <v>7</v>
      </c>
      <c r="W265">
        <v>77.38</v>
      </c>
      <c r="X265" s="10">
        <v>0.54650586264581547</v>
      </c>
      <c r="Y265" s="9">
        <v>1190</v>
      </c>
      <c r="Z265" s="9">
        <v>760</v>
      </c>
      <c r="AA265" s="9">
        <v>941</v>
      </c>
      <c r="AB265" s="10">
        <v>0.42093023255813955</v>
      </c>
      <c r="AC265" s="11">
        <v>5.1586273964990266</v>
      </c>
      <c r="AD265" s="9">
        <v>739.07853107344636</v>
      </c>
      <c r="AE265" s="8">
        <v>0.2381578947368421</v>
      </c>
    </row>
    <row r="266" spans="1:31" x14ac:dyDescent="0.35">
      <c r="A266" s="6" t="s">
        <v>287</v>
      </c>
      <c r="B266" s="7">
        <v>0</v>
      </c>
      <c r="C266" s="7">
        <v>4</v>
      </c>
      <c r="D266" s="7">
        <v>1</v>
      </c>
      <c r="E266" s="7">
        <v>13</v>
      </c>
      <c r="F266">
        <v>3405</v>
      </c>
      <c r="G266">
        <v>-22</v>
      </c>
      <c r="H266">
        <v>-0.63</v>
      </c>
      <c r="I266">
        <v>-115</v>
      </c>
      <c r="J266">
        <v>-3.36</v>
      </c>
      <c r="K266">
        <v>2889</v>
      </c>
      <c r="L266">
        <v>871</v>
      </c>
      <c r="M266">
        <v>2018</v>
      </c>
      <c r="N266">
        <v>99.39</v>
      </c>
      <c r="O266">
        <v>-5.51</v>
      </c>
      <c r="P266">
        <v>0</v>
      </c>
      <c r="Q266">
        <v>0.62</v>
      </c>
      <c r="R266">
        <v>0.36</v>
      </c>
      <c r="S266">
        <v>-57</v>
      </c>
      <c r="T266">
        <v>996</v>
      </c>
      <c r="U266">
        <v>1682</v>
      </c>
      <c r="V266">
        <v>-2</v>
      </c>
      <c r="W266">
        <v>-844.02</v>
      </c>
      <c r="X266" s="10">
        <v>0.81494446774815477</v>
      </c>
      <c r="Y266" s="9">
        <v>877</v>
      </c>
      <c r="Z266" s="9">
        <v>613</v>
      </c>
      <c r="AA266" s="9">
        <v>814</v>
      </c>
      <c r="AB266" s="10">
        <v>0.76136363636363635</v>
      </c>
      <c r="AC266" s="11">
        <v>3.883550986385107</v>
      </c>
      <c r="AD266" s="9">
        <v>577.60169491525414</v>
      </c>
      <c r="AE266" s="8">
        <v>0.32142857142857145</v>
      </c>
    </row>
    <row r="267" spans="1:31" x14ac:dyDescent="0.35">
      <c r="A267" s="6" t="s">
        <v>288</v>
      </c>
      <c r="B267" s="7">
        <v>5</v>
      </c>
      <c r="C267" s="7">
        <v>0</v>
      </c>
      <c r="D267" s="7">
        <v>12</v>
      </c>
      <c r="E267" s="7">
        <v>1</v>
      </c>
      <c r="F267">
        <v>990</v>
      </c>
      <c r="G267">
        <v>64</v>
      </c>
      <c r="H267">
        <v>6.43</v>
      </c>
      <c r="I267">
        <v>-14</v>
      </c>
      <c r="J267">
        <v>-1.44</v>
      </c>
      <c r="K267">
        <v>1725</v>
      </c>
      <c r="L267">
        <v>710</v>
      </c>
      <c r="M267">
        <v>1015</v>
      </c>
      <c r="N267">
        <v>386.3</v>
      </c>
      <c r="O267">
        <v>-1.4</v>
      </c>
      <c r="P267">
        <v>0</v>
      </c>
      <c r="Q267">
        <v>0.54</v>
      </c>
      <c r="R267">
        <v>0.56000000000000005</v>
      </c>
      <c r="S267">
        <v>-34</v>
      </c>
      <c r="T267">
        <v>2428</v>
      </c>
      <c r="U267">
        <v>2371</v>
      </c>
      <c r="V267">
        <v>80</v>
      </c>
      <c r="W267">
        <v>12.32</v>
      </c>
      <c r="X267" s="10">
        <v>0.63356344865555358</v>
      </c>
      <c r="Y267" s="9">
        <v>1820</v>
      </c>
      <c r="Z267" s="9">
        <v>1305</v>
      </c>
      <c r="AA267" s="9">
        <v>1645</v>
      </c>
      <c r="AB267" s="10">
        <v>0.66019417475728159</v>
      </c>
      <c r="AC267" s="11">
        <v>6.5690469574881911</v>
      </c>
      <c r="AD267" s="9">
        <v>1349.6440677966102</v>
      </c>
      <c r="AE267" s="8">
        <v>0.2140221402214022</v>
      </c>
    </row>
    <row r="268" spans="1:31" x14ac:dyDescent="0.35">
      <c r="A268" s="6" t="s">
        <v>289</v>
      </c>
      <c r="B268" s="7">
        <v>4</v>
      </c>
      <c r="C268" s="7">
        <v>0</v>
      </c>
      <c r="D268" s="7">
        <v>10</v>
      </c>
      <c r="E268" s="7">
        <v>4</v>
      </c>
      <c r="F268">
        <v>188</v>
      </c>
      <c r="G268">
        <v>-29</v>
      </c>
      <c r="H268">
        <v>-15.44</v>
      </c>
      <c r="I268">
        <v>-56</v>
      </c>
      <c r="J268">
        <v>-29.49</v>
      </c>
      <c r="K268">
        <v>360</v>
      </c>
      <c r="L268">
        <v>45</v>
      </c>
      <c r="M268">
        <v>315</v>
      </c>
      <c r="N268">
        <v>-7.29</v>
      </c>
      <c r="O268">
        <v>-19.97</v>
      </c>
      <c r="P268">
        <v>0</v>
      </c>
      <c r="Q268">
        <v>1.38</v>
      </c>
      <c r="R268">
        <v>1.76</v>
      </c>
      <c r="S268">
        <v>-93</v>
      </c>
      <c r="T268">
        <v>400</v>
      </c>
      <c r="U268">
        <v>314</v>
      </c>
      <c r="V268">
        <v>-25</v>
      </c>
      <c r="W268">
        <v>-15</v>
      </c>
      <c r="X268" s="10">
        <v>8.2584556913190585E-4</v>
      </c>
      <c r="Y268" s="9">
        <v>635</v>
      </c>
      <c r="Z268" s="9">
        <v>536</v>
      </c>
      <c r="AA268" s="9">
        <v>538</v>
      </c>
      <c r="AB268" s="10">
        <v>2.0202020202020204E-2</v>
      </c>
      <c r="AC268" s="11">
        <v>3.8816337871630975E-2</v>
      </c>
      <c r="AD268" s="9">
        <v>566.86610169491519</v>
      </c>
      <c r="AE268" s="8">
        <v>-1.6453382084095063E-2</v>
      </c>
    </row>
    <row r="269" spans="1:31" x14ac:dyDescent="0.35">
      <c r="A269" s="6" t="s">
        <v>290</v>
      </c>
      <c r="B269" s="7">
        <v>10</v>
      </c>
      <c r="C269" s="7">
        <v>2</v>
      </c>
      <c r="D269" s="7">
        <v>4</v>
      </c>
      <c r="E269" s="7">
        <v>2</v>
      </c>
      <c r="F269">
        <v>2270</v>
      </c>
      <c r="G269">
        <v>203</v>
      </c>
      <c r="H269">
        <v>8.93</v>
      </c>
      <c r="I269">
        <v>156</v>
      </c>
      <c r="J269">
        <v>6.86</v>
      </c>
      <c r="K269">
        <v>1091</v>
      </c>
      <c r="L269">
        <v>257</v>
      </c>
      <c r="M269">
        <v>834</v>
      </c>
      <c r="N269">
        <v>50.98</v>
      </c>
      <c r="O269">
        <v>20.329999999999998</v>
      </c>
      <c r="P269">
        <v>12.21</v>
      </c>
      <c r="Q269">
        <v>2.3199999999999998</v>
      </c>
      <c r="R269">
        <v>0.84</v>
      </c>
      <c r="S269">
        <v>140</v>
      </c>
      <c r="T269">
        <v>736</v>
      </c>
      <c r="U269">
        <v>2047</v>
      </c>
      <c r="V269">
        <v>224</v>
      </c>
      <c r="W269">
        <v>8.6199999999999992</v>
      </c>
      <c r="X269" s="10">
        <v>0.62355417029050386</v>
      </c>
      <c r="Y269" s="9">
        <v>2410</v>
      </c>
      <c r="Z269" s="9">
        <v>1610</v>
      </c>
      <c r="AA269" s="9">
        <v>2105</v>
      </c>
      <c r="AB269" s="10">
        <v>0.61875000000000002</v>
      </c>
      <c r="AC269" s="11">
        <v>9.7692414559599872</v>
      </c>
      <c r="AD269" s="9">
        <v>1623.6214689265537</v>
      </c>
      <c r="AE269" s="8">
        <v>0.19943019943019943</v>
      </c>
    </row>
    <row r="270" spans="1:31" x14ac:dyDescent="0.35">
      <c r="A270" s="6" t="s">
        <v>291</v>
      </c>
      <c r="B270" s="7">
        <v>4</v>
      </c>
      <c r="C270" s="7">
        <v>2</v>
      </c>
      <c r="D270" s="7">
        <v>4</v>
      </c>
      <c r="E270" s="7">
        <v>8</v>
      </c>
      <c r="F270">
        <v>2275</v>
      </c>
      <c r="G270">
        <v>187</v>
      </c>
      <c r="H270">
        <v>8.24</v>
      </c>
      <c r="I270">
        <v>102</v>
      </c>
      <c r="J270">
        <v>4.49</v>
      </c>
      <c r="K270">
        <v>3293</v>
      </c>
      <c r="L270">
        <v>1254</v>
      </c>
      <c r="M270">
        <v>2039</v>
      </c>
      <c r="N270">
        <v>1315.62</v>
      </c>
      <c r="O270">
        <v>5.09</v>
      </c>
      <c r="P270">
        <v>13.54</v>
      </c>
      <c r="Q270">
        <v>0.73</v>
      </c>
      <c r="R270">
        <v>0.61</v>
      </c>
      <c r="S270">
        <v>378</v>
      </c>
      <c r="T270">
        <v>6975</v>
      </c>
      <c r="U270">
        <v>8421</v>
      </c>
      <c r="V270">
        <v>221</v>
      </c>
      <c r="W270">
        <v>7.3</v>
      </c>
      <c r="X270" s="10">
        <v>0.89122114365208416</v>
      </c>
      <c r="Y270" s="9">
        <v>7070</v>
      </c>
      <c r="Z270" s="9">
        <v>4705</v>
      </c>
      <c r="AA270" s="9">
        <v>7020</v>
      </c>
      <c r="AB270" s="10">
        <v>0.97885835095137419</v>
      </c>
      <c r="AC270" s="11">
        <v>43.241039177549318</v>
      </c>
      <c r="AD270" s="9">
        <v>4673.8983050847455</v>
      </c>
      <c r="AE270" s="8">
        <v>0.34740882917466409</v>
      </c>
    </row>
    <row r="271" spans="1:31" x14ac:dyDescent="0.35">
      <c r="A271" s="6" t="s">
        <v>292</v>
      </c>
      <c r="B271" s="7">
        <v>3</v>
      </c>
      <c r="C271" s="7">
        <v>0</v>
      </c>
      <c r="D271" s="7">
        <v>6</v>
      </c>
      <c r="E271" s="7">
        <v>9</v>
      </c>
      <c r="F271">
        <v>1109</v>
      </c>
      <c r="G271">
        <v>53</v>
      </c>
      <c r="H271">
        <v>4.76</v>
      </c>
      <c r="I271">
        <v>63</v>
      </c>
      <c r="J271">
        <v>5.66</v>
      </c>
      <c r="K271">
        <v>2167</v>
      </c>
      <c r="L271">
        <v>360</v>
      </c>
      <c r="M271">
        <v>1806</v>
      </c>
      <c r="N271">
        <v>2717.36</v>
      </c>
      <c r="O271">
        <v>3.51</v>
      </c>
      <c r="P271">
        <v>10.79</v>
      </c>
      <c r="Q271">
        <v>0.39</v>
      </c>
      <c r="R271">
        <v>0.61</v>
      </c>
      <c r="S271">
        <v>495</v>
      </c>
      <c r="T271">
        <v>13856</v>
      </c>
      <c r="U271">
        <v>8759</v>
      </c>
      <c r="V271">
        <v>71</v>
      </c>
      <c r="W271">
        <v>9.84</v>
      </c>
      <c r="X271" s="10">
        <v>0.78061981582736506</v>
      </c>
      <c r="Y271" s="9">
        <v>6300</v>
      </c>
      <c r="Z271" s="9">
        <v>5200</v>
      </c>
      <c r="AA271" s="9">
        <v>5990</v>
      </c>
      <c r="AB271" s="10">
        <v>0.71818181818181814</v>
      </c>
      <c r="AC271" s="11">
        <v>17.60127813281467</v>
      </c>
      <c r="AD271" s="9">
        <v>5112.6610169491523</v>
      </c>
      <c r="AE271" s="8">
        <v>0.13018867924528302</v>
      </c>
    </row>
    <row r="272" spans="1:31" x14ac:dyDescent="0.35">
      <c r="A272" s="6" t="s">
        <v>293</v>
      </c>
      <c r="B272" s="7">
        <v>2</v>
      </c>
      <c r="C272" s="7">
        <v>1</v>
      </c>
      <c r="D272" s="7">
        <v>9</v>
      </c>
      <c r="E272" s="7">
        <v>6</v>
      </c>
      <c r="F272">
        <v>841</v>
      </c>
      <c r="G272">
        <v>-63</v>
      </c>
      <c r="H272">
        <v>-7.44</v>
      </c>
      <c r="I272">
        <v>72</v>
      </c>
      <c r="J272">
        <v>8.61</v>
      </c>
      <c r="K272">
        <v>1425</v>
      </c>
      <c r="L272">
        <v>280</v>
      </c>
      <c r="M272">
        <v>1145</v>
      </c>
      <c r="N272">
        <v>1367.44</v>
      </c>
      <c r="O272">
        <v>6.3</v>
      </c>
      <c r="P272">
        <v>15.02</v>
      </c>
      <c r="Q272">
        <v>0.96</v>
      </c>
      <c r="R272">
        <v>1.29</v>
      </c>
      <c r="S272">
        <v>464</v>
      </c>
      <c r="T272">
        <v>7297</v>
      </c>
      <c r="U272">
        <v>5388</v>
      </c>
      <c r="V272">
        <v>-46</v>
      </c>
      <c r="W272">
        <v>-23.58</v>
      </c>
      <c r="X272" s="10">
        <v>0.54423137279914335</v>
      </c>
      <c r="Y272" s="9">
        <v>7780</v>
      </c>
      <c r="Z272" s="9">
        <v>6690</v>
      </c>
      <c r="AA272" s="9">
        <v>7380</v>
      </c>
      <c r="AB272" s="10">
        <v>0.6330275229357798</v>
      </c>
      <c r="AC272" s="11">
        <v>11.406223951097523</v>
      </c>
      <c r="AD272" s="9">
        <v>6788.276836158193</v>
      </c>
      <c r="AE272" s="8">
        <v>3.9436619718309862E-2</v>
      </c>
    </row>
    <row r="273" spans="1:31" x14ac:dyDescent="0.35">
      <c r="A273" s="6" t="s">
        <v>294</v>
      </c>
      <c r="B273" s="7">
        <v>0</v>
      </c>
      <c r="C273" s="7">
        <v>14</v>
      </c>
      <c r="D273" s="7">
        <v>3</v>
      </c>
      <c r="E273" s="7">
        <v>1</v>
      </c>
      <c r="F273">
        <v>93</v>
      </c>
      <c r="G273">
        <v>83</v>
      </c>
      <c r="H273">
        <v>89.8</v>
      </c>
      <c r="I273">
        <v>83</v>
      </c>
      <c r="J273">
        <v>89.62</v>
      </c>
      <c r="K273">
        <v>1255</v>
      </c>
      <c r="L273">
        <v>1</v>
      </c>
      <c r="M273">
        <v>1253</v>
      </c>
      <c r="N273">
        <v>1660.86</v>
      </c>
      <c r="O273">
        <v>7.15</v>
      </c>
      <c r="P273">
        <v>7.6</v>
      </c>
      <c r="Q273">
        <v>0.56000000000000005</v>
      </c>
      <c r="R273">
        <v>6.81</v>
      </c>
      <c r="S273">
        <v>613</v>
      </c>
      <c r="T273">
        <v>8392</v>
      </c>
      <c r="U273">
        <v>684</v>
      </c>
      <c r="V273">
        <v>83</v>
      </c>
      <c r="W273">
        <v>8.36</v>
      </c>
      <c r="X273" s="10">
        <v>0.31523994854449716</v>
      </c>
      <c r="Y273" s="9">
        <v>6200</v>
      </c>
      <c r="Z273" s="9">
        <v>4090</v>
      </c>
      <c r="AA273" s="9">
        <v>5230</v>
      </c>
      <c r="AB273" s="10">
        <v>0.54028436018957349</v>
      </c>
      <c r="AC273" s="11">
        <v>12.445957210336205</v>
      </c>
      <c r="AD273" s="9">
        <v>4309.3983050847455</v>
      </c>
      <c r="AE273" s="8">
        <v>0.12231759656652361</v>
      </c>
    </row>
    <row r="274" spans="1:31" x14ac:dyDescent="0.35">
      <c r="A274" s="6" t="s">
        <v>295</v>
      </c>
      <c r="B274" s="7">
        <v>2</v>
      </c>
      <c r="C274" s="7">
        <v>6</v>
      </c>
      <c r="D274" s="7">
        <v>8</v>
      </c>
      <c r="E274" s="7">
        <v>2</v>
      </c>
      <c r="F274">
        <v>9920</v>
      </c>
      <c r="G274">
        <v>8636</v>
      </c>
      <c r="H274">
        <v>87.06</v>
      </c>
      <c r="I274">
        <v>7094</v>
      </c>
      <c r="J274">
        <v>71.510000000000005</v>
      </c>
      <c r="K274">
        <v>113902</v>
      </c>
      <c r="L274">
        <v>36009</v>
      </c>
      <c r="M274">
        <v>77893</v>
      </c>
      <c r="N274">
        <v>3697.86</v>
      </c>
      <c r="O274">
        <v>8.9600000000000009</v>
      </c>
      <c r="P274">
        <v>8.84</v>
      </c>
      <c r="Q274">
        <v>1</v>
      </c>
      <c r="R274">
        <v>6.39</v>
      </c>
      <c r="S274">
        <v>18504</v>
      </c>
      <c r="T274">
        <v>163665</v>
      </c>
      <c r="U274">
        <v>25583</v>
      </c>
      <c r="V274">
        <v>8654</v>
      </c>
      <c r="W274">
        <v>12.67</v>
      </c>
      <c r="X274" s="10">
        <v>0.15924282935269471</v>
      </c>
      <c r="Y274" s="9">
        <v>186500</v>
      </c>
      <c r="Z274" s="9">
        <v>157000</v>
      </c>
      <c r="AA274" s="9">
        <v>171000</v>
      </c>
      <c r="AB274" s="10">
        <v>0.47457627118644069</v>
      </c>
      <c r="AC274" s="11">
        <v>172.97860516810223</v>
      </c>
      <c r="AD274" s="9">
        <v>165715.81920903953</v>
      </c>
      <c r="AE274" s="8">
        <v>2.3952095808383235E-2</v>
      </c>
    </row>
    <row r="275" spans="1:31" x14ac:dyDescent="0.35">
      <c r="A275" s="6" t="s">
        <v>296</v>
      </c>
      <c r="B275" s="7">
        <v>10</v>
      </c>
      <c r="C275" s="7">
        <v>5</v>
      </c>
      <c r="D275" s="7">
        <v>1</v>
      </c>
      <c r="E275" s="7">
        <v>2</v>
      </c>
      <c r="F275">
        <v>19741</v>
      </c>
      <c r="G275">
        <v>2372</v>
      </c>
      <c r="H275">
        <v>12.02</v>
      </c>
      <c r="I275">
        <v>2403</v>
      </c>
      <c r="J275">
        <v>12.17</v>
      </c>
      <c r="K275">
        <v>31769</v>
      </c>
      <c r="L275">
        <v>21124</v>
      </c>
      <c r="M275">
        <v>10645</v>
      </c>
      <c r="N275">
        <v>16904.919999999998</v>
      </c>
      <c r="O275">
        <v>23.9</v>
      </c>
      <c r="P275">
        <v>39.119999999999997</v>
      </c>
      <c r="Q275">
        <v>10.72</v>
      </c>
      <c r="R275">
        <v>4.76</v>
      </c>
      <c r="S275">
        <v>5458</v>
      </c>
      <c r="T275">
        <v>19923</v>
      </c>
      <c r="U275">
        <v>44831</v>
      </c>
      <c r="V275">
        <v>2875</v>
      </c>
      <c r="W275">
        <v>41.82</v>
      </c>
      <c r="X275" s="10">
        <v>5.1319793327489802E-2</v>
      </c>
      <c r="Y275" s="9">
        <v>244000</v>
      </c>
      <c r="Z275" s="9">
        <v>202000</v>
      </c>
      <c r="AA275" s="9">
        <v>234000</v>
      </c>
      <c r="AB275" s="10">
        <v>0.76190476190476186</v>
      </c>
      <c r="AC275" s="11">
        <v>-131.38371769936094</v>
      </c>
      <c r="AD275" s="9">
        <v>228532.20338983051</v>
      </c>
      <c r="AE275" s="8">
        <v>9.0909090909090912E-2</v>
      </c>
    </row>
    <row r="276" spans="1:31" x14ac:dyDescent="0.35">
      <c r="A276" s="6" t="s">
        <v>297</v>
      </c>
      <c r="B276" s="7">
        <v>6</v>
      </c>
      <c r="C276" s="7">
        <v>6</v>
      </c>
      <c r="D276" s="7">
        <v>0</v>
      </c>
      <c r="E276" s="7">
        <v>6</v>
      </c>
      <c r="F276">
        <v>18992</v>
      </c>
      <c r="G276">
        <v>1368</v>
      </c>
      <c r="H276">
        <v>7.2</v>
      </c>
      <c r="I276">
        <v>780</v>
      </c>
      <c r="J276">
        <v>4.1100000000000003</v>
      </c>
      <c r="K276">
        <v>25723</v>
      </c>
      <c r="L276">
        <v>13027</v>
      </c>
      <c r="M276">
        <v>12697</v>
      </c>
      <c r="N276">
        <v>599.6</v>
      </c>
      <c r="O276">
        <v>6.3</v>
      </c>
      <c r="P276">
        <v>12.27</v>
      </c>
      <c r="Q276">
        <v>0.79</v>
      </c>
      <c r="R276">
        <v>0.5</v>
      </c>
      <c r="S276">
        <v>2168</v>
      </c>
      <c r="T276">
        <v>33703</v>
      </c>
      <c r="U276">
        <v>52779</v>
      </c>
      <c r="V276">
        <v>2208</v>
      </c>
      <c r="W276">
        <v>8.6999999999999993</v>
      </c>
      <c r="X276" s="10">
        <v>0.86123041148045831</v>
      </c>
      <c r="Y276" s="9">
        <v>36300</v>
      </c>
      <c r="Z276" s="9">
        <v>26250</v>
      </c>
      <c r="AA276" s="9">
        <v>35400</v>
      </c>
      <c r="AB276" s="10">
        <v>0.91044776119402981</v>
      </c>
      <c r="AC276" s="11">
        <v>149.85134759655458</v>
      </c>
      <c r="AD276" s="9">
        <v>26315.367231638418</v>
      </c>
      <c r="AE276" s="8">
        <v>0.28727272727272729</v>
      </c>
    </row>
    <row r="277" spans="1:31" x14ac:dyDescent="0.35">
      <c r="A277" s="6" t="s">
        <v>298</v>
      </c>
      <c r="B277" s="7">
        <v>9</v>
      </c>
      <c r="C277" s="7">
        <v>1</v>
      </c>
      <c r="D277" s="7">
        <v>1</v>
      </c>
      <c r="E277" s="7">
        <v>7</v>
      </c>
      <c r="F277">
        <v>1110</v>
      </c>
      <c r="G277">
        <v>26</v>
      </c>
      <c r="H277">
        <v>2.39</v>
      </c>
      <c r="I277">
        <v>-131</v>
      </c>
      <c r="J277">
        <v>-11.84</v>
      </c>
      <c r="K277">
        <v>2759</v>
      </c>
      <c r="L277">
        <v>2217</v>
      </c>
      <c r="M277">
        <v>542</v>
      </c>
      <c r="N277">
        <v>179.28</v>
      </c>
      <c r="O277">
        <v>-21.74</v>
      </c>
      <c r="P277">
        <v>0</v>
      </c>
      <c r="Q277">
        <v>1.39</v>
      </c>
      <c r="R277">
        <v>0.64</v>
      </c>
      <c r="S277">
        <v>-341</v>
      </c>
      <c r="T277">
        <v>1328</v>
      </c>
      <c r="U277">
        <v>2875</v>
      </c>
      <c r="V277">
        <v>217</v>
      </c>
      <c r="W277">
        <v>11.81</v>
      </c>
      <c r="X277" s="10">
        <v>0.40853627924951041</v>
      </c>
      <c r="Y277" s="9">
        <v>2510</v>
      </c>
      <c r="Z277" s="9">
        <v>1785</v>
      </c>
      <c r="AA277" s="9">
        <v>2220</v>
      </c>
      <c r="AB277" s="10">
        <v>0.6</v>
      </c>
      <c r="AC277" s="11">
        <v>5.5006946373992776</v>
      </c>
      <c r="AD277" s="9">
        <v>1974.5621468926556</v>
      </c>
      <c r="AE277" s="8">
        <v>0.20652173913043478</v>
      </c>
    </row>
    <row r="278" spans="1:31" x14ac:dyDescent="0.35">
      <c r="A278" s="6" t="s">
        <v>299</v>
      </c>
      <c r="B278" s="7">
        <v>3</v>
      </c>
      <c r="C278" s="7">
        <v>5</v>
      </c>
      <c r="D278" s="7">
        <v>8</v>
      </c>
      <c r="E278" s="7">
        <v>2</v>
      </c>
      <c r="F278">
        <v>1371</v>
      </c>
      <c r="G278">
        <v>374</v>
      </c>
      <c r="H278">
        <v>27.3</v>
      </c>
      <c r="I278">
        <v>216</v>
      </c>
      <c r="J278">
        <v>15.78</v>
      </c>
      <c r="K278">
        <v>2415</v>
      </c>
      <c r="L278">
        <v>478</v>
      </c>
      <c r="M278">
        <v>1937</v>
      </c>
      <c r="N278">
        <v>1219</v>
      </c>
      <c r="O278">
        <v>10.66</v>
      </c>
      <c r="P278">
        <v>11.61</v>
      </c>
      <c r="Q278">
        <v>1.17</v>
      </c>
      <c r="R278">
        <v>1.83</v>
      </c>
      <c r="S278">
        <v>660</v>
      </c>
      <c r="T278">
        <v>6533</v>
      </c>
      <c r="U278">
        <v>4182</v>
      </c>
      <c r="V278">
        <v>489</v>
      </c>
      <c r="W278">
        <v>4.5999999999999996</v>
      </c>
      <c r="X278" s="10">
        <v>0.70502671680297424</v>
      </c>
      <c r="Y278" s="9">
        <v>11050</v>
      </c>
      <c r="Z278" s="9">
        <v>7450</v>
      </c>
      <c r="AA278" s="9">
        <v>10600</v>
      </c>
      <c r="AB278" s="10">
        <v>0.875</v>
      </c>
      <c r="AC278" s="11">
        <v>50.069463739927755</v>
      </c>
      <c r="AD278" s="9">
        <v>8385.8813559322043</v>
      </c>
      <c r="AE278" s="8">
        <v>0.42281879194630873</v>
      </c>
    </row>
    <row r="279" spans="1:31" x14ac:dyDescent="0.35">
      <c r="A279" s="6" t="s">
        <v>300</v>
      </c>
      <c r="B279" s="7">
        <v>6</v>
      </c>
      <c r="C279" s="7">
        <v>8</v>
      </c>
      <c r="D279" s="7">
        <v>0</v>
      </c>
      <c r="E279" s="7">
        <v>4</v>
      </c>
      <c r="F279">
        <v>43135</v>
      </c>
      <c r="G279">
        <v>821</v>
      </c>
      <c r="H279">
        <v>1.9</v>
      </c>
      <c r="I279">
        <v>879</v>
      </c>
      <c r="J279">
        <v>2.04</v>
      </c>
      <c r="K279">
        <v>21177</v>
      </c>
      <c r="L279">
        <v>10042</v>
      </c>
      <c r="M279">
        <v>11135</v>
      </c>
      <c r="N279">
        <v>2473.5700000000002</v>
      </c>
      <c r="O279">
        <v>8.0500000000000007</v>
      </c>
      <c r="P279">
        <v>9.2799999999999994</v>
      </c>
      <c r="Q279">
        <v>0.77</v>
      </c>
      <c r="R279">
        <v>0.19</v>
      </c>
      <c r="S279">
        <v>10435</v>
      </c>
      <c r="T279">
        <v>126329</v>
      </c>
      <c r="U279">
        <v>511866</v>
      </c>
      <c r="V279">
        <v>1011</v>
      </c>
      <c r="W279">
        <v>13.08</v>
      </c>
      <c r="X279" s="10">
        <v>4.8817571666620032E-3</v>
      </c>
      <c r="Y279" s="9">
        <v>96800</v>
      </c>
      <c r="Z279" s="9">
        <v>84900</v>
      </c>
      <c r="AA279" s="9">
        <v>87000</v>
      </c>
      <c r="AB279" s="10">
        <v>0.17647058823529413</v>
      </c>
      <c r="AC279" s="11">
        <v>-11.928313420394556</v>
      </c>
      <c r="AD279" s="9">
        <v>89072.146892655364</v>
      </c>
      <c r="AE279" s="8">
        <v>-7.4468085106382975E-2</v>
      </c>
    </row>
    <row r="280" spans="1:31" x14ac:dyDescent="0.35">
      <c r="A280" s="6" t="s">
        <v>301</v>
      </c>
      <c r="B280" s="7">
        <v>1</v>
      </c>
      <c r="C280" s="7">
        <v>9</v>
      </c>
      <c r="D280" s="7">
        <v>1</v>
      </c>
      <c r="E280" s="7">
        <v>7</v>
      </c>
      <c r="F280">
        <v>204604</v>
      </c>
      <c r="G280">
        <v>1844</v>
      </c>
      <c r="H280">
        <v>0.9</v>
      </c>
      <c r="I280">
        <v>117</v>
      </c>
      <c r="J280">
        <v>0.06</v>
      </c>
      <c r="K280">
        <v>78834</v>
      </c>
      <c r="L280">
        <v>54929</v>
      </c>
      <c r="M280">
        <v>23905</v>
      </c>
      <c r="N280">
        <v>268.54000000000002</v>
      </c>
      <c r="O280">
        <v>0.48</v>
      </c>
      <c r="P280">
        <v>190.21</v>
      </c>
      <c r="Q280">
        <v>0.95</v>
      </c>
      <c r="R280">
        <v>0.11</v>
      </c>
      <c r="S280">
        <v>47</v>
      </c>
      <c r="T280">
        <v>9420</v>
      </c>
      <c r="U280">
        <v>82402</v>
      </c>
      <c r="V280">
        <v>2786</v>
      </c>
      <c r="W280">
        <v>12.76</v>
      </c>
      <c r="X280" s="10">
        <v>5.5119320567745848E-3</v>
      </c>
      <c r="Y280" s="9">
        <v>9450</v>
      </c>
      <c r="Z280" s="9">
        <v>7590</v>
      </c>
      <c r="AA280" s="9">
        <v>8200</v>
      </c>
      <c r="AB280" s="10">
        <v>0.32795698924731181</v>
      </c>
      <c r="AC280" s="11">
        <v>-1.9063628785773825</v>
      </c>
      <c r="AD280" s="9">
        <v>8716.6440677966093</v>
      </c>
      <c r="AE280" s="8">
        <v>-6.4994298745724058E-2</v>
      </c>
    </row>
    <row r="281" spans="1:31" x14ac:dyDescent="0.35">
      <c r="A281" s="6" t="s">
        <v>302</v>
      </c>
      <c r="B281" s="7">
        <v>0</v>
      </c>
      <c r="C281" s="7">
        <v>0</v>
      </c>
      <c r="D281" s="7">
        <v>0</v>
      </c>
      <c r="E281" s="7">
        <v>18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 s="10">
        <v>0.50241522433671015</v>
      </c>
      <c r="Y281" s="9">
        <v>22800</v>
      </c>
      <c r="Z281" s="9">
        <v>13950</v>
      </c>
      <c r="AA281" s="9">
        <v>17350</v>
      </c>
      <c r="AB281" s="10">
        <v>0.38418079096045199</v>
      </c>
      <c r="AC281" s="11">
        <v>86.24201166990828</v>
      </c>
      <c r="AD281" s="9">
        <v>14080.45197740113</v>
      </c>
      <c r="AE281" s="8">
        <v>0.2048611111111111</v>
      </c>
    </row>
    <row r="282" spans="1:31" x14ac:dyDescent="0.35">
      <c r="A282" s="6" t="s">
        <v>303</v>
      </c>
      <c r="B282" s="7">
        <v>8</v>
      </c>
      <c r="C282" s="7">
        <v>0</v>
      </c>
      <c r="D282" s="7">
        <v>2</v>
      </c>
      <c r="E282" s="7">
        <v>8</v>
      </c>
      <c r="F282">
        <v>26544</v>
      </c>
      <c r="G282">
        <v>582</v>
      </c>
      <c r="H282">
        <v>2.19</v>
      </c>
      <c r="I282">
        <v>43</v>
      </c>
      <c r="J282">
        <v>0.16</v>
      </c>
      <c r="K282">
        <v>31110</v>
      </c>
      <c r="L282">
        <v>19894</v>
      </c>
      <c r="M282">
        <v>11216</v>
      </c>
      <c r="N282">
        <v>-24.2</v>
      </c>
      <c r="O282">
        <v>0.38</v>
      </c>
      <c r="P282">
        <v>292</v>
      </c>
      <c r="Q282">
        <v>1.37</v>
      </c>
      <c r="R282">
        <v>0.49</v>
      </c>
      <c r="S282">
        <v>15</v>
      </c>
      <c r="T282">
        <v>3187</v>
      </c>
      <c r="U282">
        <v>8969</v>
      </c>
      <c r="V282">
        <v>5476</v>
      </c>
      <c r="W282">
        <v>4.99</v>
      </c>
      <c r="X282" s="10">
        <v>0.37422080288909898</v>
      </c>
      <c r="Y282" s="9">
        <v>5360</v>
      </c>
      <c r="Z282" s="9">
        <v>3925</v>
      </c>
      <c r="AA282" s="9">
        <v>4695</v>
      </c>
      <c r="AB282" s="10">
        <v>0.53658536585365857</v>
      </c>
      <c r="AC282" s="11">
        <v>9.4251180883578787</v>
      </c>
      <c r="AD282" s="9">
        <v>4090.3672316384177</v>
      </c>
      <c r="AE282" s="8">
        <v>8.429561200923788E-2</v>
      </c>
    </row>
    <row r="283" spans="1:31" x14ac:dyDescent="0.35">
      <c r="A283" s="6" t="s">
        <v>304</v>
      </c>
      <c r="B283" s="7">
        <v>0</v>
      </c>
      <c r="C283" s="7">
        <v>0</v>
      </c>
      <c r="D283" s="7">
        <v>0</v>
      </c>
      <c r="E283" s="7">
        <v>18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 s="10">
        <v>4.154959694790736E-3</v>
      </c>
      <c r="Y283" s="9">
        <v>112500</v>
      </c>
      <c r="Z283" s="9">
        <v>98700</v>
      </c>
      <c r="AA283" s="9">
        <v>102500</v>
      </c>
      <c r="AB283" s="10">
        <v>0.27536231884057971</v>
      </c>
      <c r="AC283" s="11">
        <v>11.90330647402056</v>
      </c>
      <c r="AD283" s="9">
        <v>102690.28248587571</v>
      </c>
      <c r="AE283" s="8">
        <v>-8.8888888888888892E-2</v>
      </c>
    </row>
    <row r="284" spans="1:31" x14ac:dyDescent="0.35">
      <c r="A284" s="6" t="s">
        <v>305</v>
      </c>
      <c r="B284" s="7">
        <v>1</v>
      </c>
      <c r="C284" s="7">
        <v>5</v>
      </c>
      <c r="D284" s="7">
        <v>2</v>
      </c>
      <c r="E284" s="7">
        <v>10</v>
      </c>
      <c r="F284">
        <v>15897</v>
      </c>
      <c r="G284">
        <v>3539</v>
      </c>
      <c r="H284">
        <v>22.26</v>
      </c>
      <c r="I284">
        <v>1386</v>
      </c>
      <c r="J284">
        <v>8.7200000000000006</v>
      </c>
      <c r="K284">
        <v>145086</v>
      </c>
      <c r="L284">
        <v>15163</v>
      </c>
      <c r="M284">
        <v>129923</v>
      </c>
      <c r="N284">
        <v>2701.8</v>
      </c>
      <c r="O284">
        <v>1.06</v>
      </c>
      <c r="P284">
        <v>57.23</v>
      </c>
      <c r="Q284">
        <v>0.69</v>
      </c>
      <c r="R284">
        <v>4.99</v>
      </c>
      <c r="S284">
        <v>1487</v>
      </c>
      <c r="T284">
        <v>123900</v>
      </c>
      <c r="U284">
        <v>17058</v>
      </c>
      <c r="V284">
        <v>5565</v>
      </c>
      <c r="W284">
        <v>15.17</v>
      </c>
      <c r="X284" s="10">
        <v>0.34607875768411178</v>
      </c>
      <c r="Y284" s="9">
        <v>104500</v>
      </c>
      <c r="Z284" s="9">
        <v>79500</v>
      </c>
      <c r="AA284" s="9">
        <v>94700</v>
      </c>
      <c r="AB284" s="10">
        <v>0.60799999999999998</v>
      </c>
      <c r="AC284" s="11">
        <v>228.68574604056684</v>
      </c>
      <c r="AD284" s="9">
        <v>86348.418079096038</v>
      </c>
      <c r="AE284" s="8">
        <v>0.10244470314318975</v>
      </c>
    </row>
    <row r="285" spans="1:31" x14ac:dyDescent="0.35">
      <c r="A285" s="6" t="s">
        <v>306</v>
      </c>
      <c r="B285" s="7">
        <v>0</v>
      </c>
      <c r="C285" s="7">
        <v>0</v>
      </c>
      <c r="D285" s="7">
        <v>0</v>
      </c>
      <c r="E285" s="7">
        <v>18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 s="10">
        <v>0.22003191888105875</v>
      </c>
      <c r="Y285" s="9">
        <v>53700</v>
      </c>
      <c r="Z285" s="9">
        <v>48100</v>
      </c>
      <c r="AA285" s="9">
        <v>51000</v>
      </c>
      <c r="AB285" s="10">
        <v>0.5178571428571429</v>
      </c>
      <c r="AC285" s="11">
        <v>40.33898305084746</v>
      </c>
      <c r="AD285" s="9">
        <v>49499.661016949154</v>
      </c>
      <c r="AE285" s="8">
        <v>-9.7087378640776691E-3</v>
      </c>
    </row>
    <row r="286" spans="1:31" x14ac:dyDescent="0.35">
      <c r="A286" s="6" t="s">
        <v>307</v>
      </c>
      <c r="B286" s="7">
        <v>0</v>
      </c>
      <c r="C286" s="7">
        <v>14</v>
      </c>
      <c r="D286" s="7">
        <v>2</v>
      </c>
      <c r="E286" s="7">
        <v>2</v>
      </c>
      <c r="F286">
        <v>5271</v>
      </c>
      <c r="G286">
        <v>110</v>
      </c>
      <c r="H286">
        <v>2.08</v>
      </c>
      <c r="I286">
        <v>34</v>
      </c>
      <c r="J286">
        <v>0.64</v>
      </c>
      <c r="K286">
        <v>36836</v>
      </c>
      <c r="L286">
        <v>32909</v>
      </c>
      <c r="M286">
        <v>3927</v>
      </c>
      <c r="N286">
        <v>142.35</v>
      </c>
      <c r="O286">
        <v>0.86</v>
      </c>
      <c r="P286">
        <v>80.27</v>
      </c>
      <c r="Q286">
        <v>0.75</v>
      </c>
      <c r="R286">
        <v>0.53</v>
      </c>
      <c r="S286">
        <v>11</v>
      </c>
      <c r="T286">
        <v>1178</v>
      </c>
      <c r="U286">
        <v>1668</v>
      </c>
      <c r="V286">
        <v>0</v>
      </c>
      <c r="W286">
        <v>0</v>
      </c>
      <c r="X286" s="10">
        <v>0.86031404182023419</v>
      </c>
      <c r="Y286" s="9">
        <v>1125</v>
      </c>
      <c r="Z286" s="9">
        <v>844</v>
      </c>
      <c r="AA286" s="9">
        <v>1070</v>
      </c>
      <c r="AB286" s="10">
        <v>0.80427046263345192</v>
      </c>
      <c r="AC286" s="11">
        <v>4.1865518199499849</v>
      </c>
      <c r="AD286" s="9">
        <v>831.4435028248588</v>
      </c>
      <c r="AE286" s="8">
        <v>0.22285714285714286</v>
      </c>
    </row>
    <row r="287" spans="1:31" x14ac:dyDescent="0.35">
      <c r="A287" s="6" t="s">
        <v>308</v>
      </c>
      <c r="B287" s="7">
        <v>0</v>
      </c>
      <c r="C287" s="7">
        <v>0</v>
      </c>
      <c r="D287" s="7">
        <v>0</v>
      </c>
      <c r="E287" s="7">
        <v>18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 s="10">
        <v>0.80813804765148356</v>
      </c>
      <c r="Y287" s="9">
        <v>1120</v>
      </c>
      <c r="Z287" s="9">
        <v>798</v>
      </c>
      <c r="AA287" s="9">
        <v>1030</v>
      </c>
      <c r="AB287" s="10">
        <v>0.72049689440993792</v>
      </c>
      <c r="AC287" s="11">
        <v>4.766101694915255</v>
      </c>
      <c r="AD287" s="9">
        <v>751.23389830508472</v>
      </c>
      <c r="AE287" s="8">
        <v>0.28109452736318408</v>
      </c>
    </row>
    <row r="288" spans="1:31" x14ac:dyDescent="0.35">
      <c r="A288" s="6" t="s">
        <v>309</v>
      </c>
      <c r="B288" s="7">
        <v>2</v>
      </c>
      <c r="C288" s="7">
        <v>7</v>
      </c>
      <c r="D288" s="7">
        <v>1</v>
      </c>
      <c r="E288" s="7">
        <v>8</v>
      </c>
      <c r="F288">
        <v>939</v>
      </c>
      <c r="G288">
        <v>-160</v>
      </c>
      <c r="H288">
        <v>-17.010000000000002</v>
      </c>
      <c r="I288">
        <v>-184</v>
      </c>
      <c r="J288">
        <v>-19.579999999999998</v>
      </c>
      <c r="K288">
        <v>1762</v>
      </c>
      <c r="L288">
        <v>420</v>
      </c>
      <c r="M288">
        <v>1342</v>
      </c>
      <c r="N288">
        <v>576.19000000000005</v>
      </c>
      <c r="O288">
        <v>-12.85</v>
      </c>
      <c r="P288">
        <v>0</v>
      </c>
      <c r="Q288">
        <v>2.74</v>
      </c>
      <c r="R288">
        <v>3</v>
      </c>
      <c r="S288">
        <v>-434</v>
      </c>
      <c r="T288">
        <v>2424</v>
      </c>
      <c r="U288">
        <v>2219</v>
      </c>
      <c r="V288">
        <v>-66</v>
      </c>
      <c r="W288">
        <v>-44.07</v>
      </c>
      <c r="X288" s="10">
        <v>0.7499253963938981</v>
      </c>
      <c r="Y288" s="9">
        <v>8890</v>
      </c>
      <c r="Z288" s="9">
        <v>6650</v>
      </c>
      <c r="AA288" s="9">
        <v>8150</v>
      </c>
      <c r="AB288" s="10">
        <v>0.6696428571428571</v>
      </c>
      <c r="AC288" s="11">
        <v>26.199499861072525</v>
      </c>
      <c r="AD288" s="9">
        <v>6870.5819209039546</v>
      </c>
      <c r="AE288" s="8">
        <v>0.22556390977443608</v>
      </c>
    </row>
    <row r="289" spans="1:31" x14ac:dyDescent="0.35">
      <c r="A289" s="6" t="s">
        <v>310</v>
      </c>
      <c r="B289" s="7">
        <v>0</v>
      </c>
      <c r="C289" s="7">
        <v>3</v>
      </c>
      <c r="D289" s="7">
        <v>11</v>
      </c>
      <c r="E289" s="7">
        <v>4</v>
      </c>
      <c r="F289">
        <v>12329</v>
      </c>
      <c r="G289">
        <v>356</v>
      </c>
      <c r="H289">
        <v>2.89</v>
      </c>
      <c r="I289">
        <v>-201</v>
      </c>
      <c r="J289">
        <v>-1.63</v>
      </c>
      <c r="K289">
        <v>23443</v>
      </c>
      <c r="L289">
        <v>14095</v>
      </c>
      <c r="M289">
        <v>9348</v>
      </c>
      <c r="N289">
        <v>773.1</v>
      </c>
      <c r="O289">
        <v>-2.12</v>
      </c>
      <c r="P289">
        <v>0</v>
      </c>
      <c r="Q289">
        <v>1.68</v>
      </c>
      <c r="R289">
        <v>1.06</v>
      </c>
      <c r="S289">
        <v>-1199</v>
      </c>
      <c r="T289">
        <v>38098</v>
      </c>
      <c r="U289">
        <v>60364</v>
      </c>
      <c r="V289">
        <v>789</v>
      </c>
      <c r="W289">
        <v>32.92</v>
      </c>
      <c r="X289" s="10">
        <v>0.14242766300646845</v>
      </c>
      <c r="Y289" s="9">
        <v>66000</v>
      </c>
      <c r="Z289" s="9">
        <v>57300</v>
      </c>
      <c r="AA289" s="9">
        <v>62300</v>
      </c>
      <c r="AB289" s="10">
        <v>0.57471264367816088</v>
      </c>
      <c r="AC289" s="11">
        <v>-41.447624340094471</v>
      </c>
      <c r="AD289" s="9">
        <v>61909.152542372882</v>
      </c>
      <c r="AE289" s="8">
        <v>-2.6562499999999999E-2</v>
      </c>
    </row>
    <row r="290" spans="1:31" x14ac:dyDescent="0.35">
      <c r="A290" s="6" t="s">
        <v>311</v>
      </c>
      <c r="B290" s="7">
        <v>0</v>
      </c>
      <c r="C290" s="7">
        <v>0</v>
      </c>
      <c r="D290" s="7">
        <v>0</v>
      </c>
      <c r="E290" s="7">
        <v>18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 s="10">
        <v>7.5332173216175946E-3</v>
      </c>
      <c r="Y290" s="9">
        <v>28350</v>
      </c>
      <c r="Z290" s="9">
        <v>25200</v>
      </c>
      <c r="AA290" s="9">
        <v>27450</v>
      </c>
      <c r="AB290" s="10">
        <v>0.7142857142857143</v>
      </c>
      <c r="AC290" s="11">
        <v>4.3081411503195328</v>
      </c>
      <c r="AD290" s="9">
        <v>26012.768361581922</v>
      </c>
      <c r="AE290" s="8">
        <v>5.4945054945054949E-3</v>
      </c>
    </row>
    <row r="291" spans="1:31" x14ac:dyDescent="0.35">
      <c r="A291" s="6" t="s">
        <v>312</v>
      </c>
      <c r="B291" s="7">
        <v>9</v>
      </c>
      <c r="C291" s="7">
        <v>4</v>
      </c>
      <c r="D291" s="7">
        <v>4</v>
      </c>
      <c r="E291" s="7">
        <v>1</v>
      </c>
      <c r="F291">
        <v>130126</v>
      </c>
      <c r="G291">
        <v>17372</v>
      </c>
      <c r="H291">
        <v>13.35</v>
      </c>
      <c r="I291">
        <v>10285</v>
      </c>
      <c r="J291">
        <v>7.9</v>
      </c>
      <c r="K291">
        <v>227125</v>
      </c>
      <c r="L291">
        <v>91702</v>
      </c>
      <c r="M291">
        <v>135422</v>
      </c>
      <c r="N291">
        <v>35030.5</v>
      </c>
      <c r="O291">
        <v>7.66</v>
      </c>
      <c r="P291">
        <v>18.79</v>
      </c>
      <c r="Q291">
        <v>2.1</v>
      </c>
      <c r="R291">
        <v>1.46</v>
      </c>
      <c r="S291">
        <v>14262</v>
      </c>
      <c r="T291">
        <v>127658</v>
      </c>
      <c r="U291">
        <v>183441</v>
      </c>
      <c r="V291">
        <v>39459</v>
      </c>
      <c r="W291">
        <v>6.64</v>
      </c>
      <c r="X291" s="10">
        <v>0.21012060697569138</v>
      </c>
      <c r="Y291" s="9">
        <v>301000</v>
      </c>
      <c r="Z291" s="9">
        <v>264000</v>
      </c>
      <c r="AA291" s="9">
        <v>280500</v>
      </c>
      <c r="AB291" s="10">
        <v>0.44594594594594594</v>
      </c>
      <c r="AC291" s="11">
        <v>227.4659627674354</v>
      </c>
      <c r="AD291" s="9">
        <v>273020.62146892655</v>
      </c>
      <c r="AE291" s="8">
        <v>3.125E-2</v>
      </c>
    </row>
    <row r="292" spans="1:31" x14ac:dyDescent="0.35">
      <c r="A292" s="6" t="s">
        <v>313</v>
      </c>
      <c r="B292" s="7">
        <v>14</v>
      </c>
      <c r="C292" s="7">
        <v>1</v>
      </c>
      <c r="D292" s="7">
        <v>2</v>
      </c>
      <c r="E292" s="7">
        <v>1</v>
      </c>
      <c r="F292">
        <v>168937</v>
      </c>
      <c r="G292">
        <v>50474</v>
      </c>
      <c r="H292">
        <v>29.88</v>
      </c>
      <c r="I292">
        <v>37718</v>
      </c>
      <c r="J292">
        <v>22.33</v>
      </c>
      <c r="K292">
        <v>253489</v>
      </c>
      <c r="L292">
        <v>76742</v>
      </c>
      <c r="M292">
        <v>176747</v>
      </c>
      <c r="N292">
        <v>383.22</v>
      </c>
      <c r="O292">
        <v>24.43</v>
      </c>
      <c r="P292">
        <v>9.09</v>
      </c>
      <c r="Q292">
        <v>2.08</v>
      </c>
      <c r="R292">
        <v>2.0299999999999998</v>
      </c>
      <c r="S292">
        <v>5252</v>
      </c>
      <c r="T292">
        <v>22944</v>
      </c>
      <c r="U292">
        <v>23522</v>
      </c>
      <c r="V292">
        <v>76249</v>
      </c>
      <c r="W292">
        <v>4.5599999999999996</v>
      </c>
      <c r="X292" s="10">
        <v>0.31944159821072543</v>
      </c>
      <c r="Y292" s="9">
        <v>50300</v>
      </c>
      <c r="Z292" s="9">
        <v>43250</v>
      </c>
      <c r="AA292" s="9">
        <v>45800</v>
      </c>
      <c r="AB292" s="10">
        <v>0.36170212765957449</v>
      </c>
      <c r="AC292" s="11">
        <v>-47.557654904140037</v>
      </c>
      <c r="AD292" s="9">
        <v>48497.175141242937</v>
      </c>
      <c r="AE292" s="8">
        <v>-4.6826222684703434E-2</v>
      </c>
    </row>
    <row r="293" spans="1:31" x14ac:dyDescent="0.35">
      <c r="A293" s="6" t="s">
        <v>314</v>
      </c>
      <c r="B293" s="7">
        <v>3</v>
      </c>
      <c r="C293" s="7">
        <v>3</v>
      </c>
      <c r="D293" s="7">
        <v>12</v>
      </c>
      <c r="E293" s="7">
        <v>0</v>
      </c>
      <c r="F293">
        <v>606</v>
      </c>
      <c r="G293">
        <v>-54</v>
      </c>
      <c r="H293">
        <v>-8.8800000000000008</v>
      </c>
      <c r="I293">
        <v>-108</v>
      </c>
      <c r="J293">
        <v>-17.75</v>
      </c>
      <c r="K293">
        <v>866</v>
      </c>
      <c r="L293">
        <v>287</v>
      </c>
      <c r="M293">
        <v>579</v>
      </c>
      <c r="N293">
        <v>76.06</v>
      </c>
      <c r="O293">
        <v>-18.809999999999999</v>
      </c>
      <c r="P293">
        <v>0</v>
      </c>
      <c r="Q293">
        <v>6.43</v>
      </c>
      <c r="R293">
        <v>3.67</v>
      </c>
      <c r="S293">
        <v>-164</v>
      </c>
      <c r="T293">
        <v>528</v>
      </c>
      <c r="U293">
        <v>925</v>
      </c>
      <c r="V293">
        <v>0</v>
      </c>
      <c r="W293">
        <v>9918.75</v>
      </c>
      <c r="X293" s="10">
        <v>0.68973195374851037</v>
      </c>
      <c r="Y293" s="9">
        <v>3775</v>
      </c>
      <c r="Z293" s="9">
        <v>2870</v>
      </c>
      <c r="AA293" s="9">
        <v>3095</v>
      </c>
      <c r="AB293" s="10">
        <v>0.24861878453038674</v>
      </c>
      <c r="AC293" s="11">
        <v>-12.316754654070577</v>
      </c>
      <c r="AD293" s="9">
        <v>3680.3276836158193</v>
      </c>
      <c r="AE293" s="8">
        <v>-7.7496274217585689E-2</v>
      </c>
    </row>
    <row r="294" spans="1:31" x14ac:dyDescent="0.35">
      <c r="A294" s="6" t="s">
        <v>315</v>
      </c>
      <c r="B294" s="7">
        <v>0</v>
      </c>
      <c r="C294" s="7">
        <v>0</v>
      </c>
      <c r="D294" s="7">
        <v>0</v>
      </c>
      <c r="E294" s="7">
        <v>18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 s="10">
        <v>0.60746142368418965</v>
      </c>
      <c r="Y294" s="9">
        <v>10380</v>
      </c>
      <c r="Z294" s="9">
        <v>9595</v>
      </c>
      <c r="AA294" s="9">
        <v>10200</v>
      </c>
      <c r="AB294" s="10">
        <v>0.77070063694267521</v>
      </c>
      <c r="AC294" s="11">
        <v>9.9665184773548212</v>
      </c>
      <c r="AD294" s="9">
        <v>9737.6045197740114</v>
      </c>
      <c r="AE294" s="8">
        <v>1.7964071856287425E-2</v>
      </c>
    </row>
    <row r="295" spans="1:31" x14ac:dyDescent="0.35">
      <c r="A295" s="6" t="s">
        <v>316</v>
      </c>
      <c r="B295" s="7">
        <v>0</v>
      </c>
      <c r="C295" s="7">
        <v>5</v>
      </c>
      <c r="D295" s="7">
        <v>3</v>
      </c>
      <c r="E295" s="7">
        <v>10</v>
      </c>
      <c r="F295">
        <v>148</v>
      </c>
      <c r="G295">
        <v>-38</v>
      </c>
      <c r="H295">
        <v>-25.62</v>
      </c>
      <c r="I295">
        <v>-80</v>
      </c>
      <c r="J295">
        <v>-53.88</v>
      </c>
      <c r="K295">
        <v>364</v>
      </c>
      <c r="L295">
        <v>62</v>
      </c>
      <c r="M295">
        <v>302</v>
      </c>
      <c r="N295">
        <v>229.65</v>
      </c>
      <c r="O295">
        <v>-23.09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 s="10">
        <v>5.0533638505184005E-3</v>
      </c>
      <c r="Y295" s="9">
        <v>1360</v>
      </c>
      <c r="Z295" s="9">
        <v>1005</v>
      </c>
      <c r="AA295" s="9">
        <v>1265</v>
      </c>
      <c r="AB295" s="10">
        <v>0.73239436619718312</v>
      </c>
      <c r="AC295" s="11">
        <v>0.39260905807168656</v>
      </c>
      <c r="AD295" s="9">
        <v>1171.1920903954804</v>
      </c>
      <c r="AE295" s="8">
        <v>0.25870646766169153</v>
      </c>
    </row>
    <row r="296" spans="1:31" x14ac:dyDescent="0.35">
      <c r="A296" s="6" t="s">
        <v>317</v>
      </c>
      <c r="B296" s="7">
        <v>1</v>
      </c>
      <c r="C296" s="7">
        <v>0</v>
      </c>
      <c r="D296" s="7">
        <v>1</v>
      </c>
      <c r="E296" s="7">
        <v>16</v>
      </c>
      <c r="F296">
        <v>285576</v>
      </c>
      <c r="G296">
        <v>-2897</v>
      </c>
      <c r="H296">
        <v>-1.01</v>
      </c>
      <c r="I296">
        <v>-2882</v>
      </c>
      <c r="J296">
        <v>-1.01</v>
      </c>
      <c r="K296">
        <v>102494</v>
      </c>
      <c r="L296">
        <v>53452</v>
      </c>
      <c r="M296">
        <v>49042</v>
      </c>
      <c r="N296">
        <v>1582.98</v>
      </c>
      <c r="O296">
        <v>-5.62</v>
      </c>
      <c r="P296">
        <v>0</v>
      </c>
      <c r="Q296">
        <v>1.1599999999999999</v>
      </c>
      <c r="R296">
        <v>0.2</v>
      </c>
      <c r="S296">
        <v>-2476</v>
      </c>
      <c r="T296">
        <v>41630</v>
      </c>
      <c r="U296">
        <v>244909</v>
      </c>
      <c r="V296">
        <v>500</v>
      </c>
      <c r="W296">
        <v>161.22</v>
      </c>
      <c r="X296" s="10">
        <v>0.67451514073983132</v>
      </c>
      <c r="Y296" s="9">
        <v>68400</v>
      </c>
      <c r="Z296" s="9">
        <v>45100</v>
      </c>
      <c r="AA296" s="9">
        <v>63800</v>
      </c>
      <c r="AB296" s="10">
        <v>0.80257510729613735</v>
      </c>
      <c r="AC296" s="11">
        <v>309.72631286468464</v>
      </c>
      <c r="AD296" s="9">
        <v>49499.180790960454</v>
      </c>
      <c r="AE296" s="8">
        <v>0.31140801644398769</v>
      </c>
    </row>
    <row r="297" spans="1:31" x14ac:dyDescent="0.35">
      <c r="A297" s="6" t="s">
        <v>318</v>
      </c>
      <c r="B297" s="7">
        <v>0</v>
      </c>
      <c r="C297" s="7">
        <v>0</v>
      </c>
      <c r="D297" s="7">
        <v>0</v>
      </c>
      <c r="E297" s="7">
        <v>18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 s="10">
        <v>0.65874020667160005</v>
      </c>
      <c r="Y297" s="9">
        <v>40750</v>
      </c>
      <c r="Z297" s="9">
        <v>29250</v>
      </c>
      <c r="AA297" s="9">
        <v>37650</v>
      </c>
      <c r="AB297" s="10">
        <v>0.73043478260869565</v>
      </c>
      <c r="AC297" s="11">
        <v>154.72214504028898</v>
      </c>
      <c r="AD297" s="9">
        <v>31183.474576271186</v>
      </c>
      <c r="AE297" s="8">
        <v>0.20673076923076922</v>
      </c>
    </row>
    <row r="298" spans="1:31" x14ac:dyDescent="0.35">
      <c r="A298" s="6" t="s">
        <v>319</v>
      </c>
      <c r="B298" s="7">
        <v>1</v>
      </c>
      <c r="C298" s="7">
        <v>13</v>
      </c>
      <c r="D298" s="7">
        <v>0</v>
      </c>
      <c r="E298" s="7">
        <v>4</v>
      </c>
      <c r="F298">
        <v>3356</v>
      </c>
      <c r="G298">
        <v>333</v>
      </c>
      <c r="H298">
        <v>9.92</v>
      </c>
      <c r="I298">
        <v>42</v>
      </c>
      <c r="J298">
        <v>1.24</v>
      </c>
      <c r="K298">
        <v>6114</v>
      </c>
      <c r="L298">
        <v>4033</v>
      </c>
      <c r="M298">
        <v>2082</v>
      </c>
      <c r="N298">
        <v>568.21</v>
      </c>
      <c r="O298">
        <v>2.21</v>
      </c>
      <c r="P298">
        <v>43.66</v>
      </c>
      <c r="Q298">
        <v>1.1499999999999999</v>
      </c>
      <c r="R298">
        <v>0.54</v>
      </c>
      <c r="S298">
        <v>71</v>
      </c>
      <c r="T298">
        <v>2699</v>
      </c>
      <c r="U298">
        <v>5713</v>
      </c>
      <c r="V298">
        <v>569</v>
      </c>
      <c r="W298">
        <v>8.84</v>
      </c>
      <c r="X298" s="10">
        <v>0.66892109809049727</v>
      </c>
      <c r="Y298" s="9">
        <v>4950</v>
      </c>
      <c r="Z298" s="9">
        <v>2990</v>
      </c>
      <c r="AA298" s="9">
        <v>4420</v>
      </c>
      <c r="AB298" s="10">
        <v>0.72959183673469385</v>
      </c>
      <c r="AC298" s="11">
        <v>21.244929146985267</v>
      </c>
      <c r="AD298" s="9">
        <v>3646.1129943502824</v>
      </c>
      <c r="AE298" s="8">
        <v>0.47826086956521741</v>
      </c>
    </row>
    <row r="299" spans="1:31" x14ac:dyDescent="0.35">
      <c r="A299" s="6" t="s">
        <v>320</v>
      </c>
      <c r="B299" s="7">
        <v>0</v>
      </c>
      <c r="C299" s="7">
        <v>13</v>
      </c>
      <c r="D299" s="7">
        <v>1</v>
      </c>
      <c r="E299" s="7">
        <v>4</v>
      </c>
      <c r="F299">
        <v>12914</v>
      </c>
      <c r="G299">
        <v>234</v>
      </c>
      <c r="H299">
        <v>1.81</v>
      </c>
      <c r="I299">
        <v>3345</v>
      </c>
      <c r="J299">
        <v>25.9</v>
      </c>
      <c r="K299">
        <v>10704</v>
      </c>
      <c r="L299">
        <v>10155</v>
      </c>
      <c r="M299">
        <v>549</v>
      </c>
      <c r="N299">
        <v>-26.57</v>
      </c>
      <c r="O299">
        <v>0</v>
      </c>
      <c r="P299">
        <v>0.03</v>
      </c>
      <c r="Q299">
        <v>0.23</v>
      </c>
      <c r="R299">
        <v>0.01</v>
      </c>
      <c r="S299">
        <v>13720</v>
      </c>
      <c r="T299">
        <v>1662</v>
      </c>
      <c r="U299">
        <v>52968</v>
      </c>
      <c r="V299">
        <v>281</v>
      </c>
      <c r="W299">
        <v>22.83</v>
      </c>
      <c r="X299" s="10">
        <v>0.18425695984030066</v>
      </c>
      <c r="Y299" s="9">
        <v>6450</v>
      </c>
      <c r="Z299" s="9">
        <v>4045</v>
      </c>
      <c r="AA299" s="9">
        <v>5740</v>
      </c>
      <c r="AB299" s="10">
        <v>0.70478170478170477</v>
      </c>
      <c r="AC299" s="11">
        <v>17.549874965268131</v>
      </c>
      <c r="AD299" s="9">
        <v>4244.0621468926547</v>
      </c>
      <c r="AE299" s="8">
        <v>0.39659367396593675</v>
      </c>
    </row>
    <row r="300" spans="1:31" x14ac:dyDescent="0.35">
      <c r="A300" s="6" t="s">
        <v>321</v>
      </c>
      <c r="B300" s="7">
        <v>0</v>
      </c>
      <c r="C300" s="7">
        <v>12</v>
      </c>
      <c r="D300" s="7">
        <v>1</v>
      </c>
      <c r="E300" s="7">
        <v>5</v>
      </c>
      <c r="F300">
        <v>7107</v>
      </c>
      <c r="G300">
        <v>81</v>
      </c>
      <c r="H300">
        <v>1.1399999999999999</v>
      </c>
      <c r="I300">
        <v>-577</v>
      </c>
      <c r="J300">
        <v>-8.1199999999999992</v>
      </c>
      <c r="K300">
        <v>9937</v>
      </c>
      <c r="L300">
        <v>10347</v>
      </c>
      <c r="M300">
        <v>-410</v>
      </c>
      <c r="N300">
        <v>-133.32</v>
      </c>
      <c r="O300">
        <v>0</v>
      </c>
      <c r="P300">
        <v>0</v>
      </c>
      <c r="Q300">
        <v>0</v>
      </c>
      <c r="R300">
        <v>0.24</v>
      </c>
      <c r="S300">
        <v>-1173</v>
      </c>
      <c r="T300">
        <v>-1067</v>
      </c>
      <c r="U300">
        <v>14446</v>
      </c>
      <c r="V300">
        <v>224</v>
      </c>
      <c r="W300">
        <v>26.91</v>
      </c>
      <c r="X300" s="10">
        <v>0.18425695984030066</v>
      </c>
      <c r="Y300" s="9">
        <v>3510</v>
      </c>
      <c r="Z300" s="9">
        <v>3510</v>
      </c>
      <c r="AA300" s="9">
        <v>3510</v>
      </c>
      <c r="AC300" s="11">
        <v>0</v>
      </c>
      <c r="AD300" s="9">
        <v>3510</v>
      </c>
      <c r="AE300" s="8">
        <v>0</v>
      </c>
    </row>
    <row r="301" spans="1:31" x14ac:dyDescent="0.35">
      <c r="A301" s="6" t="s">
        <v>322</v>
      </c>
      <c r="B301" s="7">
        <v>1</v>
      </c>
      <c r="C301" s="7">
        <v>7</v>
      </c>
      <c r="D301" s="7">
        <v>3</v>
      </c>
      <c r="E301" s="7">
        <v>7</v>
      </c>
      <c r="F301">
        <v>10024</v>
      </c>
      <c r="G301">
        <v>-441</v>
      </c>
      <c r="H301">
        <v>-4.4000000000000004</v>
      </c>
      <c r="I301">
        <v>-1360</v>
      </c>
      <c r="J301">
        <v>-13.57</v>
      </c>
      <c r="K301">
        <v>14829</v>
      </c>
      <c r="L301">
        <v>14859</v>
      </c>
      <c r="M301">
        <v>-30</v>
      </c>
      <c r="N301">
        <v>-100.82</v>
      </c>
      <c r="O301">
        <v>0</v>
      </c>
      <c r="P301">
        <v>0</v>
      </c>
      <c r="Q301">
        <v>0</v>
      </c>
      <c r="R301">
        <v>0.16</v>
      </c>
      <c r="S301">
        <v>-1191</v>
      </c>
      <c r="T301">
        <v>-227</v>
      </c>
      <c r="U301">
        <v>8779</v>
      </c>
      <c r="V301">
        <v>-101</v>
      </c>
      <c r="W301">
        <v>-102.49</v>
      </c>
      <c r="X301" s="10">
        <v>0.18425695984030066</v>
      </c>
      <c r="Y301" s="9">
        <v>1410</v>
      </c>
      <c r="Z301" s="9">
        <v>1410</v>
      </c>
      <c r="AA301" s="9">
        <v>1410</v>
      </c>
      <c r="AC301" s="11">
        <v>0</v>
      </c>
      <c r="AD301" s="9">
        <v>1410</v>
      </c>
      <c r="AE301" s="8">
        <v>0</v>
      </c>
    </row>
    <row r="302" spans="1:31" x14ac:dyDescent="0.35">
      <c r="A302" s="6" t="s">
        <v>323</v>
      </c>
      <c r="B302" s="7">
        <v>2</v>
      </c>
      <c r="C302" s="7">
        <v>7</v>
      </c>
      <c r="D302" s="7">
        <v>3</v>
      </c>
      <c r="E302" s="7">
        <v>6</v>
      </c>
      <c r="F302">
        <v>4013</v>
      </c>
      <c r="G302">
        <v>109</v>
      </c>
      <c r="H302">
        <v>2.71</v>
      </c>
      <c r="I302">
        <v>10</v>
      </c>
      <c r="J302">
        <v>0.25</v>
      </c>
      <c r="K302">
        <v>4613</v>
      </c>
      <c r="L302">
        <v>2512</v>
      </c>
      <c r="M302">
        <v>2101</v>
      </c>
      <c r="N302">
        <v>1034.3900000000001</v>
      </c>
      <c r="O302">
        <v>0.49</v>
      </c>
      <c r="P302">
        <v>45.69</v>
      </c>
      <c r="Q302">
        <v>0.24</v>
      </c>
      <c r="R302">
        <v>0.12</v>
      </c>
      <c r="S302">
        <v>58</v>
      </c>
      <c r="T302">
        <v>10905</v>
      </c>
      <c r="U302">
        <v>22731</v>
      </c>
      <c r="V302">
        <v>172</v>
      </c>
      <c r="W302">
        <v>12.47</v>
      </c>
      <c r="X302" s="10">
        <v>0.30239925363083897</v>
      </c>
      <c r="Y302" s="9">
        <v>2965</v>
      </c>
      <c r="Z302" s="9">
        <v>2470</v>
      </c>
      <c r="AA302" s="9">
        <v>2825</v>
      </c>
      <c r="AB302">
        <v>0.71717171717171713</v>
      </c>
      <c r="AC302" s="11">
        <v>3.8131425395943319</v>
      </c>
      <c r="AD302" s="9">
        <v>2606.9491525423728</v>
      </c>
      <c r="AE302" s="8">
        <v>5.0185873605947957E-2</v>
      </c>
    </row>
    <row r="303" spans="1:31" x14ac:dyDescent="0.35">
      <c r="A303" s="6" t="s">
        <v>324</v>
      </c>
      <c r="B303" s="7">
        <v>0</v>
      </c>
      <c r="C303" s="7">
        <v>0</v>
      </c>
      <c r="D303" s="7">
        <v>0</v>
      </c>
      <c r="E303" s="7">
        <v>18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 s="10">
        <v>0.79825250729772124</v>
      </c>
      <c r="Y303" s="9">
        <v>26210</v>
      </c>
      <c r="Z303" s="9">
        <v>24255</v>
      </c>
      <c r="AA303" s="9">
        <v>25875</v>
      </c>
      <c r="AB303">
        <v>0.82864450127877243</v>
      </c>
      <c r="AC303" s="11">
        <v>23.788135593220343</v>
      </c>
      <c r="AD303" s="9">
        <v>24618.54519774011</v>
      </c>
      <c r="AE303" s="8">
        <v>3.6243492190628751E-2</v>
      </c>
    </row>
    <row r="304" spans="1:31" x14ac:dyDescent="0.35">
      <c r="A304" s="6" t="s">
        <v>325</v>
      </c>
      <c r="B304" s="7">
        <v>0</v>
      </c>
      <c r="C304" s="7">
        <v>0</v>
      </c>
      <c r="D304" s="7">
        <v>0</v>
      </c>
      <c r="E304" s="7">
        <v>18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 s="10">
        <v>6.50759737076365E-2</v>
      </c>
      <c r="Y304" s="9">
        <v>16710</v>
      </c>
      <c r="Z304" s="9">
        <v>15550</v>
      </c>
      <c r="AA304" s="9">
        <v>15935</v>
      </c>
      <c r="AB304">
        <v>0.33189655172413796</v>
      </c>
      <c r="AC304" s="11">
        <v>-3.790358432898028</v>
      </c>
      <c r="AD304" s="9">
        <v>16176.189265536725</v>
      </c>
      <c r="AE304" s="8">
        <v>3.1476235442241107E-3</v>
      </c>
    </row>
    <row r="305" spans="1:31" x14ac:dyDescent="0.35">
      <c r="A305" s="6" t="s">
        <v>326</v>
      </c>
      <c r="B305" s="7">
        <v>0</v>
      </c>
      <c r="C305" s="7">
        <v>0</v>
      </c>
      <c r="D305" s="7">
        <v>0</v>
      </c>
      <c r="E305" s="7">
        <v>18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 s="10">
        <v>0.72118911024687127</v>
      </c>
      <c r="Y305" s="9">
        <v>42020</v>
      </c>
      <c r="Z305" s="9">
        <v>39355</v>
      </c>
      <c r="AA305" s="9">
        <v>41445</v>
      </c>
      <c r="AB305">
        <v>0.78424015009380865</v>
      </c>
      <c r="AC305" s="11">
        <v>29.343428730202834</v>
      </c>
      <c r="AD305" s="9">
        <v>39980.858757062146</v>
      </c>
      <c r="AE305" s="8">
        <v>1.8304668304668304E-2</v>
      </c>
    </row>
    <row r="306" spans="1:31" x14ac:dyDescent="0.35">
      <c r="A306" s="6" t="s">
        <v>327</v>
      </c>
      <c r="B306" s="7">
        <v>0</v>
      </c>
      <c r="C306" s="7">
        <v>0</v>
      </c>
      <c r="D306" s="7">
        <v>0</v>
      </c>
      <c r="E306" s="7">
        <v>18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 s="10">
        <v>0.75929518460593337</v>
      </c>
      <c r="Y306" s="9">
        <v>6485</v>
      </c>
      <c r="Z306" s="9">
        <v>5690</v>
      </c>
      <c r="AA306" s="9">
        <v>6300</v>
      </c>
      <c r="AB306">
        <v>0.76729559748427678</v>
      </c>
      <c r="AC306" s="11">
        <v>11.622811892192278</v>
      </c>
      <c r="AD306" s="9">
        <v>5825.5875706214683</v>
      </c>
      <c r="AE306" s="8">
        <v>7.0518266779949018E-2</v>
      </c>
    </row>
    <row r="307" spans="1:31" x14ac:dyDescent="0.35">
      <c r="A307" s="6" t="s">
        <v>328</v>
      </c>
      <c r="B307" s="7">
        <v>0</v>
      </c>
      <c r="C307" s="7">
        <v>0</v>
      </c>
      <c r="D307" s="7">
        <v>0</v>
      </c>
      <c r="E307" s="7">
        <v>18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 s="10">
        <v>0.41411331383548777</v>
      </c>
      <c r="Y307" s="9">
        <v>24110</v>
      </c>
      <c r="Z307" s="9">
        <v>22480</v>
      </c>
      <c r="AA307" s="9">
        <v>23545</v>
      </c>
      <c r="AB307">
        <v>0.65337423312883436</v>
      </c>
      <c r="AC307" s="11">
        <v>16.140177827174217</v>
      </c>
      <c r="AD307" s="9">
        <v>22952.641242937854</v>
      </c>
      <c r="AE307" s="8">
        <v>-6.5400843881856536E-3</v>
      </c>
    </row>
    <row r="308" spans="1:31" x14ac:dyDescent="0.35">
      <c r="A308" s="6" t="s">
        <v>329</v>
      </c>
      <c r="B308" s="7">
        <v>0</v>
      </c>
      <c r="C308" s="7">
        <v>0</v>
      </c>
      <c r="D308" s="7">
        <v>0</v>
      </c>
      <c r="E308" s="7">
        <v>18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 s="10">
        <v>0.72710394648751131</v>
      </c>
      <c r="Y308" s="9">
        <v>15920</v>
      </c>
      <c r="Z308" s="9">
        <v>14875</v>
      </c>
      <c r="AA308" s="9">
        <v>15710</v>
      </c>
      <c r="AB308">
        <v>0.79904306220095689</v>
      </c>
      <c r="AC308" s="11">
        <v>14.317449291469851</v>
      </c>
      <c r="AD308" s="9">
        <v>15001.901129943504</v>
      </c>
      <c r="AE308" s="8">
        <v>1.7157656199417289E-2</v>
      </c>
    </row>
    <row r="309" spans="1:31" x14ac:dyDescent="0.35">
      <c r="A309" s="6" t="s">
        <v>330</v>
      </c>
      <c r="B309" s="7">
        <v>0</v>
      </c>
      <c r="C309" s="7">
        <v>0</v>
      </c>
      <c r="D309" s="7">
        <v>0</v>
      </c>
      <c r="E309" s="7">
        <v>18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 s="10">
        <v>0.73451292400574741</v>
      </c>
      <c r="Y309" s="9">
        <v>3585</v>
      </c>
      <c r="Z309" s="9">
        <v>2940</v>
      </c>
      <c r="AA309" s="9">
        <v>3415</v>
      </c>
      <c r="AB309">
        <v>0.73643410852713176</v>
      </c>
      <c r="AC309" s="11">
        <v>8.7909141428174511</v>
      </c>
      <c r="AD309" s="9">
        <v>2974.9604519774011</v>
      </c>
      <c r="AE309" s="8">
        <v>8.5850556438791734E-2</v>
      </c>
    </row>
    <row r="310" spans="1:31" x14ac:dyDescent="0.35">
      <c r="A310" s="6" t="s">
        <v>331</v>
      </c>
      <c r="B310" s="7">
        <v>0</v>
      </c>
      <c r="C310" s="7">
        <v>0</v>
      </c>
      <c r="D310" s="7">
        <v>0</v>
      </c>
      <c r="E310" s="7">
        <v>18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 s="10">
        <v>0.78646536619849117</v>
      </c>
      <c r="Y310" s="9">
        <v>13285</v>
      </c>
      <c r="Z310" s="9">
        <v>11465</v>
      </c>
      <c r="AA310" s="9">
        <v>13185</v>
      </c>
      <c r="AB310">
        <v>0.94505494505494503</v>
      </c>
      <c r="AC310" s="11">
        <v>24.614059460961379</v>
      </c>
      <c r="AD310" s="9">
        <v>11467.271186440677</v>
      </c>
      <c r="AE310" s="8">
        <v>0.13321873657069189</v>
      </c>
    </row>
    <row r="311" spans="1:31" x14ac:dyDescent="0.35">
      <c r="A311" s="6" t="s">
        <v>332</v>
      </c>
      <c r="B311" s="7">
        <v>0</v>
      </c>
      <c r="C311" s="7">
        <v>0</v>
      </c>
      <c r="D311" s="7">
        <v>0</v>
      </c>
      <c r="E311" s="7">
        <v>18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 s="10">
        <v>4.347732588242281E-5</v>
      </c>
      <c r="Y311" s="9">
        <v>18755</v>
      </c>
      <c r="Z311" s="9">
        <v>17395</v>
      </c>
      <c r="AA311" s="9">
        <v>17900</v>
      </c>
      <c r="AB311">
        <v>0.37132352941176472</v>
      </c>
      <c r="AC311" s="11">
        <v>-0.11364267852181162</v>
      </c>
      <c r="AD311" s="9">
        <v>18108.299435028246</v>
      </c>
      <c r="AE311" s="8">
        <v>-2.6380201251019853E-2</v>
      </c>
    </row>
    <row r="312" spans="1:31" x14ac:dyDescent="0.35">
      <c r="A312" s="6" t="s">
        <v>333</v>
      </c>
      <c r="B312" s="7">
        <v>0</v>
      </c>
      <c r="C312" s="7">
        <v>0</v>
      </c>
      <c r="D312" s="7">
        <v>0</v>
      </c>
      <c r="E312" s="7">
        <v>18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 s="10">
        <v>1.7144742360580387E-3</v>
      </c>
      <c r="Y312" s="9">
        <v>7085</v>
      </c>
      <c r="Z312" s="9">
        <v>5990</v>
      </c>
      <c r="AA312" s="9">
        <v>6920</v>
      </c>
      <c r="AB312">
        <v>0.84931506849315064</v>
      </c>
      <c r="AC312" s="11">
        <v>0.66129480411225261</v>
      </c>
      <c r="AD312" s="9">
        <v>6473.1638418079092</v>
      </c>
      <c r="AE312" s="8">
        <v>-7.8853046594982087E-3</v>
      </c>
    </row>
    <row r="313" spans="1:31" x14ac:dyDescent="0.35">
      <c r="A313" s="6" t="s">
        <v>334</v>
      </c>
      <c r="B313" s="7">
        <v>0</v>
      </c>
      <c r="C313" s="7">
        <v>0</v>
      </c>
      <c r="D313" s="7">
        <v>0</v>
      </c>
      <c r="E313" s="7">
        <v>18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 s="10">
        <v>0.66526313153357985</v>
      </c>
      <c r="Y313" s="9">
        <v>109675</v>
      </c>
      <c r="Z313" s="9">
        <v>108270</v>
      </c>
      <c r="AA313" s="9">
        <v>109675</v>
      </c>
      <c r="AB313">
        <v>1</v>
      </c>
      <c r="AC313" s="11">
        <v>13.968046679633231</v>
      </c>
      <c r="AD313" s="9">
        <v>108631.80790960451</v>
      </c>
      <c r="AE313" s="8">
        <v>1.2649462167028299E-2</v>
      </c>
    </row>
    <row r="314" spans="1:31" x14ac:dyDescent="0.35">
      <c r="A314" s="6" t="s">
        <v>335</v>
      </c>
      <c r="B314" s="7">
        <v>0</v>
      </c>
      <c r="C314" s="7">
        <v>0</v>
      </c>
      <c r="D314" s="7">
        <v>0</v>
      </c>
      <c r="E314" s="7">
        <v>18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 s="10">
        <v>0.90680068728776198</v>
      </c>
      <c r="Y314" s="9">
        <v>6435</v>
      </c>
      <c r="Z314" s="9">
        <v>5080</v>
      </c>
      <c r="AA314" s="9">
        <v>6215</v>
      </c>
      <c r="AB314">
        <v>0.83763837638376382</v>
      </c>
      <c r="AC314" s="11">
        <v>23.550152820227844</v>
      </c>
      <c r="AD314" s="9">
        <v>5051.887005649718</v>
      </c>
      <c r="AE314" s="8">
        <v>0.15843429636533085</v>
      </c>
    </row>
    <row r="315" spans="1:31" x14ac:dyDescent="0.35">
      <c r="A315" s="6" t="s">
        <v>336</v>
      </c>
      <c r="B315" s="7">
        <v>0</v>
      </c>
      <c r="C315" s="7">
        <v>0</v>
      </c>
      <c r="D315" s="7">
        <v>0</v>
      </c>
      <c r="E315" s="7">
        <v>18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 s="10">
        <v>0.2705141652324487</v>
      </c>
      <c r="Y315" s="9">
        <v>6020</v>
      </c>
      <c r="Z315" s="9">
        <v>5505</v>
      </c>
      <c r="AA315" s="9">
        <v>5730</v>
      </c>
      <c r="AB315">
        <v>0.43689320388349512</v>
      </c>
      <c r="AC315" s="11">
        <v>-3.7028341205890527</v>
      </c>
      <c r="AD315" s="9">
        <v>5790.3531073446329</v>
      </c>
      <c r="AE315" s="8">
        <v>-4.817275747508306E-2</v>
      </c>
    </row>
    <row r="316" spans="1:31" x14ac:dyDescent="0.35">
      <c r="A316" s="6" t="s">
        <v>337</v>
      </c>
      <c r="B316" s="7">
        <v>0</v>
      </c>
      <c r="C316" s="7">
        <v>0</v>
      </c>
      <c r="D316" s="7">
        <v>0</v>
      </c>
      <c r="E316" s="7">
        <v>18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 s="10">
        <v>0.42638167229009949</v>
      </c>
      <c r="Y316" s="9">
        <v>7540</v>
      </c>
      <c r="Z316" s="9">
        <v>6810</v>
      </c>
      <c r="AA316" s="9">
        <v>7110</v>
      </c>
      <c r="AB316">
        <v>0.41095890410958902</v>
      </c>
      <c r="AC316" s="11">
        <v>-6.1337871631008616</v>
      </c>
      <c r="AD316" s="9">
        <v>7383.1638418079092</v>
      </c>
      <c r="AE316" s="8">
        <v>-5.3892215568862277E-2</v>
      </c>
    </row>
    <row r="317" spans="1:31" x14ac:dyDescent="0.35">
      <c r="A317" s="6" t="s">
        <v>338</v>
      </c>
      <c r="B317" s="7">
        <v>0</v>
      </c>
      <c r="C317" s="7">
        <v>0</v>
      </c>
      <c r="D317" s="7">
        <v>0</v>
      </c>
      <c r="E317" s="7">
        <v>18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 s="10">
        <v>0.25049069579477634</v>
      </c>
      <c r="Y317" s="9">
        <v>8210</v>
      </c>
      <c r="Z317" s="9">
        <v>7200</v>
      </c>
      <c r="AA317" s="9">
        <v>7530</v>
      </c>
      <c r="AB317">
        <v>0.32673267326732675</v>
      </c>
      <c r="AC317" s="11">
        <v>-7.8420394554042803</v>
      </c>
      <c r="AD317" s="9">
        <v>7904.2655367231637</v>
      </c>
      <c r="AE317" s="8">
        <v>7.3578595317725752E-3</v>
      </c>
    </row>
    <row r="318" spans="1:31" x14ac:dyDescent="0.35">
      <c r="A318" s="6" t="s">
        <v>339</v>
      </c>
      <c r="B318" s="7">
        <v>0</v>
      </c>
      <c r="C318" s="7">
        <v>0</v>
      </c>
      <c r="D318" s="7">
        <v>0</v>
      </c>
      <c r="E318" s="7">
        <v>18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 s="10">
        <v>0.62706689810365202</v>
      </c>
      <c r="Y318" s="9">
        <v>22250</v>
      </c>
      <c r="Z318" s="9">
        <v>19495</v>
      </c>
      <c r="AA318" s="9">
        <v>21305</v>
      </c>
      <c r="AB318">
        <v>0.65698729582577131</v>
      </c>
      <c r="AC318" s="11">
        <v>34.099888858016115</v>
      </c>
      <c r="AD318" s="9">
        <v>20088.036723163841</v>
      </c>
      <c r="AE318" s="8">
        <v>6.852551984877127E-3</v>
      </c>
    </row>
    <row r="319" spans="1:31" x14ac:dyDescent="0.35">
      <c r="A319" s="6" t="s">
        <v>340</v>
      </c>
      <c r="B319" s="7">
        <v>0</v>
      </c>
      <c r="C319" s="7">
        <v>0</v>
      </c>
      <c r="D319" s="7">
        <v>0</v>
      </c>
      <c r="E319" s="7">
        <v>18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 s="10">
        <v>0.8422537592197078</v>
      </c>
      <c r="Y319" s="9">
        <v>16215</v>
      </c>
      <c r="Z319" s="9">
        <v>13040</v>
      </c>
      <c r="AA319" s="9">
        <v>14895</v>
      </c>
      <c r="AB319">
        <v>0.58425196850393701</v>
      </c>
      <c r="AC319" s="11">
        <v>45.323423173103642</v>
      </c>
      <c r="AD319" s="9">
        <v>12899.635593220339</v>
      </c>
      <c r="AE319" s="8">
        <v>0.12034599473486272</v>
      </c>
    </row>
    <row r="320" spans="1:31" x14ac:dyDescent="0.35">
      <c r="A320" s="6" t="s">
        <v>341</v>
      </c>
      <c r="B320" s="7">
        <v>0</v>
      </c>
      <c r="C320" s="7">
        <v>0</v>
      </c>
      <c r="D320" s="7">
        <v>0</v>
      </c>
      <c r="E320" s="7">
        <v>18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 s="10">
        <v>0.73611066001268455</v>
      </c>
      <c r="Y320" s="9">
        <v>7700</v>
      </c>
      <c r="Z320" s="9">
        <v>6795</v>
      </c>
      <c r="AA320" s="9">
        <v>6950</v>
      </c>
      <c r="AB320">
        <v>0.17127071823204421</v>
      </c>
      <c r="AC320" s="11">
        <v>-10.625868296749097</v>
      </c>
      <c r="AD320" s="9">
        <v>7477.8389830508477</v>
      </c>
      <c r="AE320" s="8">
        <v>-9.5052083333333329E-2</v>
      </c>
    </row>
    <row r="321" spans="1:31" x14ac:dyDescent="0.35">
      <c r="A321" s="6" t="s">
        <v>342</v>
      </c>
      <c r="B321" s="7">
        <v>0</v>
      </c>
      <c r="C321" s="7">
        <v>0</v>
      </c>
      <c r="D321" s="7">
        <v>0</v>
      </c>
      <c r="E321" s="7">
        <v>18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 s="10">
        <v>0.4749037254711384</v>
      </c>
      <c r="Y321" s="9">
        <v>3590</v>
      </c>
      <c r="Z321" s="9">
        <v>3180</v>
      </c>
      <c r="AA321" s="9">
        <v>3205</v>
      </c>
      <c r="AB321">
        <v>6.097560975609756E-2</v>
      </c>
      <c r="AC321" s="11">
        <v>-4.3424562378438454</v>
      </c>
      <c r="AD321" s="9">
        <v>3549.861581920904</v>
      </c>
      <c r="AE321" s="8">
        <v>-8.4285714285714283E-2</v>
      </c>
    </row>
    <row r="322" spans="1:31" x14ac:dyDescent="0.35">
      <c r="A322" s="6" t="s">
        <v>343</v>
      </c>
      <c r="B322" s="7">
        <v>0</v>
      </c>
      <c r="C322" s="7">
        <v>0</v>
      </c>
      <c r="D322" s="7">
        <v>0</v>
      </c>
      <c r="E322" s="7">
        <v>18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 s="10">
        <v>0.78397331275272508</v>
      </c>
      <c r="Y322" s="9">
        <v>10385</v>
      </c>
      <c r="Z322" s="9">
        <v>8955</v>
      </c>
      <c r="AA322" s="9">
        <v>10140</v>
      </c>
      <c r="AB322">
        <v>0.82867132867132864</v>
      </c>
      <c r="AC322" s="11">
        <v>17.168519033064737</v>
      </c>
      <c r="AD322" s="9">
        <v>9219.443502824859</v>
      </c>
      <c r="AE322" s="8">
        <v>6.9620253164556958E-2</v>
      </c>
    </row>
    <row r="323" spans="1:31" x14ac:dyDescent="0.35">
      <c r="A323" s="6" t="s">
        <v>344</v>
      </c>
      <c r="B323" s="7">
        <v>0</v>
      </c>
      <c r="C323" s="7">
        <v>0</v>
      </c>
      <c r="D323" s="7">
        <v>0</v>
      </c>
      <c r="E323" s="7">
        <v>18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 s="10">
        <v>0.29369082862033413</v>
      </c>
      <c r="Y323" s="9">
        <v>12225</v>
      </c>
      <c r="Z323" s="9">
        <v>11725</v>
      </c>
      <c r="AA323" s="9">
        <v>12175</v>
      </c>
      <c r="AB323">
        <v>0.9</v>
      </c>
      <c r="AC323" s="11">
        <v>3.8059183106418448</v>
      </c>
      <c r="AD323" s="9">
        <v>11881.336158192089</v>
      </c>
      <c r="AE323" s="8">
        <v>5.7827344072697235E-3</v>
      </c>
    </row>
    <row r="324" spans="1:31" x14ac:dyDescent="0.35">
      <c r="A324" s="6" t="s">
        <v>345</v>
      </c>
      <c r="B324" s="7">
        <v>0</v>
      </c>
      <c r="C324" s="7">
        <v>0</v>
      </c>
      <c r="D324" s="7">
        <v>0</v>
      </c>
      <c r="E324" s="7">
        <v>18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 s="10">
        <v>0.81446472409569759</v>
      </c>
      <c r="Y324" s="9">
        <v>23770</v>
      </c>
      <c r="Z324" s="9">
        <v>20835</v>
      </c>
      <c r="AA324" s="9">
        <v>23760</v>
      </c>
      <c r="AB324">
        <v>0.99659284497444633</v>
      </c>
      <c r="AC324" s="11">
        <v>37.725062517365934</v>
      </c>
      <c r="AD324" s="9">
        <v>21029.468926553673</v>
      </c>
      <c r="AE324" s="8">
        <v>0.12022630834512023</v>
      </c>
    </row>
    <row r="325" spans="1:31" x14ac:dyDescent="0.35">
      <c r="A325" s="6" t="s">
        <v>346</v>
      </c>
      <c r="B325" s="7">
        <v>0</v>
      </c>
      <c r="C325" s="7">
        <v>0</v>
      </c>
      <c r="D325" s="7">
        <v>0</v>
      </c>
      <c r="E325" s="7">
        <v>18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 s="10">
        <v>0.8774051376934533</v>
      </c>
      <c r="Y325" s="9">
        <v>8705</v>
      </c>
      <c r="Z325" s="9">
        <v>7800</v>
      </c>
      <c r="AA325" s="9">
        <v>8660</v>
      </c>
      <c r="AB325">
        <v>0.95027624309392267</v>
      </c>
      <c r="AC325" s="11">
        <v>15.182689636010004</v>
      </c>
      <c r="AD325" s="9">
        <v>7745.1779661016953</v>
      </c>
      <c r="AE325" s="8">
        <v>7.9800498753117205E-2</v>
      </c>
    </row>
    <row r="326" spans="1:31" x14ac:dyDescent="0.35">
      <c r="A326" s="6" t="s">
        <v>347</v>
      </c>
      <c r="B326" s="7">
        <v>0</v>
      </c>
      <c r="C326" s="7">
        <v>0</v>
      </c>
      <c r="D326" s="7">
        <v>0</v>
      </c>
      <c r="E326" s="7">
        <v>18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 s="10">
        <v>0.60518504988022148</v>
      </c>
      <c r="Y326" s="9">
        <v>9730</v>
      </c>
      <c r="Z326" s="9">
        <v>9130</v>
      </c>
      <c r="AA326" s="9">
        <v>9730</v>
      </c>
      <c r="AB326">
        <v>1</v>
      </c>
      <c r="AC326" s="11">
        <v>8.0187552097804939</v>
      </c>
      <c r="AD326" s="9">
        <v>9194.0112994350293</v>
      </c>
      <c r="AE326" s="8">
        <v>6.5717415115005479E-2</v>
      </c>
    </row>
    <row r="327" spans="1:31" x14ac:dyDescent="0.35">
      <c r="A327" s="6" t="s">
        <v>348</v>
      </c>
      <c r="B327" s="7">
        <v>0</v>
      </c>
      <c r="C327" s="7">
        <v>0</v>
      </c>
      <c r="D327" s="7">
        <v>0</v>
      </c>
      <c r="E327" s="7">
        <v>18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 s="10">
        <v>0.63082993226977502</v>
      </c>
      <c r="Y327" s="9">
        <v>20490</v>
      </c>
      <c r="Z327" s="9">
        <v>18765</v>
      </c>
      <c r="AA327" s="9">
        <v>19645</v>
      </c>
      <c r="AB327">
        <v>0.51014492753623186</v>
      </c>
      <c r="AC327" s="11">
        <v>20.063489858293966</v>
      </c>
      <c r="AD327" s="9">
        <v>18965.646892655364</v>
      </c>
      <c r="AE327" s="8">
        <v>3.7222808870116156E-2</v>
      </c>
    </row>
    <row r="328" spans="1:31" x14ac:dyDescent="0.35">
      <c r="A328" s="6" t="s">
        <v>349</v>
      </c>
      <c r="B328" s="7">
        <v>0</v>
      </c>
      <c r="C328" s="7">
        <v>0</v>
      </c>
      <c r="D328" s="7">
        <v>0</v>
      </c>
      <c r="E328" s="7">
        <v>18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 s="10">
        <v>0.9243120155152631</v>
      </c>
      <c r="Y328" s="9">
        <v>15195</v>
      </c>
      <c r="Z328" s="9">
        <v>13500</v>
      </c>
      <c r="AA328" s="9">
        <v>15145</v>
      </c>
      <c r="AB328">
        <v>0.97050147492625372</v>
      </c>
      <c r="AC328" s="11">
        <v>25.178799666574047</v>
      </c>
      <c r="AD328" s="9">
        <v>13621.463276836157</v>
      </c>
      <c r="AE328" s="8">
        <v>0.10911753936287075</v>
      </c>
    </row>
    <row r="329" spans="1:31" x14ac:dyDescent="0.35">
      <c r="A329" s="6" t="s">
        <v>350</v>
      </c>
      <c r="B329" s="7">
        <v>0</v>
      </c>
      <c r="C329" s="7">
        <v>0</v>
      </c>
      <c r="D329" s="7">
        <v>0</v>
      </c>
      <c r="E329" s="7">
        <v>18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 s="10">
        <v>0.23000926068843713</v>
      </c>
      <c r="Y329" s="9">
        <v>11550</v>
      </c>
      <c r="Z329" s="9">
        <v>11025</v>
      </c>
      <c r="AA329" s="9">
        <v>11380</v>
      </c>
      <c r="AB329">
        <v>0.67619047619047623</v>
      </c>
      <c r="AC329" s="11">
        <v>3.0916921367046402</v>
      </c>
      <c r="AD329" s="9">
        <v>11195.036723163843</v>
      </c>
      <c r="AE329" s="8">
        <v>1.1106175033318524E-2</v>
      </c>
    </row>
    <row r="330" spans="1:31" x14ac:dyDescent="0.35">
      <c r="A330" s="6" t="s">
        <v>351</v>
      </c>
      <c r="B330" s="7">
        <v>0</v>
      </c>
      <c r="C330" s="7">
        <v>0</v>
      </c>
      <c r="D330" s="7">
        <v>0</v>
      </c>
      <c r="E330" s="7">
        <v>18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 s="10">
        <v>0.49981591097197775</v>
      </c>
      <c r="Y330" s="9">
        <v>7600</v>
      </c>
      <c r="Z330" s="9">
        <v>7000</v>
      </c>
      <c r="AA330" s="9">
        <v>7465</v>
      </c>
      <c r="AB330">
        <v>0.77500000000000002</v>
      </c>
      <c r="AC330" s="11">
        <v>5.7810502917477082</v>
      </c>
      <c r="AD330" s="9">
        <v>7198.8446327683614</v>
      </c>
      <c r="AE330" s="8">
        <v>3.3602150537634409E-3</v>
      </c>
    </row>
    <row r="331" spans="1:31" x14ac:dyDescent="0.35">
      <c r="A331" s="6" t="s">
        <v>352</v>
      </c>
      <c r="B331" s="7">
        <v>0</v>
      </c>
      <c r="C331" s="7">
        <v>0</v>
      </c>
      <c r="D331" s="7">
        <v>0</v>
      </c>
      <c r="E331" s="7">
        <v>18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 s="10">
        <v>0.80288645152300397</v>
      </c>
      <c r="Y331" s="9">
        <v>15480</v>
      </c>
      <c r="Z331" s="9">
        <v>11995</v>
      </c>
      <c r="AA331" s="9">
        <v>15255</v>
      </c>
      <c r="AB331">
        <v>0.93543758967001434</v>
      </c>
      <c r="AC331" s="11">
        <v>46.757571547652134</v>
      </c>
      <c r="AD331" s="9">
        <v>12173.977401129943</v>
      </c>
      <c r="AE331" s="8">
        <v>0.24836333878887071</v>
      </c>
    </row>
    <row r="332" spans="1:31" x14ac:dyDescent="0.35">
      <c r="A332" s="6" t="s">
        <v>353</v>
      </c>
      <c r="B332" s="7">
        <v>0</v>
      </c>
      <c r="C332" s="7">
        <v>0</v>
      </c>
      <c r="D332" s="7">
        <v>0</v>
      </c>
      <c r="E332" s="7">
        <v>18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 s="10">
        <v>0.43361916913321208</v>
      </c>
      <c r="Y332" s="9">
        <v>8390</v>
      </c>
      <c r="Z332" s="9">
        <v>6990</v>
      </c>
      <c r="AA332" s="9">
        <v>7130</v>
      </c>
      <c r="AB332">
        <v>0.1</v>
      </c>
      <c r="AC332" s="11">
        <v>-14.73242567379828</v>
      </c>
      <c r="AD332" s="9">
        <v>8004.0056497175146</v>
      </c>
      <c r="AE332" s="8">
        <v>-2.0993701889433169E-3</v>
      </c>
    </row>
    <row r="333" spans="1:31" x14ac:dyDescent="0.35">
      <c r="A333" s="6" t="s">
        <v>354</v>
      </c>
      <c r="B333" s="7">
        <v>0</v>
      </c>
      <c r="C333" s="7">
        <v>0</v>
      </c>
      <c r="D333" s="7">
        <v>0</v>
      </c>
      <c r="E333" s="7">
        <v>18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 s="10">
        <v>0.80264454968743837</v>
      </c>
      <c r="Y333" s="9">
        <v>9695</v>
      </c>
      <c r="Z333" s="9">
        <v>7725</v>
      </c>
      <c r="AA333" s="9">
        <v>9405</v>
      </c>
      <c r="AB333">
        <v>0.85279187817258884</v>
      </c>
      <c r="AC333" s="11">
        <v>30.773687135315367</v>
      </c>
      <c r="AD333" s="9">
        <v>7949.6525423728817</v>
      </c>
      <c r="AE333" s="8">
        <v>0.14277035236938032</v>
      </c>
    </row>
    <row r="334" spans="1:31" x14ac:dyDescent="0.35">
      <c r="A334" s="6" t="s">
        <v>355</v>
      </c>
      <c r="B334" s="7">
        <v>0</v>
      </c>
      <c r="C334" s="7">
        <v>0</v>
      </c>
      <c r="D334" s="7">
        <v>0</v>
      </c>
      <c r="E334" s="7">
        <v>18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 s="10">
        <v>1.377447606132233E-2</v>
      </c>
      <c r="Y334" s="9">
        <v>6175</v>
      </c>
      <c r="Z334" s="9">
        <v>5040</v>
      </c>
      <c r="AA334" s="9">
        <v>5435</v>
      </c>
      <c r="AB334">
        <v>0.34801762114537443</v>
      </c>
      <c r="AC334" s="11">
        <v>-1.928869130313976</v>
      </c>
      <c r="AD334" s="9">
        <v>5552.3305084745762</v>
      </c>
      <c r="AE334" s="8">
        <v>-0.11983805668016194</v>
      </c>
    </row>
    <row r="335" spans="1:31" x14ac:dyDescent="0.35">
      <c r="A335" s="6" t="s">
        <v>356</v>
      </c>
      <c r="B335" s="7">
        <v>0</v>
      </c>
      <c r="C335" s="7">
        <v>0</v>
      </c>
      <c r="D335" s="7">
        <v>0</v>
      </c>
      <c r="E335" s="7">
        <v>18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 s="10">
        <v>0.99565990549156225</v>
      </c>
      <c r="Y335" s="9">
        <v>100625</v>
      </c>
      <c r="Z335" s="9">
        <v>100125</v>
      </c>
      <c r="AA335" s="9">
        <v>100625</v>
      </c>
      <c r="AB335">
        <v>1</v>
      </c>
      <c r="AC335" s="11">
        <v>8.4419283134203944</v>
      </c>
      <c r="AD335" s="9">
        <v>100122.604519774</v>
      </c>
      <c r="AE335" s="8">
        <v>4.9937578027465668E-3</v>
      </c>
    </row>
    <row r="336" spans="1:31" x14ac:dyDescent="0.35">
      <c r="A336" s="6" t="s">
        <v>357</v>
      </c>
      <c r="B336" s="7">
        <v>0</v>
      </c>
      <c r="C336" s="7">
        <v>0</v>
      </c>
      <c r="D336" s="7">
        <v>0</v>
      </c>
      <c r="E336" s="7">
        <v>18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 s="10">
        <v>2.4382708902563402E-2</v>
      </c>
      <c r="Y336" s="9">
        <v>7500</v>
      </c>
      <c r="Z336" s="9">
        <v>6880</v>
      </c>
      <c r="AA336" s="9">
        <v>7095</v>
      </c>
      <c r="AB336">
        <v>0.34677419354838712</v>
      </c>
      <c r="AC336" s="11">
        <v>-1.1913031397610445</v>
      </c>
      <c r="AD336" s="9">
        <v>7199.9180790960445</v>
      </c>
      <c r="AE336" s="8">
        <v>-5.3999999999999999E-2</v>
      </c>
    </row>
    <row r="337" spans="1:31" x14ac:dyDescent="0.35">
      <c r="A337" s="6" t="s">
        <v>358</v>
      </c>
      <c r="B337" s="7">
        <v>0</v>
      </c>
      <c r="C337" s="7">
        <v>0</v>
      </c>
      <c r="D337" s="7">
        <v>0</v>
      </c>
      <c r="E337" s="7">
        <v>18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 s="10">
        <v>0.77689550740647939</v>
      </c>
      <c r="Y337" s="9">
        <v>8950</v>
      </c>
      <c r="Z337" s="9">
        <v>8315</v>
      </c>
      <c r="AA337" s="9">
        <v>8425</v>
      </c>
      <c r="AB337">
        <v>0.17322834645669291</v>
      </c>
      <c r="AC337" s="11">
        <v>-7.5973881633787164</v>
      </c>
      <c r="AD337" s="9">
        <v>8825.8870056497162</v>
      </c>
      <c r="AE337" s="8">
        <v>-3.2721010332950634E-2</v>
      </c>
    </row>
    <row r="338" spans="1:31" x14ac:dyDescent="0.35">
      <c r="A338" s="6" t="s">
        <v>359</v>
      </c>
      <c r="B338" s="7">
        <v>0</v>
      </c>
      <c r="C338" s="7">
        <v>0</v>
      </c>
      <c r="D338" s="7">
        <v>0</v>
      </c>
      <c r="E338" s="7">
        <v>18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 s="10">
        <v>0.13272015363407377</v>
      </c>
      <c r="Y338" s="9">
        <v>17035</v>
      </c>
      <c r="Z338" s="9">
        <v>14910</v>
      </c>
      <c r="AA338" s="9">
        <v>15295</v>
      </c>
      <c r="AB338">
        <v>0.1811764705882353</v>
      </c>
      <c r="AC338" s="11">
        <v>-9.6510141706029451</v>
      </c>
      <c r="AD338" s="9">
        <v>16142.855932203391</v>
      </c>
      <c r="AE338" s="8">
        <v>-6.3093415007656972E-2</v>
      </c>
    </row>
    <row r="339" spans="1:31" x14ac:dyDescent="0.35">
      <c r="A339" s="6" t="s">
        <v>360</v>
      </c>
      <c r="B339" s="7">
        <v>0</v>
      </c>
      <c r="C339" s="7">
        <v>0</v>
      </c>
      <c r="D339" s="7">
        <v>0</v>
      </c>
      <c r="E339" s="7">
        <v>18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 s="10">
        <v>0.38022036202762327</v>
      </c>
      <c r="Y339" s="9">
        <v>3845</v>
      </c>
      <c r="Z339" s="9">
        <v>3300</v>
      </c>
      <c r="AA339" s="9">
        <v>3690</v>
      </c>
      <c r="AB339">
        <v>0.7155963302752294</v>
      </c>
      <c r="AC339" s="11">
        <v>4.6536537927202009</v>
      </c>
      <c r="AD339" s="9">
        <v>3494.9802259887006</v>
      </c>
      <c r="AE339" s="8">
        <v>-2.7027027027027029E-3</v>
      </c>
    </row>
    <row r="340" spans="1:31" x14ac:dyDescent="0.35">
      <c r="A340" s="6" t="s">
        <v>361</v>
      </c>
      <c r="B340" s="7">
        <v>0</v>
      </c>
      <c r="C340" s="7">
        <v>0</v>
      </c>
      <c r="D340" s="7">
        <v>0</v>
      </c>
      <c r="E340" s="7">
        <v>18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 s="10">
        <v>0.84718786534781965</v>
      </c>
      <c r="Y340" s="9">
        <v>8730</v>
      </c>
      <c r="Z340" s="9">
        <v>7550</v>
      </c>
      <c r="AA340" s="9">
        <v>8605</v>
      </c>
      <c r="AB340">
        <v>0.89406779661016944</v>
      </c>
      <c r="AC340" s="11">
        <v>15.68741317032509</v>
      </c>
      <c r="AD340" s="9">
        <v>7495.3672316384182</v>
      </c>
      <c r="AE340" s="8">
        <v>0.12926509186351706</v>
      </c>
    </row>
    <row r="341" spans="1:31" x14ac:dyDescent="0.35">
      <c r="A341" s="6" t="s">
        <v>362</v>
      </c>
      <c r="B341" s="7">
        <v>0</v>
      </c>
      <c r="C341" s="7">
        <v>0</v>
      </c>
      <c r="D341" s="7">
        <v>0</v>
      </c>
      <c r="E341" s="7">
        <v>18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 s="10">
        <v>0.83447994822492999</v>
      </c>
      <c r="Y341" s="9">
        <v>4855</v>
      </c>
      <c r="Z341" s="9">
        <v>3855</v>
      </c>
      <c r="AA341" s="9">
        <v>4790</v>
      </c>
      <c r="AB341">
        <v>0.93500000000000005</v>
      </c>
      <c r="AC341" s="11">
        <v>13.495137538205055</v>
      </c>
      <c r="AD341" s="9">
        <v>3815.5649717514129</v>
      </c>
      <c r="AE341" s="8">
        <v>0.21419518377693283</v>
      </c>
    </row>
    <row r="342" spans="1:31" x14ac:dyDescent="0.35">
      <c r="A342" s="6" t="s">
        <v>363</v>
      </c>
      <c r="B342" s="7">
        <v>0</v>
      </c>
      <c r="C342" s="7">
        <v>0</v>
      </c>
      <c r="D342" s="7">
        <v>0</v>
      </c>
      <c r="E342" s="7">
        <v>18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 s="10">
        <v>0.43791148909071276</v>
      </c>
      <c r="Y342" s="9">
        <v>15090</v>
      </c>
      <c r="Z342" s="9">
        <v>13800</v>
      </c>
      <c r="AA342" s="9">
        <v>14620</v>
      </c>
      <c r="AB342">
        <v>0.63565891472868219</v>
      </c>
      <c r="AC342" s="11">
        <v>10.888996943595442</v>
      </c>
      <c r="AD342" s="9">
        <v>14174.135593220339</v>
      </c>
      <c r="AE342" s="8">
        <v>4.5405791919914194E-2</v>
      </c>
    </row>
    <row r="343" spans="1:31" x14ac:dyDescent="0.35">
      <c r="A343" s="6" t="s">
        <v>364</v>
      </c>
      <c r="B343" s="7">
        <v>0</v>
      </c>
      <c r="C343" s="7">
        <v>0</v>
      </c>
      <c r="D343" s="7">
        <v>0</v>
      </c>
      <c r="E343" s="7">
        <v>18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 s="10">
        <v>0.35095394819306686</v>
      </c>
      <c r="Y343" s="9">
        <v>8680</v>
      </c>
      <c r="Z343" s="9">
        <v>7100</v>
      </c>
      <c r="AA343" s="9">
        <v>8680</v>
      </c>
      <c r="AB343">
        <v>1</v>
      </c>
      <c r="AC343" s="11">
        <v>13.910113920533483</v>
      </c>
      <c r="AD343" s="9">
        <v>7307.3248587570615</v>
      </c>
      <c r="AE343" s="8">
        <v>0.15195753151957531</v>
      </c>
    </row>
    <row r="344" spans="1:31" x14ac:dyDescent="0.35">
      <c r="A344" s="6" t="s">
        <v>365</v>
      </c>
      <c r="B344" s="7">
        <v>0</v>
      </c>
      <c r="C344" s="7">
        <v>0</v>
      </c>
      <c r="D344" s="7">
        <v>0</v>
      </c>
      <c r="E344" s="7">
        <v>18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 s="10">
        <v>0.37582532266050461</v>
      </c>
      <c r="Y344" s="9">
        <v>9780</v>
      </c>
      <c r="Z344" s="9">
        <v>9080</v>
      </c>
      <c r="AA344" s="9">
        <v>9780</v>
      </c>
      <c r="AB344">
        <v>1</v>
      </c>
      <c r="AC344" s="11">
        <v>5.2065851625451511</v>
      </c>
      <c r="AD344" s="9">
        <v>9284.4491525423728</v>
      </c>
      <c r="AE344" s="8">
        <v>6.5940054495912809E-2</v>
      </c>
    </row>
    <row r="345" spans="1:31" x14ac:dyDescent="0.35">
      <c r="A345" s="6" t="s">
        <v>366</v>
      </c>
      <c r="B345" s="7">
        <v>0</v>
      </c>
      <c r="C345" s="7">
        <v>0</v>
      </c>
      <c r="D345" s="7">
        <v>0</v>
      </c>
      <c r="E345" s="7">
        <v>18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 s="10">
        <v>0.84479800731523946</v>
      </c>
      <c r="Y345" s="9">
        <v>10755</v>
      </c>
      <c r="Z345" s="9">
        <v>9945</v>
      </c>
      <c r="AA345" s="9">
        <v>10630</v>
      </c>
      <c r="AB345">
        <v>0.84567901234567899</v>
      </c>
      <c r="AC345" s="11">
        <v>10.224090025006946</v>
      </c>
      <c r="AD345" s="9">
        <v>10074.415254237289</v>
      </c>
      <c r="AE345" s="8">
        <v>4.0117416829745595E-2</v>
      </c>
    </row>
    <row r="346" spans="1:31" x14ac:dyDescent="0.35">
      <c r="A346" s="6" t="s">
        <v>367</v>
      </c>
      <c r="B346" s="7">
        <v>0</v>
      </c>
      <c r="C346" s="7">
        <v>0</v>
      </c>
      <c r="D346" s="7">
        <v>0</v>
      </c>
      <c r="E346" s="7">
        <v>18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 s="10">
        <v>0.825265652477288</v>
      </c>
      <c r="Y346" s="9">
        <v>17280</v>
      </c>
      <c r="Z346" s="9">
        <v>14905</v>
      </c>
      <c r="AA346" s="9">
        <v>16825</v>
      </c>
      <c r="AB346">
        <v>0.80842105263157893</v>
      </c>
      <c r="AC346" s="11">
        <v>32.641983884412333</v>
      </c>
      <c r="AD346" s="9">
        <v>15331.502824858759</v>
      </c>
      <c r="AE346" s="8">
        <v>0.12881583361288157</v>
      </c>
    </row>
    <row r="347" spans="1:31" x14ac:dyDescent="0.35">
      <c r="A347" s="6" t="s">
        <v>368</v>
      </c>
      <c r="B347" s="7">
        <v>0</v>
      </c>
      <c r="C347" s="7">
        <v>0</v>
      </c>
      <c r="D347" s="7">
        <v>0</v>
      </c>
      <c r="E347" s="7">
        <v>18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 s="10">
        <v>0.88286145130013627</v>
      </c>
      <c r="Y347" s="9">
        <v>11630</v>
      </c>
      <c r="Z347" s="9">
        <v>10755</v>
      </c>
      <c r="AA347" s="9">
        <v>11620</v>
      </c>
      <c r="AB347">
        <v>0.98857142857142855</v>
      </c>
      <c r="AC347" s="11">
        <v>13.359127535426506</v>
      </c>
      <c r="AD347" s="9">
        <v>10774.463276836157</v>
      </c>
      <c r="AE347" s="8">
        <v>5.4446460980036297E-2</v>
      </c>
    </row>
    <row r="348" spans="1:31" x14ac:dyDescent="0.35">
      <c r="A348" s="6" t="s">
        <v>369</v>
      </c>
      <c r="B348" s="7">
        <v>0</v>
      </c>
      <c r="C348" s="7">
        <v>0</v>
      </c>
      <c r="D348" s="7">
        <v>0</v>
      </c>
      <c r="E348" s="7">
        <v>18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 s="10">
        <v>0.7282854958543874</v>
      </c>
      <c r="Y348" s="9">
        <v>10040</v>
      </c>
      <c r="Z348" s="9">
        <v>9810</v>
      </c>
      <c r="AA348" s="9">
        <v>9980</v>
      </c>
      <c r="AB348">
        <v>0.73913043478260865</v>
      </c>
      <c r="AC348" s="11">
        <v>3.5305640455682132</v>
      </c>
      <c r="AD348" s="9">
        <v>9810.5677966101703</v>
      </c>
      <c r="AE348" s="8">
        <v>1.4743263853584139E-2</v>
      </c>
    </row>
    <row r="349" spans="1:31" x14ac:dyDescent="0.35">
      <c r="A349" s="6" t="s">
        <v>370</v>
      </c>
      <c r="B349" s="7">
        <v>0</v>
      </c>
      <c r="C349" s="7">
        <v>0</v>
      </c>
      <c r="D349" s="7">
        <v>0</v>
      </c>
      <c r="E349" s="7">
        <v>18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 s="10">
        <v>0.92075770085999153</v>
      </c>
      <c r="Y349" s="9">
        <v>11805</v>
      </c>
      <c r="Z349" s="9">
        <v>9550</v>
      </c>
      <c r="AA349" s="9">
        <v>11645</v>
      </c>
      <c r="AB349">
        <v>0.92904656319290468</v>
      </c>
      <c r="AC349" s="11">
        <v>37.340094470686303</v>
      </c>
      <c r="AD349" s="9">
        <v>9698.7937853107342</v>
      </c>
      <c r="AE349" s="8">
        <v>0.15069169960474307</v>
      </c>
    </row>
    <row r="350" spans="1:31" x14ac:dyDescent="0.35">
      <c r="A350" s="6" t="s">
        <v>371</v>
      </c>
      <c r="B350" s="7">
        <v>0</v>
      </c>
      <c r="C350" s="7">
        <v>0</v>
      </c>
      <c r="D350" s="7">
        <v>0</v>
      </c>
      <c r="E350" s="7">
        <v>18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 s="10">
        <v>0.8794780327323245</v>
      </c>
      <c r="Y350" s="9">
        <v>13555</v>
      </c>
      <c r="Z350" s="9">
        <v>11585</v>
      </c>
      <c r="AA350" s="9">
        <v>13330</v>
      </c>
      <c r="AB350">
        <v>0.8857868020304569</v>
      </c>
      <c r="AC350" s="11">
        <v>34.178660739094198</v>
      </c>
      <c r="AD350" s="9">
        <v>11437.384180790961</v>
      </c>
      <c r="AE350" s="8">
        <v>0.10165289256198347</v>
      </c>
    </row>
    <row r="351" spans="1:31" x14ac:dyDescent="0.35">
      <c r="A351" s="6" t="s">
        <v>372</v>
      </c>
      <c r="B351" s="7">
        <v>0</v>
      </c>
      <c r="C351" s="7">
        <v>0</v>
      </c>
      <c r="D351" s="7">
        <v>0</v>
      </c>
      <c r="E351" s="7">
        <v>18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 s="10">
        <v>0.30653759070225256</v>
      </c>
      <c r="Y351" s="9">
        <v>31605</v>
      </c>
      <c r="Z351" s="9">
        <v>21900</v>
      </c>
      <c r="AA351" s="9">
        <v>30995</v>
      </c>
      <c r="AB351">
        <v>0.93714580113343637</v>
      </c>
      <c r="AC351" s="11">
        <v>82.733676021116963</v>
      </c>
      <c r="AD351" s="9">
        <v>22629.5395480226</v>
      </c>
      <c r="AE351" s="8">
        <v>0.28609958506224065</v>
      </c>
    </row>
    <row r="352" spans="1:31" x14ac:dyDescent="0.35">
      <c r="A352" s="6" t="s">
        <v>373</v>
      </c>
      <c r="B352" s="7">
        <v>0</v>
      </c>
      <c r="C352" s="7">
        <v>0</v>
      </c>
      <c r="D352" s="7">
        <v>0</v>
      </c>
      <c r="E352" s="7">
        <v>18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 s="10">
        <v>0.90565696692828435</v>
      </c>
      <c r="Y352" s="9">
        <v>21000</v>
      </c>
      <c r="Z352" s="9">
        <v>14140</v>
      </c>
      <c r="AA352" s="9">
        <v>19445</v>
      </c>
      <c r="AB352">
        <v>0.77332361516034986</v>
      </c>
      <c r="AC352" s="11">
        <v>99.33981661572659</v>
      </c>
      <c r="AD352" s="9">
        <v>13266.135593220339</v>
      </c>
      <c r="AE352" s="8">
        <v>0.37274973526297212</v>
      </c>
    </row>
    <row r="353" spans="1:31" x14ac:dyDescent="0.35">
      <c r="A353" s="6" t="s">
        <v>374</v>
      </c>
      <c r="B353" s="7">
        <v>0</v>
      </c>
      <c r="C353" s="7">
        <v>0</v>
      </c>
      <c r="D353" s="7">
        <v>0</v>
      </c>
      <c r="E353" s="7">
        <v>18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 s="10">
        <v>0.29475398174400375</v>
      </c>
      <c r="Y353" s="9">
        <v>20085</v>
      </c>
      <c r="Z353" s="9">
        <v>18275</v>
      </c>
      <c r="AA353" s="9">
        <v>19145</v>
      </c>
      <c r="AB353">
        <v>0.48066298342541436</v>
      </c>
      <c r="AC353" s="11">
        <v>15.017504862461795</v>
      </c>
      <c r="AD353" s="9">
        <v>18576.466101694914</v>
      </c>
      <c r="AE353" s="8">
        <v>-9.057971014492754E-3</v>
      </c>
    </row>
    <row r="354" spans="1:31" x14ac:dyDescent="0.35">
      <c r="A354" s="6" t="s">
        <v>375</v>
      </c>
      <c r="B354" s="7">
        <v>0</v>
      </c>
      <c r="C354" s="7">
        <v>0</v>
      </c>
      <c r="D354" s="7">
        <v>0</v>
      </c>
      <c r="E354" s="7">
        <v>18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 s="10">
        <v>0.91238201181859169</v>
      </c>
      <c r="Y354" s="9">
        <v>8225</v>
      </c>
      <c r="Z354" s="9">
        <v>6400</v>
      </c>
      <c r="AA354" s="9">
        <v>8050</v>
      </c>
      <c r="AB354">
        <v>0.90410958904109584</v>
      </c>
      <c r="AC354" s="11">
        <v>32.093914976382322</v>
      </c>
      <c r="AD354" s="9">
        <v>6440.4689265536726</v>
      </c>
      <c r="AE354" s="8">
        <v>0.18556701030927836</v>
      </c>
    </row>
    <row r="355" spans="1:31" x14ac:dyDescent="0.35">
      <c r="A355" s="6" t="s">
        <v>376</v>
      </c>
      <c r="B355" s="7">
        <v>0</v>
      </c>
      <c r="C355" s="7">
        <v>0</v>
      </c>
      <c r="D355" s="7">
        <v>0</v>
      </c>
      <c r="E355" s="7">
        <v>18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 s="10">
        <v>0.13891938099864606</v>
      </c>
      <c r="Y355" s="9">
        <v>13540</v>
      </c>
      <c r="Z355" s="9">
        <v>12130</v>
      </c>
      <c r="AA355" s="9">
        <v>12725</v>
      </c>
      <c r="AB355">
        <v>0.42198581560283688</v>
      </c>
      <c r="AC355" s="11">
        <v>-7.4183106418449567</v>
      </c>
      <c r="AD355" s="9">
        <v>13103.341807909605</v>
      </c>
      <c r="AE355" s="8">
        <v>1.4752791068580542E-2</v>
      </c>
    </row>
    <row r="356" spans="1:31" x14ac:dyDescent="0.35">
      <c r="A356" s="6" t="s">
        <v>377</v>
      </c>
      <c r="B356" s="7">
        <v>2</v>
      </c>
      <c r="C356" s="7">
        <v>1</v>
      </c>
      <c r="D356" s="7">
        <v>1</v>
      </c>
      <c r="E356" s="7">
        <v>14</v>
      </c>
      <c r="F356">
        <v>529</v>
      </c>
      <c r="G356">
        <v>2</v>
      </c>
      <c r="H356">
        <v>0.33</v>
      </c>
      <c r="I356">
        <v>3</v>
      </c>
      <c r="J356">
        <v>0.65</v>
      </c>
      <c r="K356">
        <v>894</v>
      </c>
      <c r="L356">
        <v>93</v>
      </c>
      <c r="M356">
        <v>802</v>
      </c>
      <c r="N356">
        <v>1050.7</v>
      </c>
      <c r="O356">
        <v>0.43</v>
      </c>
      <c r="P356">
        <v>102.2</v>
      </c>
      <c r="Q356">
        <v>0.45</v>
      </c>
      <c r="R356">
        <v>0.67</v>
      </c>
      <c r="S356">
        <v>25</v>
      </c>
      <c r="T356">
        <v>5648</v>
      </c>
      <c r="U356">
        <v>3794</v>
      </c>
      <c r="V356">
        <v>22</v>
      </c>
      <c r="W356">
        <v>16.170000000000002</v>
      </c>
      <c r="X356" s="10">
        <v>0.51457528160436594</v>
      </c>
      <c r="Y356" s="9">
        <v>2845</v>
      </c>
      <c r="Z356" s="9">
        <v>2425</v>
      </c>
      <c r="AA356" s="9">
        <v>2635</v>
      </c>
      <c r="AB356">
        <v>0.5</v>
      </c>
      <c r="AC356" s="11">
        <v>4.487496526813004</v>
      </c>
      <c r="AD356" s="9">
        <v>2425.5480225988699</v>
      </c>
      <c r="AE356" s="8">
        <v>2.3300970873786409E-2</v>
      </c>
    </row>
    <row r="357" spans="1:31" x14ac:dyDescent="0.35">
      <c r="A357" s="6" t="s">
        <v>378</v>
      </c>
      <c r="B357" s="7">
        <v>3</v>
      </c>
      <c r="C357" s="7">
        <v>9</v>
      </c>
      <c r="D357" s="7">
        <v>4</v>
      </c>
      <c r="E357" s="7">
        <v>2</v>
      </c>
      <c r="F357">
        <v>475</v>
      </c>
      <c r="G357">
        <v>6</v>
      </c>
      <c r="H357">
        <v>1.35</v>
      </c>
      <c r="I357">
        <v>20</v>
      </c>
      <c r="J357">
        <v>4.29</v>
      </c>
      <c r="K357">
        <v>777</v>
      </c>
      <c r="L357">
        <v>464</v>
      </c>
      <c r="M357">
        <v>313</v>
      </c>
      <c r="N357">
        <v>385.11</v>
      </c>
      <c r="O357">
        <v>8.98</v>
      </c>
      <c r="P357">
        <v>40.14</v>
      </c>
      <c r="Q357">
        <v>3.56</v>
      </c>
      <c r="R357">
        <v>1.72</v>
      </c>
      <c r="S357">
        <v>211</v>
      </c>
      <c r="T357">
        <v>2381</v>
      </c>
      <c r="U357">
        <v>4912</v>
      </c>
      <c r="V357">
        <v>23</v>
      </c>
      <c r="W357">
        <v>54.44</v>
      </c>
      <c r="X357" s="10">
        <v>0.24311303978942281</v>
      </c>
      <c r="Y357" s="9">
        <v>9360</v>
      </c>
      <c r="Z357" s="9">
        <v>8170</v>
      </c>
      <c r="AA357" s="9">
        <v>8170</v>
      </c>
      <c r="AB357">
        <v>0</v>
      </c>
      <c r="AC357" s="11">
        <v>-7.8007779938871913</v>
      </c>
      <c r="AD357" s="9">
        <v>8940.7570621468931</v>
      </c>
      <c r="AE357" s="8">
        <v>-6.8415051311288486E-2</v>
      </c>
    </row>
    <row r="358" spans="1:31" x14ac:dyDescent="0.35">
      <c r="A358" s="6" t="s">
        <v>379</v>
      </c>
      <c r="B358" s="7">
        <v>0</v>
      </c>
      <c r="C358" s="7">
        <v>0</v>
      </c>
      <c r="D358" s="7">
        <v>0</v>
      </c>
      <c r="E358" s="7">
        <v>18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 s="10">
        <v>0.79069380623846441</v>
      </c>
      <c r="Y358" s="9">
        <v>26455</v>
      </c>
      <c r="Z358" s="9">
        <v>24485</v>
      </c>
      <c r="AA358" s="9">
        <v>26135</v>
      </c>
      <c r="AB358">
        <v>0.8375634517766497</v>
      </c>
      <c r="AC358" s="11">
        <v>23.661572659071968</v>
      </c>
      <c r="AD358" s="9">
        <v>24860.155367231637</v>
      </c>
      <c r="AE358" s="8">
        <v>3.8133068520357499E-2</v>
      </c>
    </row>
    <row r="359" spans="1:31" x14ac:dyDescent="0.35">
      <c r="A359" s="6" t="s">
        <v>380</v>
      </c>
      <c r="B359" s="7">
        <v>0</v>
      </c>
      <c r="C359" s="7">
        <v>0</v>
      </c>
      <c r="D359" s="7">
        <v>0</v>
      </c>
      <c r="E359" s="7">
        <v>18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 s="10">
        <v>0.92292418886807182</v>
      </c>
      <c r="Y359" s="9">
        <v>8025</v>
      </c>
      <c r="Z359" s="9">
        <v>7125</v>
      </c>
      <c r="AA359" s="9">
        <v>7980</v>
      </c>
      <c r="AB359">
        <v>0.95</v>
      </c>
      <c r="AC359" s="11">
        <v>15.081133648235621</v>
      </c>
      <c r="AD359" s="9">
        <v>7054.6920903954806</v>
      </c>
      <c r="AE359" s="8">
        <v>9.9173553719008267E-2</v>
      </c>
    </row>
    <row r="360" spans="1:31" x14ac:dyDescent="0.35">
      <c r="A360" s="6" t="s">
        <v>381</v>
      </c>
      <c r="B360" s="7">
        <v>0</v>
      </c>
      <c r="C360" s="7">
        <v>0</v>
      </c>
      <c r="D360" s="7">
        <v>0</v>
      </c>
      <c r="E360" s="7">
        <v>18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 s="10">
        <v>0.79610237540168205</v>
      </c>
      <c r="Y360" s="9">
        <v>25790</v>
      </c>
      <c r="Z360" s="9">
        <v>24055</v>
      </c>
      <c r="AA360" s="9">
        <v>25435</v>
      </c>
      <c r="AB360">
        <v>0.79538904899135443</v>
      </c>
      <c r="AC360" s="11">
        <v>23.457904973603778</v>
      </c>
      <c r="AD360" s="9">
        <v>24321.533898305086</v>
      </c>
      <c r="AE360" s="8">
        <v>2.5604838709677419E-2</v>
      </c>
    </row>
    <row r="361" spans="1:31" x14ac:dyDescent="0.35">
      <c r="A361" s="6" t="s">
        <v>382</v>
      </c>
      <c r="B361" s="7">
        <v>0</v>
      </c>
      <c r="C361" s="7">
        <v>0</v>
      </c>
      <c r="D361" s="7">
        <v>0</v>
      </c>
      <c r="E361" s="7">
        <v>18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 s="10">
        <v>0.65891218340138791</v>
      </c>
      <c r="Y361" s="9">
        <v>10465</v>
      </c>
      <c r="Z361" s="9">
        <v>9800</v>
      </c>
      <c r="AA361" s="9">
        <v>9950</v>
      </c>
      <c r="AB361">
        <v>0.22556390977443608</v>
      </c>
      <c r="AC361" s="11">
        <v>-6.961933870519589</v>
      </c>
      <c r="AD361" s="9">
        <v>10280.672316384182</v>
      </c>
      <c r="AE361" s="8">
        <v>-1.9221291276490884E-2</v>
      </c>
    </row>
    <row r="362" spans="1:31" x14ac:dyDescent="0.35">
      <c r="A362" s="6" t="s">
        <v>383</v>
      </c>
      <c r="B362" s="7">
        <v>0</v>
      </c>
      <c r="C362" s="7">
        <v>0</v>
      </c>
      <c r="D362" s="7">
        <v>0</v>
      </c>
      <c r="E362" s="7">
        <v>18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 s="10">
        <v>0.80392798325250692</v>
      </c>
      <c r="Y362" s="9">
        <v>10380</v>
      </c>
      <c r="Z362" s="9">
        <v>9650</v>
      </c>
      <c r="AA362" s="9">
        <v>10275</v>
      </c>
      <c r="AB362">
        <v>0.85616438356164382</v>
      </c>
      <c r="AC362" s="11">
        <v>9.0790497360377884</v>
      </c>
      <c r="AD362" s="9">
        <v>9804.3389830508477</v>
      </c>
      <c r="AE362" s="8">
        <v>3.3182503770739065E-2</v>
      </c>
    </row>
    <row r="363" spans="1:31" x14ac:dyDescent="0.35">
      <c r="A363" s="6" t="s">
        <v>384</v>
      </c>
      <c r="B363" s="7">
        <v>6</v>
      </c>
      <c r="C363" s="7">
        <v>6</v>
      </c>
      <c r="D363" s="7">
        <v>1</v>
      </c>
      <c r="E363" s="7">
        <v>5</v>
      </c>
      <c r="F363">
        <v>1325</v>
      </c>
      <c r="G363">
        <v>52</v>
      </c>
      <c r="H363">
        <v>3.89</v>
      </c>
      <c r="I363">
        <v>59</v>
      </c>
      <c r="J363">
        <v>4.46</v>
      </c>
      <c r="K363">
        <v>1331</v>
      </c>
      <c r="L363">
        <v>141</v>
      </c>
      <c r="M363">
        <v>1190</v>
      </c>
      <c r="N363">
        <v>1483.31</v>
      </c>
      <c r="O363">
        <v>5</v>
      </c>
      <c r="P363">
        <v>13.94</v>
      </c>
      <c r="Q363">
        <v>0.7</v>
      </c>
      <c r="R363">
        <v>0.62</v>
      </c>
      <c r="S363">
        <v>393</v>
      </c>
      <c r="T363">
        <v>7814</v>
      </c>
      <c r="U363">
        <v>8816</v>
      </c>
      <c r="V363">
        <v>73</v>
      </c>
      <c r="W363">
        <v>11.23</v>
      </c>
      <c r="X363" s="10">
        <v>0.45157691238074105</v>
      </c>
      <c r="Y363" s="9">
        <v>5700</v>
      </c>
      <c r="Z363" s="9">
        <v>5190</v>
      </c>
      <c r="AA363" s="9">
        <v>5600</v>
      </c>
      <c r="AB363">
        <v>0.80392156862745101</v>
      </c>
      <c r="AC363" s="11">
        <v>5.4579049736037781</v>
      </c>
      <c r="AD363" s="9">
        <v>5254.3672316384182</v>
      </c>
      <c r="AE363" s="8">
        <v>1.2658227848101266E-2</v>
      </c>
    </row>
    <row r="364" spans="1:31" x14ac:dyDescent="0.35">
      <c r="A364" s="6" t="s">
        <v>385</v>
      </c>
      <c r="B364" s="7">
        <v>0</v>
      </c>
      <c r="C364" s="7">
        <v>4</v>
      </c>
      <c r="D364" s="7">
        <v>5</v>
      </c>
      <c r="E364" s="7">
        <v>9</v>
      </c>
      <c r="F364">
        <v>739</v>
      </c>
      <c r="G364">
        <v>18</v>
      </c>
      <c r="H364">
        <v>2.38</v>
      </c>
      <c r="I364">
        <v>11</v>
      </c>
      <c r="J364">
        <v>1.52</v>
      </c>
      <c r="K364">
        <v>872</v>
      </c>
      <c r="L364">
        <v>257</v>
      </c>
      <c r="M364">
        <v>615</v>
      </c>
      <c r="N364">
        <v>668.8</v>
      </c>
      <c r="O364">
        <v>1.79</v>
      </c>
      <c r="P364">
        <v>60.07</v>
      </c>
      <c r="Q364">
        <v>1.24</v>
      </c>
      <c r="R364">
        <v>0.91</v>
      </c>
      <c r="S364">
        <v>69</v>
      </c>
      <c r="T364">
        <v>3333</v>
      </c>
      <c r="U364">
        <v>4576</v>
      </c>
      <c r="V364">
        <v>50</v>
      </c>
      <c r="W364">
        <v>13.48</v>
      </c>
      <c r="X364" s="10">
        <v>7.838682419224767E-2</v>
      </c>
      <c r="Y364" s="9">
        <v>4180</v>
      </c>
      <c r="Z364" s="9">
        <v>3770</v>
      </c>
      <c r="AA364" s="9">
        <v>4050</v>
      </c>
      <c r="AB364">
        <v>0.68292682926829273</v>
      </c>
      <c r="AC364" s="11">
        <v>2.0608502361767158</v>
      </c>
      <c r="AD364" s="9">
        <v>3916.8107344632767</v>
      </c>
      <c r="AE364" s="8">
        <v>-9.7799511002444987E-3</v>
      </c>
    </row>
    <row r="365" spans="1:31" x14ac:dyDescent="0.35">
      <c r="A365" s="6" t="s">
        <v>386</v>
      </c>
      <c r="B365" s="7">
        <v>2</v>
      </c>
      <c r="C365" s="7">
        <v>8</v>
      </c>
      <c r="D365" s="7">
        <v>0</v>
      </c>
      <c r="E365" s="7">
        <v>8</v>
      </c>
      <c r="F365">
        <v>60</v>
      </c>
      <c r="G365">
        <v>-21</v>
      </c>
      <c r="H365">
        <v>-35.67</v>
      </c>
      <c r="I365">
        <v>-16</v>
      </c>
      <c r="J365">
        <v>-26.35</v>
      </c>
      <c r="K365">
        <v>1034</v>
      </c>
      <c r="L365">
        <v>14</v>
      </c>
      <c r="M365">
        <v>1019</v>
      </c>
      <c r="N365">
        <v>255.14</v>
      </c>
      <c r="O365">
        <v>-2.46</v>
      </c>
      <c r="P365">
        <v>0</v>
      </c>
      <c r="Q365">
        <v>2.12</v>
      </c>
      <c r="R365">
        <v>16.52</v>
      </c>
      <c r="S365">
        <v>-62</v>
      </c>
      <c r="T365">
        <v>1815</v>
      </c>
      <c r="U365">
        <v>233</v>
      </c>
      <c r="V365">
        <v>-20</v>
      </c>
      <c r="W365">
        <v>-108.78</v>
      </c>
      <c r="X365" s="10">
        <v>8.9960829370427237E-3</v>
      </c>
      <c r="Y365" s="9">
        <v>4415</v>
      </c>
      <c r="Z365" s="9">
        <v>3730</v>
      </c>
      <c r="AA365" s="9">
        <v>4060</v>
      </c>
      <c r="AB365">
        <v>0.48175182481751827</v>
      </c>
      <c r="AC365" s="11">
        <v>-0.98888580161155915</v>
      </c>
      <c r="AD365" s="9">
        <v>4100.3276836158193</v>
      </c>
      <c r="AE365" s="8">
        <v>4.774193548387097E-2</v>
      </c>
    </row>
    <row r="366" spans="1:31" x14ac:dyDescent="0.35">
      <c r="A366" s="6" t="s">
        <v>387</v>
      </c>
      <c r="B366" s="7">
        <v>3</v>
      </c>
      <c r="C366" s="7">
        <v>6</v>
      </c>
      <c r="D366" s="7">
        <v>4</v>
      </c>
      <c r="E366" s="7">
        <v>5</v>
      </c>
      <c r="F366">
        <v>1064</v>
      </c>
      <c r="G366">
        <v>-261</v>
      </c>
      <c r="H366">
        <v>-24.51</v>
      </c>
      <c r="I366">
        <v>109</v>
      </c>
      <c r="J366">
        <v>10.220000000000001</v>
      </c>
      <c r="K366">
        <v>3402</v>
      </c>
      <c r="L366">
        <v>1535</v>
      </c>
      <c r="M366">
        <v>1867</v>
      </c>
      <c r="N366">
        <v>344.48</v>
      </c>
      <c r="O366">
        <v>5.94</v>
      </c>
      <c r="P366">
        <v>10.27</v>
      </c>
      <c r="Q366">
        <v>0.66</v>
      </c>
      <c r="R366">
        <v>1.05</v>
      </c>
      <c r="S366">
        <v>259</v>
      </c>
      <c r="T366">
        <v>4015</v>
      </c>
      <c r="U366">
        <v>2533</v>
      </c>
      <c r="V366">
        <v>-133</v>
      </c>
      <c r="W366">
        <v>-8.3800000000000008</v>
      </c>
      <c r="X366" s="10">
        <v>0.63978788737618986</v>
      </c>
      <c r="Y366" s="9">
        <v>2970</v>
      </c>
      <c r="Z366" s="9">
        <v>2590</v>
      </c>
      <c r="AA366" s="9">
        <v>2880</v>
      </c>
      <c r="AB366">
        <v>0.76315789473684215</v>
      </c>
      <c r="AC366" s="11">
        <v>5.1305918310641845</v>
      </c>
      <c r="AD366" s="9">
        <v>2584.1836158192091</v>
      </c>
      <c r="AE366" s="8">
        <v>5.3016453382084092E-2</v>
      </c>
    </row>
    <row r="367" spans="1:31" x14ac:dyDescent="0.35">
      <c r="A367" s="6" t="s">
        <v>388</v>
      </c>
      <c r="B367" s="7">
        <v>9</v>
      </c>
      <c r="C367" s="7">
        <v>0</v>
      </c>
      <c r="D367" s="7">
        <v>3</v>
      </c>
      <c r="E367" s="7">
        <v>6</v>
      </c>
      <c r="F367">
        <v>329</v>
      </c>
      <c r="G367">
        <v>24</v>
      </c>
      <c r="H367">
        <v>7.41</v>
      </c>
      <c r="I367">
        <v>22</v>
      </c>
      <c r="J367">
        <v>6.6</v>
      </c>
      <c r="K367">
        <v>541</v>
      </c>
      <c r="L367">
        <v>167</v>
      </c>
      <c r="M367">
        <v>374</v>
      </c>
      <c r="N367">
        <v>470.43</v>
      </c>
      <c r="O367">
        <v>8.0299999999999994</v>
      </c>
      <c r="P367">
        <v>26.55</v>
      </c>
      <c r="Q367">
        <v>2.19</v>
      </c>
      <c r="R367">
        <v>1.75</v>
      </c>
      <c r="S367">
        <v>223</v>
      </c>
      <c r="T367">
        <v>2702</v>
      </c>
      <c r="U367">
        <v>3383</v>
      </c>
      <c r="V367">
        <v>72</v>
      </c>
      <c r="W367">
        <v>11.27</v>
      </c>
      <c r="X367" s="10">
        <v>0.19140258418817524</v>
      </c>
      <c r="Y367" s="9">
        <v>7640</v>
      </c>
      <c r="Z367" s="9">
        <v>5980</v>
      </c>
      <c r="AA367" s="9">
        <v>6090</v>
      </c>
      <c r="AB367">
        <v>6.6265060240963861E-2</v>
      </c>
      <c r="AC367" s="11">
        <v>-8.3406501806057243</v>
      </c>
      <c r="AD367" s="9">
        <v>6678.0564971751419</v>
      </c>
      <c r="AE367" s="8">
        <v>-4.2452830188679243E-2</v>
      </c>
    </row>
    <row r="368" spans="1:31" x14ac:dyDescent="0.35">
      <c r="A368" s="6" t="s">
        <v>389</v>
      </c>
      <c r="B368" s="7">
        <v>9</v>
      </c>
      <c r="C368" s="7">
        <v>8</v>
      </c>
      <c r="D368" s="7">
        <v>1</v>
      </c>
      <c r="E368" s="7">
        <v>0</v>
      </c>
      <c r="F368">
        <v>3410</v>
      </c>
      <c r="G368">
        <v>194</v>
      </c>
      <c r="H368">
        <v>5.68</v>
      </c>
      <c r="I368">
        <v>141</v>
      </c>
      <c r="J368">
        <v>4.1399999999999997</v>
      </c>
      <c r="K368">
        <v>1864</v>
      </c>
      <c r="L368">
        <v>1009</v>
      </c>
      <c r="M368">
        <v>856</v>
      </c>
      <c r="N368">
        <v>1412.82</v>
      </c>
      <c r="O368">
        <v>18.34</v>
      </c>
      <c r="P368">
        <v>6.94</v>
      </c>
      <c r="Q368">
        <v>1.31</v>
      </c>
      <c r="R368">
        <v>0.28999999999999998</v>
      </c>
      <c r="S368">
        <v>1325</v>
      </c>
      <c r="T368">
        <v>7020</v>
      </c>
      <c r="U368">
        <v>32045</v>
      </c>
      <c r="V368">
        <v>214</v>
      </c>
      <c r="W368">
        <v>5.84</v>
      </c>
      <c r="X368" s="10">
        <v>0.58935016346152236</v>
      </c>
      <c r="Y368" s="9">
        <v>12900</v>
      </c>
      <c r="Z368" s="9">
        <v>8900</v>
      </c>
      <c r="AA368" s="9">
        <v>12600</v>
      </c>
      <c r="AB368">
        <v>0.92500000000000004</v>
      </c>
      <c r="AC368" s="11">
        <v>55.43539872186718</v>
      </c>
      <c r="AD368" s="9">
        <v>9632.887005649718</v>
      </c>
      <c r="AE368" s="8">
        <v>0.37554585152838427</v>
      </c>
    </row>
    <row r="369" spans="1:31" x14ac:dyDescent="0.35">
      <c r="A369" s="6" t="s">
        <v>390</v>
      </c>
      <c r="B369" s="7">
        <v>0</v>
      </c>
      <c r="C369" s="7">
        <v>4</v>
      </c>
      <c r="D369" s="7">
        <v>10</v>
      </c>
      <c r="E369" s="7">
        <v>4</v>
      </c>
      <c r="F369">
        <v>8272</v>
      </c>
      <c r="G369">
        <v>102</v>
      </c>
      <c r="H369">
        <v>1.23</v>
      </c>
      <c r="I369">
        <v>5</v>
      </c>
      <c r="J369">
        <v>0.06</v>
      </c>
      <c r="K369">
        <v>4861</v>
      </c>
      <c r="L369">
        <v>2164</v>
      </c>
      <c r="M369">
        <v>2697</v>
      </c>
      <c r="N369">
        <v>1204.06</v>
      </c>
      <c r="O369">
        <v>0.19</v>
      </c>
      <c r="P369">
        <v>183.83</v>
      </c>
      <c r="Q369">
        <v>0.38</v>
      </c>
      <c r="R369">
        <v>0.12</v>
      </c>
      <c r="S369">
        <v>133</v>
      </c>
      <c r="T369">
        <v>63729</v>
      </c>
      <c r="U369">
        <v>210626</v>
      </c>
      <c r="V369">
        <v>159</v>
      </c>
      <c r="W369">
        <v>10.85</v>
      </c>
      <c r="X369" s="10">
        <v>0.57997615624730536</v>
      </c>
      <c r="Y369" s="9">
        <v>27900</v>
      </c>
      <c r="Z369" s="9">
        <v>21550</v>
      </c>
      <c r="AA369" s="9">
        <v>27450</v>
      </c>
      <c r="AB369">
        <v>0.92913385826771655</v>
      </c>
      <c r="AC369" s="11">
        <v>59.613781606001666</v>
      </c>
      <c r="AD369" s="9">
        <v>22478.446327683618</v>
      </c>
      <c r="AE369" s="8">
        <v>0.11585365853658537</v>
      </c>
    </row>
    <row r="370" spans="1:31" x14ac:dyDescent="0.35">
      <c r="A370" s="6" t="s">
        <v>391</v>
      </c>
      <c r="B370" s="7">
        <v>1</v>
      </c>
      <c r="C370" s="7">
        <v>3</v>
      </c>
      <c r="D370" s="7">
        <v>11</v>
      </c>
      <c r="E370" s="7">
        <v>3</v>
      </c>
      <c r="F370">
        <v>508</v>
      </c>
      <c r="G370">
        <v>-19</v>
      </c>
      <c r="H370">
        <v>-3.83</v>
      </c>
      <c r="I370">
        <v>-37</v>
      </c>
      <c r="J370">
        <v>-7.32</v>
      </c>
      <c r="K370">
        <v>737</v>
      </c>
      <c r="L370">
        <v>514</v>
      </c>
      <c r="M370">
        <v>222</v>
      </c>
      <c r="N370">
        <v>273.58</v>
      </c>
      <c r="O370">
        <v>-16.71</v>
      </c>
      <c r="P370">
        <v>0</v>
      </c>
      <c r="Q370">
        <v>0.44</v>
      </c>
      <c r="R370">
        <v>0.18</v>
      </c>
      <c r="S370">
        <v>-3140</v>
      </c>
      <c r="T370">
        <v>17448</v>
      </c>
      <c r="U370">
        <v>42925</v>
      </c>
      <c r="V370">
        <v>17</v>
      </c>
      <c r="W370">
        <v>32.28</v>
      </c>
      <c r="X370" s="10">
        <v>0.29763936216103776</v>
      </c>
      <c r="Y370" s="9">
        <v>18450</v>
      </c>
      <c r="Z370" s="9">
        <v>7550</v>
      </c>
      <c r="AA370" s="9">
        <v>11750</v>
      </c>
      <c r="AB370">
        <v>0.38532110091743121</v>
      </c>
      <c r="AC370" s="11">
        <v>93.552653514865241</v>
      </c>
      <c r="AD370" s="9">
        <v>9316.3107344632772</v>
      </c>
      <c r="AE370" s="8">
        <v>0.52597402597402598</v>
      </c>
    </row>
    <row r="371" spans="1:31" x14ac:dyDescent="0.35">
      <c r="A371" s="6" t="s">
        <v>392</v>
      </c>
      <c r="B371" s="7">
        <v>3</v>
      </c>
      <c r="C371" s="7">
        <v>14</v>
      </c>
      <c r="D371" s="7">
        <v>1</v>
      </c>
      <c r="E371" s="7">
        <v>0</v>
      </c>
      <c r="F371">
        <v>430</v>
      </c>
      <c r="G371">
        <v>49</v>
      </c>
      <c r="H371">
        <v>11.45</v>
      </c>
      <c r="I371">
        <v>45</v>
      </c>
      <c r="J371">
        <v>10.44</v>
      </c>
      <c r="K371">
        <v>317</v>
      </c>
      <c r="L371">
        <v>21</v>
      </c>
      <c r="M371">
        <v>296</v>
      </c>
      <c r="N371">
        <v>2358.6999999999998</v>
      </c>
      <c r="O371">
        <v>17.79</v>
      </c>
      <c r="P371">
        <v>6.91</v>
      </c>
      <c r="Q371">
        <v>1.21</v>
      </c>
      <c r="R371">
        <v>0.72</v>
      </c>
      <c r="S371">
        <v>2062</v>
      </c>
      <c r="T371">
        <v>11764</v>
      </c>
      <c r="U371">
        <v>19754</v>
      </c>
      <c r="V371">
        <v>60</v>
      </c>
      <c r="W371">
        <v>5.68</v>
      </c>
      <c r="X371" s="10">
        <v>0.32441012566731076</v>
      </c>
      <c r="Y371" s="9">
        <v>12851</v>
      </c>
      <c r="Z371" s="9">
        <v>9280</v>
      </c>
      <c r="AA371" s="9">
        <v>11350</v>
      </c>
      <c r="AB371">
        <v>0.57966956034724171</v>
      </c>
      <c r="AC371" s="11">
        <v>28.929563767713255</v>
      </c>
      <c r="AD371" s="9">
        <v>10431.331638418078</v>
      </c>
      <c r="AE371" s="8">
        <v>0.21002132196162046</v>
      </c>
    </row>
    <row r="372" spans="1:31" x14ac:dyDescent="0.35">
      <c r="A372" s="6" t="s">
        <v>393</v>
      </c>
      <c r="B372" s="7">
        <v>0</v>
      </c>
      <c r="C372" s="7">
        <v>0</v>
      </c>
      <c r="D372" s="7">
        <v>13</v>
      </c>
      <c r="E372" s="7">
        <v>5</v>
      </c>
      <c r="F372">
        <v>3971</v>
      </c>
      <c r="G372">
        <v>-25</v>
      </c>
      <c r="H372">
        <v>-0.63</v>
      </c>
      <c r="I372">
        <v>-45</v>
      </c>
      <c r="J372">
        <v>-1.1299999999999999</v>
      </c>
      <c r="K372">
        <v>1329</v>
      </c>
      <c r="L372">
        <v>862</v>
      </c>
      <c r="M372">
        <v>467</v>
      </c>
      <c r="N372">
        <v>-9.2899999999999991</v>
      </c>
      <c r="O372">
        <v>-9.42</v>
      </c>
      <c r="P372">
        <v>0</v>
      </c>
      <c r="Q372">
        <v>0.88</v>
      </c>
      <c r="R372">
        <v>0.1</v>
      </c>
      <c r="S372">
        <v>-44</v>
      </c>
      <c r="T372">
        <v>433</v>
      </c>
      <c r="U372">
        <v>3843</v>
      </c>
      <c r="V372">
        <v>-2</v>
      </c>
      <c r="W372">
        <v>-541.39</v>
      </c>
      <c r="X372" s="10">
        <v>0.32692350898867945</v>
      </c>
      <c r="Y372" s="9">
        <v>600</v>
      </c>
      <c r="Z372" s="9">
        <v>366</v>
      </c>
      <c r="AA372" s="9">
        <v>476</v>
      </c>
      <c r="AB372">
        <v>0.47008547008547008</v>
      </c>
      <c r="AC372" s="11">
        <v>1.9316476799110864</v>
      </c>
      <c r="AD372" s="9">
        <v>387.88474576271187</v>
      </c>
      <c r="AE372" s="8">
        <v>0.23958333333333334</v>
      </c>
    </row>
    <row r="373" spans="1:31" x14ac:dyDescent="0.35">
      <c r="A373" s="6" t="s">
        <v>394</v>
      </c>
      <c r="B373" s="7">
        <v>7</v>
      </c>
      <c r="C373" s="7">
        <v>8</v>
      </c>
      <c r="D373" s="7">
        <v>2</v>
      </c>
      <c r="E373" s="7">
        <v>1</v>
      </c>
      <c r="F373">
        <v>14923</v>
      </c>
      <c r="G373">
        <v>5263</v>
      </c>
      <c r="H373">
        <v>35.270000000000003</v>
      </c>
      <c r="I373">
        <v>3638</v>
      </c>
      <c r="J373">
        <v>24.38</v>
      </c>
      <c r="K373">
        <v>33805</v>
      </c>
      <c r="L373">
        <v>6643</v>
      </c>
      <c r="M373">
        <v>27162</v>
      </c>
      <c r="N373">
        <v>2601.91</v>
      </c>
      <c r="O373">
        <v>13.89</v>
      </c>
      <c r="P373">
        <v>16.940000000000001</v>
      </c>
      <c r="Q373">
        <v>2.39</v>
      </c>
      <c r="R373">
        <v>4.13</v>
      </c>
      <c r="S373">
        <v>1795</v>
      </c>
      <c r="T373">
        <v>12696</v>
      </c>
      <c r="U373">
        <v>7361</v>
      </c>
      <c r="V373">
        <v>5995</v>
      </c>
      <c r="W373">
        <v>10.85</v>
      </c>
      <c r="X373" s="10">
        <v>0.75632737371069703</v>
      </c>
      <c r="Y373" s="9">
        <v>34800</v>
      </c>
      <c r="Z373" s="9">
        <v>30100</v>
      </c>
      <c r="AA373" s="9">
        <v>34200</v>
      </c>
      <c r="AB373">
        <v>0.87234042553191493</v>
      </c>
      <c r="AC373" s="11">
        <v>65.279244234509591</v>
      </c>
      <c r="AD373" s="9">
        <v>30722.316384180791</v>
      </c>
      <c r="AE373" s="8">
        <v>0.10679611650485436</v>
      </c>
    </row>
    <row r="374" spans="1:31" x14ac:dyDescent="0.35">
      <c r="A374" s="6" t="s">
        <v>395</v>
      </c>
      <c r="B374" s="7">
        <v>3</v>
      </c>
      <c r="C374" s="7">
        <v>8</v>
      </c>
      <c r="D374" s="7">
        <v>5</v>
      </c>
      <c r="E374" s="7">
        <v>2</v>
      </c>
      <c r="F374">
        <v>319</v>
      </c>
      <c r="G374">
        <v>7</v>
      </c>
      <c r="H374">
        <v>2.0699999999999998</v>
      </c>
      <c r="I374">
        <v>13</v>
      </c>
      <c r="J374">
        <v>4.0999999999999996</v>
      </c>
      <c r="K374">
        <v>947</v>
      </c>
      <c r="L374">
        <v>514</v>
      </c>
      <c r="M374">
        <v>433</v>
      </c>
      <c r="N374">
        <v>180.54</v>
      </c>
      <c r="O374">
        <v>3.04</v>
      </c>
      <c r="P374">
        <v>64.52</v>
      </c>
      <c r="Q374">
        <v>3.43</v>
      </c>
      <c r="R374">
        <v>2.63</v>
      </c>
      <c r="S374">
        <v>42</v>
      </c>
      <c r="T374">
        <v>791</v>
      </c>
      <c r="U374">
        <v>1031</v>
      </c>
      <c r="V374">
        <v>16</v>
      </c>
      <c r="W374">
        <v>51.35</v>
      </c>
      <c r="X374" s="10">
        <v>0.5834777372292651</v>
      </c>
      <c r="Y374" s="9">
        <v>8330</v>
      </c>
      <c r="Z374" s="9">
        <v>2705</v>
      </c>
      <c r="AA374" s="9">
        <v>6900</v>
      </c>
      <c r="AB374">
        <v>0.74577777777777776</v>
      </c>
      <c r="AC374" s="11">
        <v>76.841066963045293</v>
      </c>
      <c r="AD374" s="9">
        <v>3532.3474576271187</v>
      </c>
      <c r="AE374" s="8">
        <v>1.5508317929759705</v>
      </c>
    </row>
    <row r="375" spans="1:31" x14ac:dyDescent="0.35">
      <c r="A375" s="6" t="s">
        <v>396</v>
      </c>
      <c r="B375" s="7">
        <v>14</v>
      </c>
      <c r="C375" s="7">
        <v>1</v>
      </c>
      <c r="D375" s="7">
        <v>1</v>
      </c>
      <c r="E375" s="7">
        <v>2</v>
      </c>
      <c r="F375">
        <v>3122</v>
      </c>
      <c r="G375">
        <v>255</v>
      </c>
      <c r="H375">
        <v>8.15</v>
      </c>
      <c r="I375">
        <v>269</v>
      </c>
      <c r="J375">
        <v>8.6199999999999992</v>
      </c>
      <c r="K375">
        <v>3476</v>
      </c>
      <c r="L375">
        <v>591</v>
      </c>
      <c r="M375">
        <v>2885</v>
      </c>
      <c r="N375">
        <v>4338.72</v>
      </c>
      <c r="O375">
        <v>9.6999999999999993</v>
      </c>
      <c r="P375">
        <v>11.67</v>
      </c>
      <c r="Q375">
        <v>1.0900000000000001</v>
      </c>
      <c r="R375">
        <v>1.01</v>
      </c>
      <c r="S375">
        <v>4139</v>
      </c>
      <c r="T375">
        <v>44172</v>
      </c>
      <c r="U375">
        <v>48027</v>
      </c>
      <c r="V375">
        <v>288</v>
      </c>
      <c r="W375">
        <v>10.9</v>
      </c>
      <c r="X375" s="10">
        <v>3.1440875752769423E-2</v>
      </c>
      <c r="Y375" s="9">
        <v>55800</v>
      </c>
      <c r="Z375" s="9">
        <v>46100</v>
      </c>
      <c r="AA375" s="9">
        <v>53100</v>
      </c>
      <c r="AB375">
        <v>0.72164948453608246</v>
      </c>
      <c r="AC375" s="11">
        <v>23.591275354265072</v>
      </c>
      <c r="AD375" s="9">
        <v>50882.966101694918</v>
      </c>
      <c r="AE375" s="8">
        <v>0.15184381778741865</v>
      </c>
    </row>
    <row r="376" spans="1:31" x14ac:dyDescent="0.35">
      <c r="A376" s="6" t="s">
        <v>397</v>
      </c>
      <c r="B376" s="7">
        <v>6</v>
      </c>
      <c r="C376" s="7">
        <v>6</v>
      </c>
      <c r="D376" s="7">
        <v>0</v>
      </c>
      <c r="E376" s="7">
        <v>6</v>
      </c>
      <c r="F376">
        <v>865</v>
      </c>
      <c r="G376">
        <v>115</v>
      </c>
      <c r="H376">
        <v>13.33</v>
      </c>
      <c r="I376">
        <v>80</v>
      </c>
      <c r="J376">
        <v>9.23</v>
      </c>
      <c r="K376">
        <v>1955</v>
      </c>
      <c r="L376">
        <v>247</v>
      </c>
      <c r="M376">
        <v>1708</v>
      </c>
      <c r="N376">
        <v>5175.25</v>
      </c>
      <c r="O376">
        <v>6.38</v>
      </c>
      <c r="P376">
        <v>72.95</v>
      </c>
      <c r="Q376">
        <v>4.7</v>
      </c>
      <c r="R376">
        <v>6.73</v>
      </c>
      <c r="S376">
        <v>1645</v>
      </c>
      <c r="T376">
        <v>25513</v>
      </c>
      <c r="U376">
        <v>17828</v>
      </c>
      <c r="V376">
        <v>190</v>
      </c>
      <c r="W376">
        <v>41.26</v>
      </c>
      <c r="X376" s="10">
        <v>0.13644871024865921</v>
      </c>
      <c r="Y376" s="9">
        <v>184400</v>
      </c>
      <c r="Z376" s="9">
        <v>117100</v>
      </c>
      <c r="AA376" s="9">
        <v>117100</v>
      </c>
      <c r="AB376">
        <v>0</v>
      </c>
      <c r="AC376" s="11">
        <v>-379.09697138093912</v>
      </c>
      <c r="AD376" s="9">
        <v>148184.12429378531</v>
      </c>
      <c r="AE376" s="8">
        <v>-2.4166666666666666E-2</v>
      </c>
    </row>
    <row r="377" spans="1:31" x14ac:dyDescent="0.35">
      <c r="A377" s="6" t="s">
        <v>398</v>
      </c>
      <c r="B377" s="7">
        <v>1</v>
      </c>
      <c r="C377" s="7">
        <v>12</v>
      </c>
      <c r="D377" s="7">
        <v>1</v>
      </c>
      <c r="E377" s="7">
        <v>4</v>
      </c>
      <c r="F377">
        <v>8216</v>
      </c>
      <c r="G377">
        <v>-304</v>
      </c>
      <c r="H377">
        <v>-3.7</v>
      </c>
      <c r="I377">
        <v>35</v>
      </c>
      <c r="J377">
        <v>0.42</v>
      </c>
      <c r="K377">
        <v>16361</v>
      </c>
      <c r="L377">
        <v>13480</v>
      </c>
      <c r="M377">
        <v>2881</v>
      </c>
      <c r="N377">
        <v>63.75</v>
      </c>
      <c r="O377">
        <v>1.94</v>
      </c>
      <c r="P377">
        <v>25.42</v>
      </c>
      <c r="Q377">
        <v>0.49</v>
      </c>
      <c r="R377">
        <v>0.11</v>
      </c>
      <c r="S377">
        <v>155</v>
      </c>
      <c r="T377">
        <v>7982</v>
      </c>
      <c r="U377">
        <v>36416</v>
      </c>
      <c r="V377">
        <v>-284</v>
      </c>
      <c r="W377">
        <v>-34.700000000000003</v>
      </c>
      <c r="X377" s="10">
        <v>0.27595676508663097</v>
      </c>
      <c r="Y377" s="9">
        <v>4870</v>
      </c>
      <c r="Z377" s="9">
        <v>4055</v>
      </c>
      <c r="AA377" s="9">
        <v>4155</v>
      </c>
      <c r="AB377">
        <v>0.12269938650306748</v>
      </c>
      <c r="AC377" s="11">
        <v>-6.5636287857738269</v>
      </c>
      <c r="AD377" s="9">
        <v>4541.6073446327691</v>
      </c>
      <c r="AE377" s="8">
        <v>-7.1684587813620072E-3</v>
      </c>
    </row>
    <row r="378" spans="1:31" x14ac:dyDescent="0.35">
      <c r="A378" s="6" t="s">
        <v>399</v>
      </c>
      <c r="B378" s="7">
        <v>5</v>
      </c>
      <c r="C378" s="7">
        <v>10</v>
      </c>
      <c r="D378" s="7">
        <v>1</v>
      </c>
      <c r="E378" s="7">
        <v>2</v>
      </c>
      <c r="F378">
        <v>2895</v>
      </c>
      <c r="G378">
        <v>106</v>
      </c>
      <c r="H378">
        <v>3.66</v>
      </c>
      <c r="I378">
        <v>72</v>
      </c>
      <c r="J378">
        <v>2.5</v>
      </c>
      <c r="K378">
        <v>1372</v>
      </c>
      <c r="L378">
        <v>662</v>
      </c>
      <c r="M378">
        <v>709</v>
      </c>
      <c r="N378">
        <v>2737.87</v>
      </c>
      <c r="O378">
        <v>10.67</v>
      </c>
      <c r="P378">
        <v>5.19</v>
      </c>
      <c r="Q378">
        <v>0.54</v>
      </c>
      <c r="R378">
        <v>0.13</v>
      </c>
      <c r="S378">
        <v>1449</v>
      </c>
      <c r="T378">
        <v>14029</v>
      </c>
      <c r="U378">
        <v>57896</v>
      </c>
      <c r="V378">
        <v>126</v>
      </c>
      <c r="W378">
        <v>5.05</v>
      </c>
      <c r="X378" s="10">
        <v>0.50543435341664444</v>
      </c>
      <c r="Y378" s="9">
        <v>8140</v>
      </c>
      <c r="Z378" s="9">
        <v>6960</v>
      </c>
      <c r="AA378" s="9">
        <v>8030</v>
      </c>
      <c r="AB378">
        <v>0.90677966101694918</v>
      </c>
      <c r="AC378" s="11">
        <v>17.888858016115591</v>
      </c>
      <c r="AD378" s="9">
        <v>6955.056497175141</v>
      </c>
      <c r="AE378" s="8">
        <v>6.6401062416998669E-2</v>
      </c>
    </row>
    <row r="379" spans="1:31" x14ac:dyDescent="0.35">
      <c r="A379" s="6" t="s">
        <v>400</v>
      </c>
      <c r="B379" s="7">
        <v>6</v>
      </c>
      <c r="C379" s="7">
        <v>5</v>
      </c>
      <c r="D379" s="7">
        <v>5</v>
      </c>
      <c r="E379" s="7">
        <v>2</v>
      </c>
      <c r="F379">
        <v>8888</v>
      </c>
      <c r="G379">
        <v>174</v>
      </c>
      <c r="H379">
        <v>1.95</v>
      </c>
      <c r="I379">
        <v>232</v>
      </c>
      <c r="J379">
        <v>2.62</v>
      </c>
      <c r="K379">
        <v>6594</v>
      </c>
      <c r="L379">
        <v>3746</v>
      </c>
      <c r="M379">
        <v>2848</v>
      </c>
      <c r="N379">
        <v>1870.72</v>
      </c>
      <c r="O379">
        <v>8.06</v>
      </c>
      <c r="P379">
        <v>6.55</v>
      </c>
      <c r="Q379">
        <v>0.78</v>
      </c>
      <c r="R379">
        <v>0.17</v>
      </c>
      <c r="S379">
        <v>916</v>
      </c>
      <c r="T379">
        <v>7685</v>
      </c>
      <c r="U379">
        <v>35003</v>
      </c>
      <c r="V379">
        <v>459</v>
      </c>
      <c r="W379">
        <v>4.5999999999999996</v>
      </c>
      <c r="X379" s="10">
        <v>0.70096952209588648</v>
      </c>
      <c r="Y379" s="9">
        <v>7380</v>
      </c>
      <c r="Z379" s="9">
        <v>5900</v>
      </c>
      <c r="AA379" s="9">
        <v>7250</v>
      </c>
      <c r="AB379">
        <v>0.91216216216216217</v>
      </c>
      <c r="AC379" s="11">
        <v>29.552375659905522</v>
      </c>
      <c r="AD379" s="9">
        <v>5938.4858757062148</v>
      </c>
      <c r="AE379" s="8">
        <v>0.21644295302013422</v>
      </c>
    </row>
    <row r="380" spans="1:31" x14ac:dyDescent="0.35">
      <c r="A380" s="6" t="s">
        <v>401</v>
      </c>
      <c r="B380" s="7">
        <v>0</v>
      </c>
      <c r="C380" s="7">
        <v>14</v>
      </c>
      <c r="D380" s="7">
        <v>0</v>
      </c>
      <c r="E380" s="7">
        <v>4</v>
      </c>
      <c r="F380">
        <v>7128</v>
      </c>
      <c r="G380">
        <v>1389</v>
      </c>
      <c r="H380">
        <v>19.489999999999998</v>
      </c>
      <c r="I380">
        <v>1277</v>
      </c>
      <c r="J380">
        <v>17.91</v>
      </c>
      <c r="K380">
        <v>328067</v>
      </c>
      <c r="L380">
        <v>306610</v>
      </c>
      <c r="M380">
        <v>21457</v>
      </c>
      <c r="N380">
        <v>447.33</v>
      </c>
      <c r="O380">
        <v>5.95</v>
      </c>
      <c r="P380">
        <v>7.57</v>
      </c>
      <c r="Q380">
        <v>0.46</v>
      </c>
      <c r="R380">
        <v>1.31</v>
      </c>
      <c r="S380">
        <v>1571</v>
      </c>
      <c r="T380">
        <v>26018</v>
      </c>
      <c r="U380">
        <v>9093</v>
      </c>
      <c r="V380">
        <v>0</v>
      </c>
      <c r="W380">
        <v>0</v>
      </c>
      <c r="X380" s="10">
        <v>0.90171070895588412</v>
      </c>
      <c r="Y380" s="9">
        <v>12000</v>
      </c>
      <c r="Z380" s="9">
        <v>9360</v>
      </c>
      <c r="AA380" s="9">
        <v>9360</v>
      </c>
      <c r="AB380">
        <v>0</v>
      </c>
      <c r="AC380" s="11">
        <v>-37.4128924701306</v>
      </c>
      <c r="AD380" s="9">
        <v>11814.926553672318</v>
      </c>
      <c r="AE380" s="8">
        <v>-0.22</v>
      </c>
    </row>
    <row r="381" spans="1:31" x14ac:dyDescent="0.35">
      <c r="A381" s="6" t="s">
        <v>402</v>
      </c>
      <c r="B381" s="7">
        <v>3</v>
      </c>
      <c r="C381" s="7">
        <v>12</v>
      </c>
      <c r="D381" s="7">
        <v>1</v>
      </c>
      <c r="E381" s="7">
        <v>2</v>
      </c>
      <c r="F381">
        <v>360</v>
      </c>
      <c r="G381">
        <v>36</v>
      </c>
      <c r="H381">
        <v>10.119999999999999</v>
      </c>
      <c r="I381">
        <v>6</v>
      </c>
      <c r="J381">
        <v>1.61</v>
      </c>
      <c r="K381">
        <v>479</v>
      </c>
      <c r="L381">
        <v>361</v>
      </c>
      <c r="M381">
        <v>118</v>
      </c>
      <c r="N381">
        <v>135.9</v>
      </c>
      <c r="O381">
        <v>5.0199999999999996</v>
      </c>
      <c r="P381">
        <v>35.340000000000003</v>
      </c>
      <c r="Q381">
        <v>1.77</v>
      </c>
      <c r="R381">
        <v>0.56999999999999995</v>
      </c>
      <c r="S381">
        <v>58</v>
      </c>
      <c r="T381">
        <v>1156</v>
      </c>
      <c r="U381">
        <v>3588</v>
      </c>
      <c r="V381">
        <v>43</v>
      </c>
      <c r="W381">
        <v>10.99</v>
      </c>
      <c r="X381" s="10">
        <v>0.58653539918477293</v>
      </c>
      <c r="Y381" s="9">
        <v>3875</v>
      </c>
      <c r="Z381" s="9">
        <v>2050</v>
      </c>
      <c r="AA381" s="9">
        <v>3875</v>
      </c>
      <c r="AB381">
        <v>1</v>
      </c>
      <c r="AC381" s="11">
        <v>13.211308696860238</v>
      </c>
      <c r="AD381" s="9">
        <v>2097.9717514124295</v>
      </c>
      <c r="AE381" s="8">
        <v>0.84964200477326968</v>
      </c>
    </row>
    <row r="382" spans="1:31" x14ac:dyDescent="0.35">
      <c r="A382" s="6" t="s">
        <v>403</v>
      </c>
      <c r="B382" s="7">
        <v>7</v>
      </c>
      <c r="C382" s="7">
        <v>2</v>
      </c>
      <c r="D382" s="7">
        <v>9</v>
      </c>
      <c r="E382" s="7">
        <v>0</v>
      </c>
      <c r="F382">
        <v>1348</v>
      </c>
      <c r="G382">
        <v>140</v>
      </c>
      <c r="H382">
        <v>10.41</v>
      </c>
      <c r="I382">
        <v>93</v>
      </c>
      <c r="J382">
        <v>6.88</v>
      </c>
      <c r="K382">
        <v>2309</v>
      </c>
      <c r="L382">
        <v>619</v>
      </c>
      <c r="M382">
        <v>1690</v>
      </c>
      <c r="N382">
        <v>1519.53</v>
      </c>
      <c r="O382">
        <v>5.59</v>
      </c>
      <c r="P382">
        <v>8.73</v>
      </c>
      <c r="Q382">
        <v>0.62</v>
      </c>
      <c r="R382">
        <v>0.6</v>
      </c>
      <c r="S382">
        <v>535</v>
      </c>
      <c r="T382">
        <v>7576</v>
      </c>
      <c r="U382">
        <v>7785</v>
      </c>
      <c r="V382">
        <v>178</v>
      </c>
      <c r="W382">
        <v>6.47</v>
      </c>
      <c r="X382" s="10">
        <v>0.53414385259516983</v>
      </c>
      <c r="Y382" s="9">
        <v>5430</v>
      </c>
      <c r="Z382" s="9">
        <v>4670</v>
      </c>
      <c r="AA382" s="9">
        <v>5430</v>
      </c>
      <c r="AB382">
        <v>1</v>
      </c>
      <c r="AC382" s="11">
        <v>6.3413448180050018</v>
      </c>
      <c r="AD382" s="9">
        <v>4760.8389830508477</v>
      </c>
      <c r="AE382" s="8">
        <v>0.15778251599147122</v>
      </c>
    </row>
    <row r="383" spans="1:31" x14ac:dyDescent="0.35">
      <c r="A383" s="6" t="s">
        <v>404</v>
      </c>
      <c r="B383" s="7">
        <v>7</v>
      </c>
      <c r="C383" s="7">
        <v>1</v>
      </c>
      <c r="D383" s="7">
        <v>2</v>
      </c>
      <c r="E383" s="7">
        <v>8</v>
      </c>
      <c r="F383">
        <v>23995</v>
      </c>
      <c r="G383">
        <v>378</v>
      </c>
      <c r="H383">
        <v>1.58</v>
      </c>
      <c r="I383">
        <v>448</v>
      </c>
      <c r="J383">
        <v>1.87</v>
      </c>
      <c r="K383">
        <v>11011</v>
      </c>
      <c r="L383">
        <v>5403</v>
      </c>
      <c r="M383">
        <v>5608</v>
      </c>
      <c r="N383">
        <v>3118.79</v>
      </c>
      <c r="O383">
        <v>8.32</v>
      </c>
      <c r="P383">
        <v>8.6199999999999992</v>
      </c>
      <c r="Q383">
        <v>0.7</v>
      </c>
      <c r="R383">
        <v>0.16</v>
      </c>
      <c r="S383">
        <v>12870</v>
      </c>
      <c r="T383">
        <v>157497</v>
      </c>
      <c r="U383">
        <v>688708</v>
      </c>
      <c r="V383">
        <v>566</v>
      </c>
      <c r="W383">
        <v>6.83</v>
      </c>
      <c r="X383" s="10">
        <v>0.12563170948124797</v>
      </c>
      <c r="Y383" s="9">
        <v>111000</v>
      </c>
      <c r="Z383" s="9">
        <v>93600</v>
      </c>
      <c r="AA383" s="9">
        <v>105500</v>
      </c>
      <c r="AB383">
        <v>0.68390804597701149</v>
      </c>
      <c r="AC383" s="11">
        <v>85.0680744651292</v>
      </c>
      <c r="AD383" s="9">
        <v>99668.757062146891</v>
      </c>
      <c r="AE383" s="8">
        <v>-3.6529680365296802E-2</v>
      </c>
    </row>
    <row r="384" spans="1:31" x14ac:dyDescent="0.35">
      <c r="A384" s="6" t="s">
        <v>405</v>
      </c>
      <c r="B384" s="7">
        <v>14</v>
      </c>
      <c r="C384" s="7">
        <v>0</v>
      </c>
      <c r="D384" s="7">
        <v>2</v>
      </c>
      <c r="E384" s="7">
        <v>2</v>
      </c>
      <c r="F384">
        <v>3824</v>
      </c>
      <c r="G384">
        <v>161</v>
      </c>
      <c r="H384">
        <v>4.21</v>
      </c>
      <c r="I384">
        <v>91</v>
      </c>
      <c r="J384">
        <v>2.38</v>
      </c>
      <c r="K384">
        <v>3311</v>
      </c>
      <c r="L384">
        <v>1631</v>
      </c>
      <c r="M384">
        <v>1680</v>
      </c>
      <c r="N384">
        <v>1223.72</v>
      </c>
      <c r="O384">
        <v>5.51</v>
      </c>
      <c r="P384">
        <v>40.33</v>
      </c>
      <c r="Q384">
        <v>2.2999999999999998</v>
      </c>
      <c r="R384">
        <v>0.96</v>
      </c>
      <c r="S384">
        <v>719</v>
      </c>
      <c r="T384">
        <v>12590</v>
      </c>
      <c r="U384">
        <v>30291</v>
      </c>
      <c r="V384">
        <v>234</v>
      </c>
      <c r="W384">
        <v>18.64</v>
      </c>
      <c r="X384" s="10">
        <v>0.27628977254353015</v>
      </c>
      <c r="Y384" s="9">
        <v>29000</v>
      </c>
      <c r="Z384" s="9">
        <v>22150</v>
      </c>
      <c r="AA384" s="9">
        <v>27900</v>
      </c>
      <c r="AB384">
        <v>0.83941605839416056</v>
      </c>
      <c r="AC384" s="11">
        <v>57.857738260627954</v>
      </c>
      <c r="AD384" s="9">
        <v>23297.005649717514</v>
      </c>
      <c r="AE384" s="8">
        <v>1.2704174228675136E-2</v>
      </c>
    </row>
    <row r="385" spans="1:31" x14ac:dyDescent="0.35">
      <c r="A385" s="6" t="s">
        <v>406</v>
      </c>
      <c r="B385" s="7">
        <v>13</v>
      </c>
      <c r="C385" s="7">
        <v>5</v>
      </c>
      <c r="D385" s="7">
        <v>0</v>
      </c>
      <c r="E385" s="7">
        <v>0</v>
      </c>
      <c r="F385">
        <v>1522</v>
      </c>
      <c r="G385">
        <v>352</v>
      </c>
      <c r="H385">
        <v>23.12</v>
      </c>
      <c r="I385">
        <v>250</v>
      </c>
      <c r="J385">
        <v>16.399999999999999</v>
      </c>
      <c r="K385">
        <v>2235</v>
      </c>
      <c r="L385">
        <v>331</v>
      </c>
      <c r="M385">
        <v>1905</v>
      </c>
      <c r="N385">
        <v>1460.81</v>
      </c>
      <c r="O385">
        <v>13.88</v>
      </c>
      <c r="P385">
        <v>11.59</v>
      </c>
      <c r="Q385">
        <v>1.74</v>
      </c>
      <c r="R385">
        <v>1.9</v>
      </c>
      <c r="S385">
        <v>2114</v>
      </c>
      <c r="T385">
        <v>14076</v>
      </c>
      <c r="U385">
        <v>12891</v>
      </c>
      <c r="V385">
        <v>394</v>
      </c>
      <c r="W385">
        <v>8.26</v>
      </c>
      <c r="X385" s="10">
        <v>0.6667724438040149</v>
      </c>
      <c r="Y385" s="9">
        <v>26950</v>
      </c>
      <c r="Z385" s="9">
        <v>23650</v>
      </c>
      <c r="AA385" s="9">
        <v>25400</v>
      </c>
      <c r="AB385">
        <v>0.53030303030303028</v>
      </c>
      <c r="AC385" s="11">
        <v>40.780772436787998</v>
      </c>
      <c r="AD385" s="9">
        <v>23672.853107344636</v>
      </c>
      <c r="AE385" s="8">
        <v>4.5267489711934158E-2</v>
      </c>
    </row>
    <row r="386" spans="1:31" x14ac:dyDescent="0.35">
      <c r="A386" s="6" t="s">
        <v>407</v>
      </c>
      <c r="B386" s="7">
        <v>3</v>
      </c>
      <c r="C386" s="7">
        <v>3</v>
      </c>
      <c r="D386" s="7">
        <v>8</v>
      </c>
      <c r="E386" s="7">
        <v>4</v>
      </c>
      <c r="F386">
        <v>2570</v>
      </c>
      <c r="G386">
        <v>321</v>
      </c>
      <c r="H386">
        <v>12.49</v>
      </c>
      <c r="I386">
        <v>142</v>
      </c>
      <c r="J386">
        <v>5.54</v>
      </c>
      <c r="K386">
        <v>12750</v>
      </c>
      <c r="L386">
        <v>6234</v>
      </c>
      <c r="M386">
        <v>6516</v>
      </c>
      <c r="N386">
        <v>4653.34</v>
      </c>
      <c r="O386">
        <v>2.13</v>
      </c>
      <c r="P386">
        <v>35.049999999999997</v>
      </c>
      <c r="Q386">
        <v>0.77</v>
      </c>
      <c r="R386">
        <v>1.94</v>
      </c>
      <c r="S386">
        <v>5193</v>
      </c>
      <c r="T386">
        <v>237103</v>
      </c>
      <c r="U386">
        <v>93736</v>
      </c>
      <c r="V386">
        <v>555</v>
      </c>
      <c r="W386">
        <v>15.07</v>
      </c>
      <c r="X386" s="10">
        <v>3.5485869828594779E-2</v>
      </c>
      <c r="Y386" s="9">
        <v>200500</v>
      </c>
      <c r="Z386" s="9">
        <v>157000</v>
      </c>
      <c r="AA386" s="9">
        <v>189500</v>
      </c>
      <c r="AB386">
        <v>0.74712643678160917</v>
      </c>
      <c r="AC386" s="11">
        <v>84.398444012225625</v>
      </c>
      <c r="AD386" s="9">
        <v>171467.51412429378</v>
      </c>
      <c r="AE386" s="8">
        <v>4.1208791208791208E-2</v>
      </c>
    </row>
    <row r="387" spans="1:31" x14ac:dyDescent="0.35">
      <c r="A387" s="6" t="s">
        <v>408</v>
      </c>
      <c r="B387" s="7">
        <v>3</v>
      </c>
      <c r="C387" s="7">
        <v>11</v>
      </c>
      <c r="D387" s="7">
        <v>2</v>
      </c>
      <c r="E387" s="7">
        <v>2</v>
      </c>
      <c r="F387">
        <v>615</v>
      </c>
      <c r="G387">
        <v>15</v>
      </c>
      <c r="H387">
        <v>2.5</v>
      </c>
      <c r="I387">
        <v>14</v>
      </c>
      <c r="J387">
        <v>2.3199999999999998</v>
      </c>
      <c r="K387">
        <v>341</v>
      </c>
      <c r="L387">
        <v>92</v>
      </c>
      <c r="M387">
        <v>249</v>
      </c>
      <c r="N387">
        <v>229.13</v>
      </c>
      <c r="O387">
        <v>5.93</v>
      </c>
      <c r="P387">
        <v>25.54</v>
      </c>
      <c r="Q387">
        <v>1.53</v>
      </c>
      <c r="R387">
        <v>0.59</v>
      </c>
      <c r="S387">
        <v>92</v>
      </c>
      <c r="T387">
        <v>1539</v>
      </c>
      <c r="U387">
        <v>3955</v>
      </c>
      <c r="V387">
        <v>19</v>
      </c>
      <c r="W387">
        <v>19.739999999999998</v>
      </c>
      <c r="X387" s="10">
        <v>0.9068357844503353</v>
      </c>
      <c r="Y387" s="9">
        <v>3090</v>
      </c>
      <c r="Z387" s="9">
        <v>2350</v>
      </c>
      <c r="AA387" s="9">
        <v>3045</v>
      </c>
      <c r="AB387">
        <v>0.93918918918918914</v>
      </c>
      <c r="AC387" s="11">
        <v>11.330369547096417</v>
      </c>
      <c r="AD387" s="9">
        <v>2402.7570621468926</v>
      </c>
      <c r="AE387" s="8">
        <v>0.2902542372881356</v>
      </c>
    </row>
    <row r="388" spans="1:31" x14ac:dyDescent="0.35">
      <c r="A388" s="6" t="s">
        <v>409</v>
      </c>
      <c r="B388" s="7">
        <v>5</v>
      </c>
      <c r="C388" s="7">
        <v>2</v>
      </c>
      <c r="D388" s="7">
        <v>11</v>
      </c>
      <c r="E388" s="7">
        <v>0</v>
      </c>
      <c r="F388">
        <v>1904</v>
      </c>
      <c r="G388">
        <v>110</v>
      </c>
      <c r="H388">
        <v>5.76</v>
      </c>
      <c r="I388">
        <v>91</v>
      </c>
      <c r="J388">
        <v>4.7699999999999996</v>
      </c>
      <c r="K388">
        <v>2673</v>
      </c>
      <c r="L388">
        <v>809</v>
      </c>
      <c r="M388">
        <v>1864</v>
      </c>
      <c r="N388">
        <v>843.5</v>
      </c>
      <c r="O388">
        <v>4.99</v>
      </c>
      <c r="P388">
        <v>18.28</v>
      </c>
      <c r="Q388">
        <v>0.93</v>
      </c>
      <c r="R388">
        <v>0.87</v>
      </c>
      <c r="S388">
        <v>233</v>
      </c>
      <c r="T388">
        <v>4564</v>
      </c>
      <c r="U388">
        <v>4886</v>
      </c>
      <c r="V388">
        <v>155</v>
      </c>
      <c r="W388">
        <v>14.44</v>
      </c>
      <c r="X388" s="10">
        <v>0.29504284061486286</v>
      </c>
      <c r="Y388" s="9">
        <v>5320</v>
      </c>
      <c r="Z388" s="9">
        <v>4235</v>
      </c>
      <c r="AA388" s="9">
        <v>5270</v>
      </c>
      <c r="AB388">
        <v>0.95391705069124422</v>
      </c>
      <c r="AC388" s="11">
        <v>7.0482078355098636</v>
      </c>
      <c r="AD388" s="9">
        <v>4412.2796610169489</v>
      </c>
      <c r="AE388" s="8">
        <v>0.24439197166469895</v>
      </c>
    </row>
    <row r="389" spans="1:31" x14ac:dyDescent="0.35">
      <c r="A389" s="6" t="s">
        <v>410</v>
      </c>
      <c r="B389" s="7">
        <v>7</v>
      </c>
      <c r="C389" s="7">
        <v>2</v>
      </c>
      <c r="D389" s="7">
        <v>7</v>
      </c>
      <c r="E389" s="7">
        <v>2</v>
      </c>
      <c r="F389">
        <v>205</v>
      </c>
      <c r="G389">
        <v>5</v>
      </c>
      <c r="H389">
        <v>2.59</v>
      </c>
      <c r="I389">
        <v>3</v>
      </c>
      <c r="J389">
        <v>1.43</v>
      </c>
      <c r="K389">
        <v>571</v>
      </c>
      <c r="L389">
        <v>38</v>
      </c>
      <c r="M389">
        <v>533</v>
      </c>
      <c r="N389">
        <v>627.82000000000005</v>
      </c>
      <c r="O389">
        <v>0.55000000000000004</v>
      </c>
      <c r="P389">
        <v>90.14</v>
      </c>
      <c r="Q389">
        <v>0.56999999999999995</v>
      </c>
      <c r="R389">
        <v>1.29</v>
      </c>
      <c r="S389">
        <v>213</v>
      </c>
      <c r="T389">
        <v>33873</v>
      </c>
      <c r="U389">
        <v>14936</v>
      </c>
      <c r="V389">
        <v>7</v>
      </c>
      <c r="W389">
        <v>42.03</v>
      </c>
      <c r="X389" s="10">
        <v>0.51053601076492805</v>
      </c>
      <c r="Y389" s="9">
        <v>24650</v>
      </c>
      <c r="Z389" s="9">
        <v>19200</v>
      </c>
      <c r="AA389" s="9">
        <v>22500</v>
      </c>
      <c r="AB389">
        <v>0.60550458715596334</v>
      </c>
      <c r="AC389" s="11">
        <v>59.090025006946384</v>
      </c>
      <c r="AD389" s="9">
        <v>19253.587570621468</v>
      </c>
      <c r="AE389" s="8">
        <v>0.171875</v>
      </c>
    </row>
    <row r="390" spans="1:31" x14ac:dyDescent="0.35">
      <c r="A390" s="6" t="s">
        <v>411</v>
      </c>
      <c r="B390" s="7">
        <v>8</v>
      </c>
      <c r="C390" s="7">
        <v>1</v>
      </c>
      <c r="D390" s="7">
        <v>8</v>
      </c>
      <c r="E390" s="7">
        <v>1</v>
      </c>
      <c r="F390">
        <v>5209</v>
      </c>
      <c r="G390">
        <v>226</v>
      </c>
      <c r="H390">
        <v>4.3499999999999996</v>
      </c>
      <c r="I390">
        <v>211</v>
      </c>
      <c r="J390">
        <v>4.0599999999999996</v>
      </c>
      <c r="K390">
        <v>4499</v>
      </c>
      <c r="L390">
        <v>3453</v>
      </c>
      <c r="M390">
        <v>1047</v>
      </c>
      <c r="N390">
        <v>1209.99</v>
      </c>
      <c r="O390">
        <v>21.94</v>
      </c>
      <c r="P390">
        <v>6.4</v>
      </c>
      <c r="Q390">
        <v>1.53</v>
      </c>
      <c r="R390">
        <v>0.26</v>
      </c>
      <c r="S390">
        <v>1384</v>
      </c>
      <c r="T390">
        <v>5776</v>
      </c>
      <c r="U390">
        <v>34086</v>
      </c>
      <c r="V390">
        <v>719</v>
      </c>
      <c r="W390">
        <v>5.2</v>
      </c>
      <c r="X390" s="10">
        <v>3.7006799511033107E-4</v>
      </c>
      <c r="Y390" s="9">
        <v>9300</v>
      </c>
      <c r="Z390" s="9">
        <v>7800</v>
      </c>
      <c r="AA390" s="9">
        <v>8310</v>
      </c>
      <c r="AB390">
        <v>0.34</v>
      </c>
      <c r="AC390" s="11">
        <v>-0.43956654626285058</v>
      </c>
      <c r="AD390" s="9">
        <v>8604.7401129943501</v>
      </c>
      <c r="AE390" s="8">
        <v>-5.568181818181818E-2</v>
      </c>
    </row>
    <row r="391" spans="1:31" x14ac:dyDescent="0.35">
      <c r="A391" s="6" t="s">
        <v>412</v>
      </c>
      <c r="B391" s="7">
        <v>1</v>
      </c>
      <c r="C391" s="7">
        <v>4</v>
      </c>
      <c r="D391" s="7">
        <v>0</v>
      </c>
      <c r="E391" s="7">
        <v>13</v>
      </c>
      <c r="F391">
        <v>10746</v>
      </c>
      <c r="G391">
        <v>-1108</v>
      </c>
      <c r="H391">
        <v>-10.31</v>
      </c>
      <c r="I391">
        <v>-1196</v>
      </c>
      <c r="J391">
        <v>-11.13</v>
      </c>
      <c r="K391">
        <v>9950</v>
      </c>
      <c r="L391">
        <v>7565</v>
      </c>
      <c r="M391">
        <v>2385</v>
      </c>
      <c r="N391">
        <v>440.77</v>
      </c>
      <c r="O391">
        <v>-39.840000000000003</v>
      </c>
      <c r="P391">
        <v>0</v>
      </c>
      <c r="Q391">
        <v>0.36</v>
      </c>
      <c r="R391">
        <v>0.08</v>
      </c>
      <c r="S391">
        <v>-13506</v>
      </c>
      <c r="T391">
        <v>26265</v>
      </c>
      <c r="U391">
        <v>121317</v>
      </c>
      <c r="V391">
        <v>-1077</v>
      </c>
      <c r="W391">
        <v>-3.16</v>
      </c>
      <c r="X391" s="10">
        <v>0.71963196103934424</v>
      </c>
      <c r="Y391" s="9">
        <v>12800</v>
      </c>
      <c r="Z391" s="9">
        <v>8730</v>
      </c>
      <c r="AA391" s="9">
        <v>12150</v>
      </c>
      <c r="AB391">
        <v>0.84029484029484025</v>
      </c>
      <c r="AC391" s="11">
        <v>56.022228396776889</v>
      </c>
      <c r="AD391" s="9">
        <v>8968.6553672316386</v>
      </c>
      <c r="AE391" s="8">
        <v>0.26959247648902823</v>
      </c>
    </row>
    <row r="392" spans="1:31" x14ac:dyDescent="0.35">
      <c r="A392" s="6" t="s">
        <v>413</v>
      </c>
      <c r="B392" s="7">
        <v>10</v>
      </c>
      <c r="C392" s="7">
        <v>1</v>
      </c>
      <c r="D392" s="7">
        <v>3</v>
      </c>
      <c r="E392" s="7">
        <v>4</v>
      </c>
      <c r="F392">
        <v>2717</v>
      </c>
      <c r="G392">
        <v>53</v>
      </c>
      <c r="H392">
        <v>1.93</v>
      </c>
      <c r="I392">
        <v>53</v>
      </c>
      <c r="J392">
        <v>1.94</v>
      </c>
      <c r="K392">
        <v>2022</v>
      </c>
      <c r="L392">
        <v>462</v>
      </c>
      <c r="M392">
        <v>1560</v>
      </c>
      <c r="N392">
        <v>817.49</v>
      </c>
      <c r="O392">
        <v>3.41</v>
      </c>
      <c r="P392">
        <v>26.52</v>
      </c>
      <c r="Q392">
        <v>0.9</v>
      </c>
      <c r="R392">
        <v>0.51</v>
      </c>
      <c r="S392">
        <v>155</v>
      </c>
      <c r="T392">
        <v>4553</v>
      </c>
      <c r="U392">
        <v>7992</v>
      </c>
      <c r="V392">
        <v>104</v>
      </c>
      <c r="W392">
        <v>13.25</v>
      </c>
      <c r="X392" s="10">
        <v>9.7353006658496555E-2</v>
      </c>
      <c r="Y392" s="9">
        <v>4300</v>
      </c>
      <c r="Z392" s="9">
        <v>3740</v>
      </c>
      <c r="AA392" s="9">
        <v>4160</v>
      </c>
      <c r="AB392">
        <v>0.75</v>
      </c>
      <c r="AC392" s="11">
        <v>-2.2438177271464297</v>
      </c>
      <c r="AD392" s="9">
        <v>4114.6864406779659</v>
      </c>
      <c r="AE392" s="8">
        <v>3.7406483790523692E-2</v>
      </c>
    </row>
    <row r="393" spans="1:31" x14ac:dyDescent="0.35">
      <c r="A393" s="6" t="s">
        <v>414</v>
      </c>
      <c r="B393" s="7">
        <v>0</v>
      </c>
      <c r="C393" s="7">
        <v>0</v>
      </c>
      <c r="D393" s="7">
        <v>0</v>
      </c>
      <c r="E393" s="7">
        <v>18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 s="10">
        <v>1.1568780424637346E-3</v>
      </c>
      <c r="Y393" s="9">
        <v>2555</v>
      </c>
      <c r="Z393" s="9">
        <v>2245</v>
      </c>
      <c r="AA393" s="9">
        <v>2275</v>
      </c>
      <c r="AB393">
        <v>9.6774193548387094E-2</v>
      </c>
      <c r="AC393" s="11">
        <v>0.13698249513753821</v>
      </c>
      <c r="AD393" s="9">
        <v>2350.1553672316386</v>
      </c>
      <c r="AE393" s="8">
        <v>-1.0869565217391304E-2</v>
      </c>
    </row>
    <row r="394" spans="1:31" x14ac:dyDescent="0.35">
      <c r="A394" s="6" t="s">
        <v>415</v>
      </c>
      <c r="B394" s="7">
        <v>1</v>
      </c>
      <c r="C394" s="7">
        <v>3</v>
      </c>
      <c r="D394" s="7">
        <v>5</v>
      </c>
      <c r="E394" s="7">
        <v>9</v>
      </c>
      <c r="F394">
        <v>6868</v>
      </c>
      <c r="G394">
        <v>165</v>
      </c>
      <c r="H394">
        <v>2.4</v>
      </c>
      <c r="I394">
        <v>-617</v>
      </c>
      <c r="J394">
        <v>-8.99</v>
      </c>
      <c r="K394">
        <v>7655</v>
      </c>
      <c r="L394">
        <v>7086</v>
      </c>
      <c r="M394">
        <v>569</v>
      </c>
      <c r="N394">
        <v>-43.03</v>
      </c>
      <c r="O394">
        <v>-70.12</v>
      </c>
      <c r="P394">
        <v>0</v>
      </c>
      <c r="Q394">
        <v>0.78</v>
      </c>
      <c r="R394">
        <v>0.06</v>
      </c>
      <c r="S394">
        <v>-3087</v>
      </c>
      <c r="T394">
        <v>2599</v>
      </c>
      <c r="U394">
        <v>34343</v>
      </c>
      <c r="V394">
        <v>169</v>
      </c>
      <c r="W394">
        <v>22.91</v>
      </c>
      <c r="X394" s="10">
        <v>0.82937222662389765</v>
      </c>
      <c r="Y394" s="9">
        <v>3990</v>
      </c>
      <c r="Z394" s="9">
        <v>1965</v>
      </c>
      <c r="AA394" s="9">
        <v>3310</v>
      </c>
      <c r="AB394">
        <v>0.66419753086419753</v>
      </c>
      <c r="AC394" s="11">
        <v>31.670186162823008</v>
      </c>
      <c r="AD394" s="9">
        <v>1798.0593220338983</v>
      </c>
      <c r="AE394" s="8">
        <v>0.56132075471698117</v>
      </c>
    </row>
    <row r="395" spans="1:31" x14ac:dyDescent="0.35">
      <c r="A395" s="6" t="s">
        <v>416</v>
      </c>
      <c r="B395" s="7">
        <v>2</v>
      </c>
      <c r="C395" s="7">
        <v>8</v>
      </c>
      <c r="D395" s="7">
        <v>1</v>
      </c>
      <c r="E395" s="7">
        <v>7</v>
      </c>
      <c r="F395">
        <v>230</v>
      </c>
      <c r="G395">
        <v>-29</v>
      </c>
      <c r="H395">
        <v>-12.44</v>
      </c>
      <c r="I395">
        <v>-43</v>
      </c>
      <c r="J395">
        <v>-18.55</v>
      </c>
      <c r="K395">
        <v>494</v>
      </c>
      <c r="L395">
        <v>400</v>
      </c>
      <c r="M395">
        <v>94</v>
      </c>
      <c r="N395">
        <v>132.94999999999999</v>
      </c>
      <c r="O395">
        <v>-49.42</v>
      </c>
      <c r="P395">
        <v>0</v>
      </c>
      <c r="Q395">
        <v>7.21</v>
      </c>
      <c r="R395">
        <v>0.82</v>
      </c>
      <c r="S395">
        <v>-707</v>
      </c>
      <c r="T395">
        <v>434</v>
      </c>
      <c r="U395">
        <v>3809</v>
      </c>
      <c r="V395">
        <v>-26</v>
      </c>
      <c r="W395">
        <v>-15.64</v>
      </c>
      <c r="X395" s="10">
        <v>0.83746185596011136</v>
      </c>
      <c r="Y395" s="9">
        <v>3125</v>
      </c>
      <c r="Z395" s="9">
        <v>1695</v>
      </c>
      <c r="AA395" s="9">
        <v>1820</v>
      </c>
      <c r="AB395">
        <v>8.7412587412587409E-2</v>
      </c>
      <c r="AC395" s="11">
        <v>-26.423034176160048</v>
      </c>
      <c r="AD395" s="9">
        <v>3177.8192090395478</v>
      </c>
      <c r="AE395" s="8">
        <v>-0.35802469135802467</v>
      </c>
    </row>
    <row r="396" spans="1:31" x14ac:dyDescent="0.35">
      <c r="A396" s="6" t="s">
        <v>417</v>
      </c>
      <c r="B396" s="7">
        <v>4</v>
      </c>
      <c r="C396" s="7">
        <v>9</v>
      </c>
      <c r="D396" s="7">
        <v>3</v>
      </c>
      <c r="E396" s="7">
        <v>2</v>
      </c>
      <c r="F396">
        <v>1807</v>
      </c>
      <c r="G396">
        <v>107</v>
      </c>
      <c r="H396">
        <v>5.91</v>
      </c>
      <c r="I396">
        <v>82</v>
      </c>
      <c r="J396">
        <v>4.54</v>
      </c>
      <c r="K396">
        <v>1480</v>
      </c>
      <c r="L396">
        <v>791</v>
      </c>
      <c r="M396">
        <v>689</v>
      </c>
      <c r="N396">
        <v>178.88</v>
      </c>
      <c r="O396">
        <v>12.57</v>
      </c>
      <c r="P396">
        <v>5.71</v>
      </c>
      <c r="Q396">
        <v>0.72</v>
      </c>
      <c r="R396">
        <v>0.26</v>
      </c>
      <c r="S396">
        <v>340</v>
      </c>
      <c r="T396">
        <v>2692</v>
      </c>
      <c r="U396">
        <v>7487</v>
      </c>
      <c r="V396">
        <v>119</v>
      </c>
      <c r="W396">
        <v>7.34</v>
      </c>
      <c r="X396" s="10">
        <v>0.3429285602243044</v>
      </c>
      <c r="Y396" s="9">
        <v>2455</v>
      </c>
      <c r="Z396" s="9">
        <v>1800</v>
      </c>
      <c r="AA396" s="9">
        <v>2225</v>
      </c>
      <c r="AB396">
        <v>0.64885496183206104</v>
      </c>
      <c r="AC396" s="11">
        <v>5.9770769658238398</v>
      </c>
      <c r="AD396" s="9">
        <v>2027.7824858757062</v>
      </c>
      <c r="AE396" s="8">
        <v>0.12373737373737374</v>
      </c>
    </row>
    <row r="397" spans="1:31" x14ac:dyDescent="0.35">
      <c r="A397" s="6" t="s">
        <v>418</v>
      </c>
      <c r="B397" s="7">
        <v>3</v>
      </c>
      <c r="C397" s="7">
        <v>6</v>
      </c>
      <c r="D397" s="7">
        <v>3</v>
      </c>
      <c r="E397" s="7">
        <v>6</v>
      </c>
      <c r="F397">
        <v>595</v>
      </c>
      <c r="G397">
        <v>8</v>
      </c>
      <c r="H397">
        <v>1.36</v>
      </c>
      <c r="I397">
        <v>5</v>
      </c>
      <c r="J397">
        <v>0.85</v>
      </c>
      <c r="K397">
        <v>213</v>
      </c>
      <c r="L397">
        <v>89</v>
      </c>
      <c r="M397">
        <v>124</v>
      </c>
      <c r="N397">
        <v>76.349999999999994</v>
      </c>
      <c r="O397">
        <v>5.4</v>
      </c>
      <c r="P397">
        <v>21.33</v>
      </c>
      <c r="Q397">
        <v>1.44</v>
      </c>
      <c r="R397">
        <v>0.18</v>
      </c>
      <c r="S397">
        <v>49</v>
      </c>
      <c r="T397">
        <v>724</v>
      </c>
      <c r="U397">
        <v>5760</v>
      </c>
      <c r="V397">
        <v>21</v>
      </c>
      <c r="W397">
        <v>7.12</v>
      </c>
      <c r="X397" s="10">
        <v>0.86683495800600185</v>
      </c>
      <c r="Y397" s="9">
        <v>3050</v>
      </c>
      <c r="Z397" s="9">
        <v>1370</v>
      </c>
      <c r="AA397" s="9">
        <v>2800</v>
      </c>
      <c r="AB397">
        <v>0.85119047619047616</v>
      </c>
      <c r="AC397" s="11">
        <v>29.082245068074464</v>
      </c>
      <c r="AD397" s="9">
        <v>1141.1581920903955</v>
      </c>
      <c r="AE397" s="8">
        <v>1.0437956204379562</v>
      </c>
    </row>
    <row r="398" spans="1:31" x14ac:dyDescent="0.35">
      <c r="A398" s="6" t="s">
        <v>419</v>
      </c>
      <c r="B398" s="7">
        <v>5</v>
      </c>
      <c r="C398" s="7">
        <v>7</v>
      </c>
      <c r="D398" s="7">
        <v>0</v>
      </c>
      <c r="E398" s="7">
        <v>6</v>
      </c>
      <c r="F398">
        <v>42149</v>
      </c>
      <c r="G398">
        <v>6341</v>
      </c>
      <c r="H398">
        <v>15.04</v>
      </c>
      <c r="I398">
        <v>4624</v>
      </c>
      <c r="J398">
        <v>10.97</v>
      </c>
      <c r="K398">
        <v>51382</v>
      </c>
      <c r="L398">
        <v>5656</v>
      </c>
      <c r="M398">
        <v>45725</v>
      </c>
      <c r="N398">
        <v>4787.1499999999996</v>
      </c>
      <c r="O398">
        <v>10.57</v>
      </c>
      <c r="P398">
        <v>15.42</v>
      </c>
      <c r="Q398">
        <v>1.67</v>
      </c>
      <c r="R398">
        <v>1.69</v>
      </c>
      <c r="S398">
        <v>26165</v>
      </c>
      <c r="T398">
        <v>241263</v>
      </c>
      <c r="U398">
        <v>238477</v>
      </c>
      <c r="V398">
        <v>7570</v>
      </c>
      <c r="W398">
        <v>10.06</v>
      </c>
      <c r="X398" s="10">
        <v>5.2039626214179666E-2</v>
      </c>
      <c r="Y398" s="9">
        <v>446500</v>
      </c>
      <c r="Z398" s="9">
        <v>382000</v>
      </c>
      <c r="AA398" s="9">
        <v>432000</v>
      </c>
      <c r="AB398">
        <v>0.77519379844961245</v>
      </c>
      <c r="AC398" s="11">
        <v>-187.55209780494582</v>
      </c>
      <c r="AD398" s="9">
        <v>422803.67231638415</v>
      </c>
      <c r="AE398" s="8">
        <v>5.623471882640587E-2</v>
      </c>
    </row>
    <row r="399" spans="1:31" x14ac:dyDescent="0.35">
      <c r="A399" s="6" t="s">
        <v>420</v>
      </c>
      <c r="B399" s="7">
        <v>8</v>
      </c>
      <c r="C399" s="7">
        <v>5</v>
      </c>
      <c r="D399" s="7">
        <v>1</v>
      </c>
      <c r="E399" s="7">
        <v>4</v>
      </c>
      <c r="F399">
        <v>5572</v>
      </c>
      <c r="G399">
        <v>351</v>
      </c>
      <c r="H399">
        <v>6.3</v>
      </c>
      <c r="I399">
        <v>139</v>
      </c>
      <c r="J399">
        <v>2.5</v>
      </c>
      <c r="K399">
        <v>14073</v>
      </c>
      <c r="L399">
        <v>3867</v>
      </c>
      <c r="M399">
        <v>10206</v>
      </c>
      <c r="N399">
        <v>6704.55</v>
      </c>
      <c r="O399">
        <v>1.37</v>
      </c>
      <c r="P399">
        <v>45.48</v>
      </c>
      <c r="Q399">
        <v>0.62</v>
      </c>
      <c r="R399">
        <v>1.1399999999999999</v>
      </c>
      <c r="S399">
        <v>929</v>
      </c>
      <c r="T399">
        <v>67675</v>
      </c>
      <c r="U399">
        <v>37153</v>
      </c>
      <c r="V399">
        <v>690</v>
      </c>
      <c r="W399">
        <v>11.85</v>
      </c>
      <c r="X399" s="10">
        <v>0.80839036158911626</v>
      </c>
      <c r="Y399" s="9">
        <v>49600</v>
      </c>
      <c r="Z399" s="9">
        <v>39800</v>
      </c>
      <c r="AA399" s="9">
        <v>49600</v>
      </c>
      <c r="AB399">
        <v>1</v>
      </c>
      <c r="AC399" s="11">
        <v>166.25451514309532</v>
      </c>
      <c r="AD399" s="9">
        <v>39007.570621468927</v>
      </c>
      <c r="AE399" s="8">
        <v>0.16159250585480095</v>
      </c>
    </row>
    <row r="400" spans="1:31" x14ac:dyDescent="0.35">
      <c r="A400" s="6" t="s">
        <v>421</v>
      </c>
      <c r="B400" s="7">
        <v>3</v>
      </c>
      <c r="C400" s="7">
        <v>10</v>
      </c>
      <c r="D400" s="7">
        <v>2</v>
      </c>
      <c r="E400" s="7">
        <v>3</v>
      </c>
      <c r="F400">
        <v>337</v>
      </c>
      <c r="G400">
        <v>18</v>
      </c>
      <c r="H400">
        <v>5.32</v>
      </c>
      <c r="I400">
        <v>15</v>
      </c>
      <c r="J400">
        <v>4.47</v>
      </c>
      <c r="K400">
        <v>628</v>
      </c>
      <c r="L400">
        <v>146</v>
      </c>
      <c r="M400">
        <v>482</v>
      </c>
      <c r="N400">
        <v>780.31</v>
      </c>
      <c r="O400">
        <v>4.2</v>
      </c>
      <c r="P400">
        <v>23.83</v>
      </c>
      <c r="Q400">
        <v>1</v>
      </c>
      <c r="R400">
        <v>1.06</v>
      </c>
      <c r="S400">
        <v>183</v>
      </c>
      <c r="T400">
        <v>4361</v>
      </c>
      <c r="U400">
        <v>4105</v>
      </c>
      <c r="V400">
        <v>33</v>
      </c>
      <c r="W400">
        <v>15.56</v>
      </c>
      <c r="X400" s="10">
        <v>0.74645337941842471</v>
      </c>
      <c r="Y400" s="9">
        <v>4820</v>
      </c>
      <c r="Z400" s="9">
        <v>4010</v>
      </c>
      <c r="AA400" s="9">
        <v>4595</v>
      </c>
      <c r="AB400">
        <v>0.72222222222222221</v>
      </c>
      <c r="AC400" s="11">
        <v>11.01333703806613</v>
      </c>
      <c r="AD400" s="9">
        <v>4082.593220338983</v>
      </c>
      <c r="AE400" s="8">
        <v>0.14588528678304238</v>
      </c>
    </row>
    <row r="401" spans="1:31" x14ac:dyDescent="0.35">
      <c r="A401" s="6" t="s">
        <v>422</v>
      </c>
      <c r="B401" s="7">
        <v>1</v>
      </c>
      <c r="C401" s="7">
        <v>5</v>
      </c>
      <c r="D401" s="7">
        <v>5</v>
      </c>
      <c r="E401" s="7">
        <v>7</v>
      </c>
      <c r="F401">
        <v>89</v>
      </c>
      <c r="G401">
        <v>-12</v>
      </c>
      <c r="H401">
        <v>-13.96</v>
      </c>
      <c r="I401">
        <v>-95</v>
      </c>
      <c r="J401">
        <v>-106.4</v>
      </c>
      <c r="K401">
        <v>319</v>
      </c>
      <c r="L401">
        <v>51</v>
      </c>
      <c r="M401">
        <v>268</v>
      </c>
      <c r="N401">
        <v>80.260000000000005</v>
      </c>
      <c r="O401">
        <v>-32.57</v>
      </c>
      <c r="P401">
        <v>0</v>
      </c>
      <c r="Q401">
        <v>0.97</v>
      </c>
      <c r="R401">
        <v>2.73</v>
      </c>
      <c r="S401">
        <v>-335</v>
      </c>
      <c r="T401">
        <v>888</v>
      </c>
      <c r="U401">
        <v>315</v>
      </c>
      <c r="V401">
        <v>-12</v>
      </c>
      <c r="W401">
        <v>-21.19</v>
      </c>
      <c r="X401" s="10">
        <v>0.76849254855680404</v>
      </c>
      <c r="Y401" s="9">
        <v>2760</v>
      </c>
      <c r="Z401" s="9">
        <v>860</v>
      </c>
      <c r="AA401" s="9">
        <v>1855</v>
      </c>
      <c r="AB401">
        <v>0.52368421052631575</v>
      </c>
      <c r="AC401" s="11">
        <v>25.724979160878018</v>
      </c>
      <c r="AD401" s="9">
        <v>1135.9881355932202</v>
      </c>
      <c r="AE401" s="8">
        <v>1.1445086705202312</v>
      </c>
    </row>
    <row r="402" spans="1:31" x14ac:dyDescent="0.35">
      <c r="A402" s="6" t="s">
        <v>423</v>
      </c>
      <c r="B402" s="7">
        <v>6</v>
      </c>
      <c r="C402" s="7">
        <v>9</v>
      </c>
      <c r="D402" s="7">
        <v>3</v>
      </c>
      <c r="E402" s="7">
        <v>0</v>
      </c>
      <c r="F402">
        <v>1355</v>
      </c>
      <c r="G402">
        <v>277</v>
      </c>
      <c r="H402">
        <v>20.46</v>
      </c>
      <c r="I402">
        <v>228</v>
      </c>
      <c r="J402">
        <v>16.8</v>
      </c>
      <c r="K402">
        <v>1419</v>
      </c>
      <c r="L402">
        <v>235</v>
      </c>
      <c r="M402">
        <v>1183</v>
      </c>
      <c r="N402">
        <v>1710.55</v>
      </c>
      <c r="O402">
        <v>20.86</v>
      </c>
      <c r="P402">
        <v>25.09</v>
      </c>
      <c r="Q402">
        <v>5.13</v>
      </c>
      <c r="R402">
        <v>4.22</v>
      </c>
      <c r="S402">
        <v>1706</v>
      </c>
      <c r="T402">
        <v>8346</v>
      </c>
      <c r="U402">
        <v>10151</v>
      </c>
      <c r="V402">
        <v>306</v>
      </c>
      <c r="W402">
        <v>18.77</v>
      </c>
      <c r="X402" s="10">
        <v>0.10305811579677228</v>
      </c>
      <c r="Y402" s="9">
        <v>47950</v>
      </c>
      <c r="Z402" s="9">
        <v>41600</v>
      </c>
      <c r="AA402" s="9">
        <v>44600</v>
      </c>
      <c r="AB402">
        <v>0.47244094488188976</v>
      </c>
      <c r="AC402" s="11">
        <v>23.364823562100586</v>
      </c>
      <c r="AD402" s="9">
        <v>44630.706214689271</v>
      </c>
      <c r="AE402" s="8">
        <v>3.121387283236994E-2</v>
      </c>
    </row>
    <row r="403" spans="1:31" x14ac:dyDescent="0.35">
      <c r="A403" s="6" t="s">
        <v>424</v>
      </c>
      <c r="B403" s="7">
        <v>0</v>
      </c>
      <c r="C403" s="7">
        <v>5</v>
      </c>
      <c r="D403" s="7">
        <v>0</v>
      </c>
      <c r="E403" s="7">
        <v>13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11</v>
      </c>
      <c r="L403">
        <v>6</v>
      </c>
      <c r="M403">
        <v>5</v>
      </c>
      <c r="N403">
        <v>1072.1400000000001</v>
      </c>
      <c r="O403">
        <v>-2.76</v>
      </c>
      <c r="P403">
        <v>0</v>
      </c>
      <c r="Q403">
        <v>0</v>
      </c>
      <c r="R403">
        <v>0</v>
      </c>
      <c r="S403">
        <v>-32</v>
      </c>
      <c r="T403">
        <v>1172</v>
      </c>
      <c r="U403">
        <v>0</v>
      </c>
      <c r="V403">
        <v>0</v>
      </c>
      <c r="W403">
        <v>0</v>
      </c>
      <c r="X403" s="10">
        <v>5.9277403207281372E-2</v>
      </c>
      <c r="Y403" s="9">
        <v>2295</v>
      </c>
      <c r="Z403" s="9">
        <v>2130</v>
      </c>
      <c r="AA403" s="9">
        <v>2190</v>
      </c>
      <c r="AB403">
        <v>0.36363636363636365</v>
      </c>
      <c r="AC403" s="11">
        <v>1.080977845683728</v>
      </c>
      <c r="AD403" s="9">
        <v>2155.183346065699</v>
      </c>
      <c r="AE403" s="8">
        <v>0</v>
      </c>
    </row>
    <row r="404" spans="1:31" x14ac:dyDescent="0.35">
      <c r="A404" s="6" t="s">
        <v>425</v>
      </c>
      <c r="B404" s="7">
        <v>3</v>
      </c>
      <c r="C404" s="7">
        <v>8</v>
      </c>
      <c r="D404" s="7">
        <v>2</v>
      </c>
      <c r="E404" s="7">
        <v>5</v>
      </c>
      <c r="F404">
        <v>668</v>
      </c>
      <c r="G404">
        <v>-2</v>
      </c>
      <c r="H404">
        <v>-0.25</v>
      </c>
      <c r="I404">
        <v>-11</v>
      </c>
      <c r="J404">
        <v>-1.71</v>
      </c>
      <c r="K404">
        <v>10295</v>
      </c>
      <c r="L404">
        <v>8887</v>
      </c>
      <c r="M404">
        <v>1409</v>
      </c>
      <c r="N404">
        <v>121.85</v>
      </c>
      <c r="O404">
        <v>-1.06</v>
      </c>
      <c r="P404">
        <v>0</v>
      </c>
      <c r="Q404">
        <v>0.31</v>
      </c>
      <c r="R404">
        <v>0.47</v>
      </c>
      <c r="S404">
        <v>-24</v>
      </c>
      <c r="T404">
        <v>2164</v>
      </c>
      <c r="U404">
        <v>1443</v>
      </c>
      <c r="V404">
        <v>-2</v>
      </c>
      <c r="W404">
        <v>-190.3</v>
      </c>
      <c r="X404" s="10">
        <v>0.53193483314654488</v>
      </c>
      <c r="Y404" s="9">
        <v>1320</v>
      </c>
      <c r="Z404" s="9">
        <v>815</v>
      </c>
      <c r="AA404" s="9">
        <v>1155</v>
      </c>
      <c r="AB404">
        <v>0.67326732673267331</v>
      </c>
      <c r="AC404" s="11">
        <v>6.7392609058071695</v>
      </c>
      <c r="AD404" s="9">
        <v>839.61920903954808</v>
      </c>
      <c r="AE404" s="8">
        <v>0.3065610859728507</v>
      </c>
    </row>
    <row r="405" spans="1:31" x14ac:dyDescent="0.35">
      <c r="A405" s="6" t="s">
        <v>426</v>
      </c>
      <c r="B405" s="7">
        <v>3</v>
      </c>
      <c r="C405" s="7">
        <v>10</v>
      </c>
      <c r="D405" s="7">
        <v>4</v>
      </c>
      <c r="E405" s="7">
        <v>1</v>
      </c>
      <c r="F405">
        <v>3067</v>
      </c>
      <c r="G405">
        <v>919</v>
      </c>
      <c r="H405">
        <v>29.98</v>
      </c>
      <c r="I405">
        <v>558</v>
      </c>
      <c r="J405">
        <v>18.2</v>
      </c>
      <c r="K405">
        <v>5765</v>
      </c>
      <c r="L405">
        <v>1105</v>
      </c>
      <c r="M405">
        <v>4660</v>
      </c>
      <c r="N405">
        <v>2444.41</v>
      </c>
      <c r="O405">
        <v>16.66</v>
      </c>
      <c r="P405">
        <v>12.84</v>
      </c>
      <c r="Q405">
        <v>2.14</v>
      </c>
      <c r="R405">
        <v>2.34</v>
      </c>
      <c r="S405">
        <v>2025</v>
      </c>
      <c r="T405">
        <v>12153</v>
      </c>
      <c r="U405">
        <v>11125</v>
      </c>
      <c r="V405">
        <v>1321</v>
      </c>
      <c r="W405">
        <v>7.25</v>
      </c>
      <c r="X405" s="10">
        <v>0.75446761586130062</v>
      </c>
      <c r="Y405" s="9">
        <v>29900</v>
      </c>
      <c r="Z405" s="9">
        <v>24250</v>
      </c>
      <c r="AA405" s="9">
        <v>29900</v>
      </c>
      <c r="AB405">
        <v>1</v>
      </c>
      <c r="AC405" s="11">
        <v>101.68380105584886</v>
      </c>
      <c r="AD405" s="9">
        <v>24455.310734463277</v>
      </c>
      <c r="AE405" s="8">
        <v>0.16116504854368932</v>
      </c>
    </row>
    <row r="406" spans="1:31" x14ac:dyDescent="0.35">
      <c r="A406" s="6" t="s">
        <v>427</v>
      </c>
      <c r="B406" s="7">
        <v>9</v>
      </c>
      <c r="C406" s="7">
        <v>7</v>
      </c>
      <c r="D406" s="7">
        <v>2</v>
      </c>
      <c r="E406" s="7">
        <v>0</v>
      </c>
      <c r="F406">
        <v>5210</v>
      </c>
      <c r="G406">
        <v>505</v>
      </c>
      <c r="H406">
        <v>9.69</v>
      </c>
      <c r="I406">
        <v>345</v>
      </c>
      <c r="J406">
        <v>6.62</v>
      </c>
      <c r="K406">
        <v>4319</v>
      </c>
      <c r="L406">
        <v>1246</v>
      </c>
      <c r="M406">
        <v>3074</v>
      </c>
      <c r="N406">
        <v>576.92999999999995</v>
      </c>
      <c r="O406">
        <v>11.65</v>
      </c>
      <c r="P406">
        <v>12.28</v>
      </c>
      <c r="Q406">
        <v>1.79</v>
      </c>
      <c r="R406">
        <v>0.81</v>
      </c>
      <c r="S406">
        <v>855</v>
      </c>
      <c r="T406">
        <v>5862</v>
      </c>
      <c r="U406">
        <v>12922</v>
      </c>
      <c r="V406">
        <v>573</v>
      </c>
      <c r="W406">
        <v>9.6</v>
      </c>
      <c r="X406" s="10">
        <v>0.87699181011057614</v>
      </c>
      <c r="Y406" s="9">
        <v>14350</v>
      </c>
      <c r="Z406" s="9">
        <v>10200</v>
      </c>
      <c r="AA406" s="9">
        <v>14100</v>
      </c>
      <c r="AB406">
        <v>0.93975903614457834</v>
      </c>
      <c r="AC406" s="11">
        <v>75.801611558766339</v>
      </c>
      <c r="AD406" s="9">
        <v>9506.3841807909612</v>
      </c>
      <c r="AE406" s="8">
        <v>0.33649289099526064</v>
      </c>
    </row>
    <row r="407" spans="1:31" x14ac:dyDescent="0.35">
      <c r="A407" s="6" t="s">
        <v>428</v>
      </c>
      <c r="B407" s="7">
        <v>6</v>
      </c>
      <c r="C407" s="7">
        <v>1</v>
      </c>
      <c r="D407" s="7">
        <v>8</v>
      </c>
      <c r="E407" s="7">
        <v>3</v>
      </c>
      <c r="F407">
        <v>926</v>
      </c>
      <c r="G407">
        <v>19</v>
      </c>
      <c r="H407">
        <v>2.06</v>
      </c>
      <c r="I407">
        <v>11</v>
      </c>
      <c r="J407">
        <v>1.23</v>
      </c>
      <c r="K407">
        <v>1203</v>
      </c>
      <c r="L407">
        <v>540</v>
      </c>
      <c r="M407">
        <v>663</v>
      </c>
      <c r="N407">
        <v>246.94</v>
      </c>
      <c r="O407">
        <v>1.74</v>
      </c>
      <c r="P407">
        <v>12.58</v>
      </c>
      <c r="Q407">
        <v>0.44</v>
      </c>
      <c r="R407">
        <v>0.31</v>
      </c>
      <c r="S407">
        <v>120</v>
      </c>
      <c r="T407">
        <v>3423</v>
      </c>
      <c r="U407">
        <v>4855</v>
      </c>
      <c r="V407">
        <v>27</v>
      </c>
      <c r="W407">
        <v>18.059999999999999</v>
      </c>
      <c r="X407" s="10">
        <v>0.87150520673973797</v>
      </c>
      <c r="Y407" s="9">
        <v>1960</v>
      </c>
      <c r="Z407" s="9">
        <v>1505</v>
      </c>
      <c r="AA407" s="9">
        <v>1920</v>
      </c>
      <c r="AB407">
        <v>0.91208791208791207</v>
      </c>
      <c r="AC407" s="11">
        <v>7.2789663795498747</v>
      </c>
      <c r="AD407" s="9">
        <v>1500.9915254237289</v>
      </c>
      <c r="AE407" s="8">
        <v>0.25490196078431371</v>
      </c>
    </row>
    <row r="408" spans="1:31" x14ac:dyDescent="0.35">
      <c r="A408" s="6" t="s">
        <v>429</v>
      </c>
      <c r="B408" s="7">
        <v>12</v>
      </c>
      <c r="C408" s="7">
        <v>2</v>
      </c>
      <c r="D408" s="7">
        <v>2</v>
      </c>
      <c r="E408" s="7">
        <v>2</v>
      </c>
      <c r="F408">
        <v>1158</v>
      </c>
      <c r="G408">
        <v>103</v>
      </c>
      <c r="H408">
        <v>8.8699999999999992</v>
      </c>
      <c r="I408">
        <v>70</v>
      </c>
      <c r="J408">
        <v>6.03</v>
      </c>
      <c r="K408">
        <v>1198</v>
      </c>
      <c r="L408">
        <v>523</v>
      </c>
      <c r="M408">
        <v>675</v>
      </c>
      <c r="N408">
        <v>211.69</v>
      </c>
      <c r="O408">
        <v>10.88</v>
      </c>
      <c r="P408">
        <v>14.25</v>
      </c>
      <c r="Q408">
        <v>1.55</v>
      </c>
      <c r="R408">
        <v>0.86</v>
      </c>
      <c r="S408">
        <v>161</v>
      </c>
      <c r="T408">
        <v>1483</v>
      </c>
      <c r="U408">
        <v>2672</v>
      </c>
      <c r="V408">
        <v>116</v>
      </c>
      <c r="W408">
        <v>8.5500000000000007</v>
      </c>
      <c r="X408" s="10">
        <v>0.34017316006555087</v>
      </c>
      <c r="Y408" s="9">
        <v>2500</v>
      </c>
      <c r="Z408" s="9">
        <v>2260</v>
      </c>
      <c r="AA408" s="9">
        <v>2450</v>
      </c>
      <c r="AB408">
        <v>0.79166666666666663</v>
      </c>
      <c r="AC408" s="11">
        <v>1.5834954153931649</v>
      </c>
      <c r="AD408" s="9">
        <v>2326.370056497175</v>
      </c>
      <c r="AE408" s="8">
        <v>8.4070796460176997E-2</v>
      </c>
    </row>
    <row r="409" spans="1:31" x14ac:dyDescent="0.35">
      <c r="A409" s="6" t="s">
        <v>430</v>
      </c>
      <c r="B409" s="7">
        <v>3</v>
      </c>
      <c r="C409" s="7">
        <v>3</v>
      </c>
      <c r="D409" s="7">
        <v>6</v>
      </c>
      <c r="E409" s="7">
        <v>6</v>
      </c>
      <c r="F409">
        <v>1698</v>
      </c>
      <c r="G409">
        <v>-99</v>
      </c>
      <c r="H409">
        <v>-5.85</v>
      </c>
      <c r="I409">
        <v>-86</v>
      </c>
      <c r="J409">
        <v>-5.08</v>
      </c>
      <c r="K409">
        <v>2539</v>
      </c>
      <c r="L409">
        <v>337</v>
      </c>
      <c r="M409">
        <v>2202</v>
      </c>
      <c r="N409">
        <v>663.37</v>
      </c>
      <c r="O409">
        <v>-4</v>
      </c>
      <c r="P409">
        <v>0</v>
      </c>
      <c r="Q409">
        <v>0.43</v>
      </c>
      <c r="R409">
        <v>0.53</v>
      </c>
      <c r="S409">
        <v>-156</v>
      </c>
      <c r="T409">
        <v>3789</v>
      </c>
      <c r="U409">
        <v>3065</v>
      </c>
      <c r="V409">
        <v>70</v>
      </c>
      <c r="W409">
        <v>13.5</v>
      </c>
      <c r="X409" s="10">
        <v>0.81394454239597602</v>
      </c>
      <c r="Y409" s="9">
        <v>3075</v>
      </c>
      <c r="Z409" s="9">
        <v>1590</v>
      </c>
      <c r="AA409" s="9">
        <v>2970</v>
      </c>
      <c r="AB409">
        <v>0.92929292929292928</v>
      </c>
      <c r="AC409" s="11">
        <v>22.144206724090029</v>
      </c>
      <c r="AD409" s="9">
        <v>1386.4350282485875</v>
      </c>
      <c r="AE409" s="8">
        <v>0.82208588957055218</v>
      </c>
    </row>
    <row r="410" spans="1:31" x14ac:dyDescent="0.35">
      <c r="A410" s="6" t="s">
        <v>431</v>
      </c>
      <c r="B410" s="7">
        <v>6</v>
      </c>
      <c r="C410" s="7">
        <v>1</v>
      </c>
      <c r="D410" s="7">
        <v>2</v>
      </c>
      <c r="E410" s="7">
        <v>9</v>
      </c>
      <c r="F410">
        <v>2048</v>
      </c>
      <c r="G410">
        <v>518</v>
      </c>
      <c r="H410">
        <v>25.31</v>
      </c>
      <c r="I410">
        <v>422</v>
      </c>
      <c r="J410">
        <v>20.62</v>
      </c>
      <c r="K410">
        <v>6528</v>
      </c>
      <c r="L410">
        <v>2041</v>
      </c>
      <c r="M410">
        <v>4486</v>
      </c>
      <c r="N410">
        <v>5507.81</v>
      </c>
      <c r="O410">
        <v>9.85</v>
      </c>
      <c r="P410">
        <v>11.63</v>
      </c>
      <c r="Q410">
        <v>1.1000000000000001</v>
      </c>
      <c r="R410">
        <v>2.4</v>
      </c>
      <c r="S410">
        <v>26397</v>
      </c>
      <c r="T410">
        <v>279912</v>
      </c>
      <c r="U410">
        <v>128013</v>
      </c>
      <c r="V410">
        <v>579</v>
      </c>
      <c r="W410">
        <v>10.79</v>
      </c>
      <c r="X410" s="10">
        <v>0.35914261139110587</v>
      </c>
      <c r="Y410" s="9">
        <v>326000</v>
      </c>
      <c r="Z410" s="9">
        <v>290000</v>
      </c>
      <c r="AA410" s="9">
        <v>301500</v>
      </c>
      <c r="AB410">
        <v>0.31944444444444442</v>
      </c>
      <c r="AC410" s="11">
        <v>-219.82495137538206</v>
      </c>
      <c r="AD410" s="9">
        <v>312696.32768361585</v>
      </c>
      <c r="AE410" s="8">
        <v>-4.9504950495049506E-3</v>
      </c>
    </row>
    <row r="411" spans="1:31" x14ac:dyDescent="0.35">
      <c r="A411" s="6" t="s">
        <v>432</v>
      </c>
      <c r="B411" s="7">
        <v>0</v>
      </c>
      <c r="C411" s="7">
        <v>14</v>
      </c>
      <c r="D411" s="7">
        <v>0</v>
      </c>
      <c r="E411" s="7">
        <v>4</v>
      </c>
      <c r="F411">
        <v>3534</v>
      </c>
      <c r="G411">
        <v>76</v>
      </c>
      <c r="H411">
        <v>2.15</v>
      </c>
      <c r="I411">
        <v>21</v>
      </c>
      <c r="J411">
        <v>0.6</v>
      </c>
      <c r="K411">
        <v>171398</v>
      </c>
      <c r="L411">
        <v>157967</v>
      </c>
      <c r="M411">
        <v>13430</v>
      </c>
      <c r="N411">
        <v>423.55</v>
      </c>
      <c r="O411">
        <v>0.16</v>
      </c>
      <c r="P411">
        <v>1926</v>
      </c>
      <c r="Q411">
        <v>0.38</v>
      </c>
      <c r="R411">
        <v>1.4</v>
      </c>
      <c r="S411">
        <v>5</v>
      </c>
      <c r="T411">
        <v>25318</v>
      </c>
      <c r="U411">
        <v>6890</v>
      </c>
      <c r="V411">
        <v>0</v>
      </c>
      <c r="W411">
        <v>0</v>
      </c>
      <c r="X411" s="10">
        <v>0.52555169708744665</v>
      </c>
      <c r="Y411" s="9">
        <v>9760</v>
      </c>
      <c r="Z411" s="9">
        <v>8130</v>
      </c>
      <c r="AA411" s="9">
        <v>8130</v>
      </c>
      <c r="AB411">
        <v>0</v>
      </c>
      <c r="AC411" s="11">
        <v>-14.152820227841069</v>
      </c>
      <c r="AD411" s="9">
        <v>9485.3276836158184</v>
      </c>
      <c r="AE411" s="8">
        <v>-0.16700819672131148</v>
      </c>
    </row>
    <row r="412" spans="1:31" x14ac:dyDescent="0.35">
      <c r="A412" s="6" t="s">
        <v>433</v>
      </c>
      <c r="B412" s="7">
        <v>1</v>
      </c>
      <c r="C412" s="7">
        <v>10</v>
      </c>
      <c r="D412" s="7">
        <v>1</v>
      </c>
      <c r="E412" s="7">
        <v>6</v>
      </c>
      <c r="F412">
        <v>355</v>
      </c>
      <c r="G412">
        <v>3</v>
      </c>
      <c r="H412">
        <v>0.94</v>
      </c>
      <c r="I412">
        <v>2</v>
      </c>
      <c r="J412">
        <v>0.5</v>
      </c>
      <c r="K412">
        <v>435</v>
      </c>
      <c r="L412">
        <v>153</v>
      </c>
      <c r="M412">
        <v>281</v>
      </c>
      <c r="N412">
        <v>796.66</v>
      </c>
      <c r="O412">
        <v>0.84</v>
      </c>
      <c r="P412">
        <v>67.3</v>
      </c>
      <c r="Q412">
        <v>0.56999999999999995</v>
      </c>
      <c r="R412">
        <v>0.33</v>
      </c>
      <c r="S412">
        <v>37</v>
      </c>
      <c r="T412">
        <v>4338</v>
      </c>
      <c r="U412">
        <v>7569</v>
      </c>
      <c r="V412">
        <v>25</v>
      </c>
      <c r="W412">
        <v>9.31</v>
      </c>
      <c r="X412" s="10">
        <v>0.53644157117733204</v>
      </c>
      <c r="Y412" s="9">
        <v>5170</v>
      </c>
      <c r="Z412" s="9">
        <v>2250</v>
      </c>
      <c r="AA412" s="9">
        <v>3375</v>
      </c>
      <c r="AB412">
        <v>0.38527397260273971</v>
      </c>
      <c r="AC412" s="11">
        <v>31.590441789385942</v>
      </c>
      <c r="AD412" s="9">
        <v>1878.4915254237289</v>
      </c>
      <c r="AE412" s="8">
        <v>0.46420824295010849</v>
      </c>
    </row>
    <row r="413" spans="1:31" x14ac:dyDescent="0.35">
      <c r="A413" s="6" t="s">
        <v>434</v>
      </c>
      <c r="B413" s="7">
        <v>1</v>
      </c>
      <c r="C413" s="7">
        <v>2</v>
      </c>
      <c r="D413" s="7">
        <v>7</v>
      </c>
      <c r="E413" s="7">
        <v>8</v>
      </c>
      <c r="F413">
        <v>815</v>
      </c>
      <c r="G413">
        <v>12</v>
      </c>
      <c r="H413">
        <v>1.45</v>
      </c>
      <c r="I413">
        <v>-2</v>
      </c>
      <c r="J413">
        <v>-0.28999999999999998</v>
      </c>
      <c r="K413">
        <v>979</v>
      </c>
      <c r="L413">
        <v>610</v>
      </c>
      <c r="M413">
        <v>369</v>
      </c>
      <c r="N413">
        <v>697.08</v>
      </c>
      <c r="O413">
        <v>-0.64</v>
      </c>
      <c r="P413">
        <v>0</v>
      </c>
      <c r="Q413">
        <v>0.59</v>
      </c>
      <c r="R413">
        <v>0.24</v>
      </c>
      <c r="S413">
        <v>-27</v>
      </c>
      <c r="T413">
        <v>3652</v>
      </c>
      <c r="U413">
        <v>9001</v>
      </c>
      <c r="V413">
        <v>27</v>
      </c>
      <c r="W413">
        <v>15.26</v>
      </c>
      <c r="X413" s="10">
        <v>0.55946265282161312</v>
      </c>
      <c r="Y413" s="9">
        <v>2990</v>
      </c>
      <c r="Z413" s="9">
        <v>2150</v>
      </c>
      <c r="AA413" s="9">
        <v>2380</v>
      </c>
      <c r="AB413">
        <v>0.27380952380952384</v>
      </c>
      <c r="AC413" s="11">
        <v>7.3046679633231451</v>
      </c>
      <c r="AD413" s="9">
        <v>2086.1242937853108</v>
      </c>
      <c r="AE413" s="8">
        <v>0.10697674418604651</v>
      </c>
    </row>
    <row r="414" spans="1:31" x14ac:dyDescent="0.35">
      <c r="A414" s="6" t="s">
        <v>435</v>
      </c>
      <c r="B414" s="7">
        <v>2</v>
      </c>
      <c r="C414" s="7">
        <v>12</v>
      </c>
      <c r="D414" s="7">
        <v>3</v>
      </c>
      <c r="E414" s="7">
        <v>1</v>
      </c>
      <c r="F414">
        <v>681</v>
      </c>
      <c r="G414">
        <v>23</v>
      </c>
      <c r="H414">
        <v>3.32</v>
      </c>
      <c r="I414">
        <v>26</v>
      </c>
      <c r="J414">
        <v>3.87</v>
      </c>
      <c r="K414">
        <v>959</v>
      </c>
      <c r="L414">
        <v>773</v>
      </c>
      <c r="M414">
        <v>186</v>
      </c>
      <c r="N414">
        <v>2.54</v>
      </c>
      <c r="O414">
        <v>20.34</v>
      </c>
      <c r="P414">
        <v>4.07</v>
      </c>
      <c r="Q414">
        <v>0.77</v>
      </c>
      <c r="R414">
        <v>0.16</v>
      </c>
      <c r="S414">
        <v>968</v>
      </c>
      <c r="T414">
        <v>5081</v>
      </c>
      <c r="U414">
        <v>25008</v>
      </c>
      <c r="V414">
        <v>30</v>
      </c>
      <c r="W414">
        <v>10.83</v>
      </c>
      <c r="X414" s="10">
        <v>7.0530209894114432E-2</v>
      </c>
      <c r="Y414" s="9">
        <v>5890</v>
      </c>
      <c r="Z414" s="9">
        <v>5330</v>
      </c>
      <c r="AA414" s="9">
        <v>5660</v>
      </c>
      <c r="AB414">
        <v>0.5892857142857143</v>
      </c>
      <c r="AC414" s="11">
        <v>1.3225896082245068</v>
      </c>
      <c r="AD414" s="9">
        <v>5594.6610169491523</v>
      </c>
      <c r="AE414" s="8">
        <v>-3.9049235993208829E-2</v>
      </c>
    </row>
    <row r="415" spans="1:31" x14ac:dyDescent="0.35">
      <c r="A415" s="6" t="s">
        <v>436</v>
      </c>
      <c r="B415" s="7">
        <v>0</v>
      </c>
      <c r="C415" s="7">
        <v>6</v>
      </c>
      <c r="D415" s="7">
        <v>0</v>
      </c>
      <c r="E415" s="7">
        <v>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118</v>
      </c>
      <c r="L415">
        <v>18</v>
      </c>
      <c r="M415">
        <v>101</v>
      </c>
      <c r="N415">
        <v>1872.83</v>
      </c>
      <c r="O415">
        <v>-0.16</v>
      </c>
      <c r="P415">
        <v>0</v>
      </c>
      <c r="Q415">
        <v>1.02</v>
      </c>
      <c r="R415">
        <v>0</v>
      </c>
      <c r="S415">
        <v>-15</v>
      </c>
      <c r="T415">
        <v>1973</v>
      </c>
      <c r="U415">
        <v>0</v>
      </c>
      <c r="V415">
        <v>0</v>
      </c>
      <c r="W415">
        <v>-517.05999999999995</v>
      </c>
      <c r="X415" s="10">
        <v>0.62241818539994442</v>
      </c>
      <c r="Y415" s="9">
        <v>2285</v>
      </c>
      <c r="Z415" s="9">
        <v>2015</v>
      </c>
      <c r="AA415" s="9">
        <v>2210</v>
      </c>
      <c r="AB415">
        <v>0.72222222222222221</v>
      </c>
      <c r="AC415" s="11">
        <v>3.3249513753820508</v>
      </c>
      <c r="AD415" s="9">
        <v>2062.6723163841807</v>
      </c>
      <c r="AE415" s="8">
        <v>9.6774193548387094E-2</v>
      </c>
    </row>
    <row r="416" spans="1:31" x14ac:dyDescent="0.35">
      <c r="A416" s="6" t="s">
        <v>437</v>
      </c>
      <c r="B416" s="7">
        <v>0</v>
      </c>
      <c r="C416" s="7">
        <v>6</v>
      </c>
      <c r="D416" s="7">
        <v>0</v>
      </c>
      <c r="E416" s="7">
        <v>12</v>
      </c>
      <c r="F416">
        <v>0</v>
      </c>
      <c r="G416">
        <v>-1</v>
      </c>
      <c r="H416">
        <v>0</v>
      </c>
      <c r="I416">
        <v>-1</v>
      </c>
      <c r="J416">
        <v>0</v>
      </c>
      <c r="K416">
        <v>98</v>
      </c>
      <c r="L416">
        <v>17</v>
      </c>
      <c r="M416">
        <v>80</v>
      </c>
      <c r="N416">
        <v>1812.33</v>
      </c>
      <c r="O416">
        <v>-0.82</v>
      </c>
      <c r="P416">
        <v>0</v>
      </c>
      <c r="Q416">
        <v>1.44</v>
      </c>
      <c r="R416">
        <v>0</v>
      </c>
      <c r="S416">
        <v>-33</v>
      </c>
      <c r="T416">
        <v>1912</v>
      </c>
      <c r="U416">
        <v>0</v>
      </c>
      <c r="V416">
        <v>-1</v>
      </c>
      <c r="W416">
        <v>-144.69</v>
      </c>
      <c r="X416" s="10">
        <v>0.37401357956109776</v>
      </c>
      <c r="Y416" s="9">
        <v>4680</v>
      </c>
      <c r="Z416" s="9">
        <v>2745</v>
      </c>
      <c r="AA416" s="9">
        <v>3770</v>
      </c>
      <c r="AB416">
        <v>0.52971576227390182</v>
      </c>
      <c r="AC416" s="11">
        <v>15.587524312308979</v>
      </c>
      <c r="AD416" s="9">
        <v>2549.1638418079096</v>
      </c>
      <c r="AE416" s="8">
        <v>0.37090909090909091</v>
      </c>
    </row>
    <row r="417" spans="1:31" x14ac:dyDescent="0.35">
      <c r="A417" s="6" t="s">
        <v>438</v>
      </c>
      <c r="B417" s="7">
        <v>10</v>
      </c>
      <c r="C417" s="7">
        <v>5</v>
      </c>
      <c r="D417" s="7">
        <v>0</v>
      </c>
      <c r="E417" s="7">
        <v>3</v>
      </c>
      <c r="F417">
        <v>7301</v>
      </c>
      <c r="G417">
        <v>341</v>
      </c>
      <c r="H417">
        <v>4.67</v>
      </c>
      <c r="I417">
        <v>299</v>
      </c>
      <c r="J417">
        <v>4.09</v>
      </c>
      <c r="K417">
        <v>56738</v>
      </c>
      <c r="L417">
        <v>50581</v>
      </c>
      <c r="M417">
        <v>6156</v>
      </c>
      <c r="N417">
        <v>245.98</v>
      </c>
      <c r="O417">
        <v>4.96</v>
      </c>
      <c r="P417">
        <v>9.35</v>
      </c>
      <c r="Q417">
        <v>0.48</v>
      </c>
      <c r="R417">
        <v>0.38</v>
      </c>
      <c r="S417">
        <v>861</v>
      </c>
      <c r="T417">
        <v>16771</v>
      </c>
      <c r="U417">
        <v>21051</v>
      </c>
      <c r="V417">
        <v>0</v>
      </c>
      <c r="W417">
        <v>0</v>
      </c>
      <c r="X417" s="10">
        <v>0.88792075950186866</v>
      </c>
      <c r="Y417" s="9">
        <v>12700</v>
      </c>
      <c r="Z417" s="9">
        <v>8040</v>
      </c>
      <c r="AA417" s="9">
        <v>12050</v>
      </c>
      <c r="AB417">
        <v>0.86051502145922742</v>
      </c>
      <c r="AC417" s="11">
        <v>74.178938594053889</v>
      </c>
      <c r="AD417" s="9">
        <v>7739.2090395480227</v>
      </c>
      <c r="AE417" s="8">
        <v>0.43281807372175979</v>
      </c>
    </row>
    <row r="418" spans="1:31" x14ac:dyDescent="0.35">
      <c r="A418" s="6" t="s">
        <v>439</v>
      </c>
      <c r="B418" s="7">
        <v>3</v>
      </c>
      <c r="C418" s="7">
        <v>6</v>
      </c>
      <c r="D418" s="7">
        <v>3</v>
      </c>
      <c r="E418" s="7">
        <v>6</v>
      </c>
      <c r="F418">
        <v>778</v>
      </c>
      <c r="G418">
        <v>28</v>
      </c>
      <c r="H418">
        <v>3.58</v>
      </c>
      <c r="I418">
        <v>13</v>
      </c>
      <c r="J418">
        <v>1.71</v>
      </c>
      <c r="K418">
        <v>1015</v>
      </c>
      <c r="L418">
        <v>593</v>
      </c>
      <c r="M418">
        <v>422</v>
      </c>
      <c r="N418">
        <v>335.92</v>
      </c>
      <c r="O418">
        <v>3.64</v>
      </c>
      <c r="P418">
        <v>17.79</v>
      </c>
      <c r="Q418">
        <v>0.65</v>
      </c>
      <c r="R418">
        <v>0.3</v>
      </c>
      <c r="S418">
        <v>77</v>
      </c>
      <c r="T418">
        <v>2111</v>
      </c>
      <c r="U418">
        <v>4522</v>
      </c>
      <c r="V418">
        <v>60</v>
      </c>
      <c r="W418">
        <v>10.43</v>
      </c>
      <c r="X418" s="10">
        <v>0.53559214702983016</v>
      </c>
      <c r="Y418" s="9">
        <v>1800</v>
      </c>
      <c r="Z418" s="9">
        <v>1340</v>
      </c>
      <c r="AA418" s="9">
        <v>1585</v>
      </c>
      <c r="AB418">
        <v>0.53260869565217395</v>
      </c>
      <c r="AC418" s="11">
        <v>6.0772436787996682</v>
      </c>
      <c r="AD418" s="9">
        <v>1366.310734463277</v>
      </c>
      <c r="AE418" s="8">
        <v>0.14855072463768115</v>
      </c>
    </row>
    <row r="419" spans="1:31" x14ac:dyDescent="0.35">
      <c r="A419" s="6" t="s">
        <v>440</v>
      </c>
      <c r="B419" s="7">
        <v>9</v>
      </c>
      <c r="C419" s="7">
        <v>0</v>
      </c>
      <c r="D419" s="7">
        <v>7</v>
      </c>
      <c r="E419" s="7">
        <v>2</v>
      </c>
      <c r="F419">
        <v>6685</v>
      </c>
      <c r="G419">
        <v>186</v>
      </c>
      <c r="H419">
        <v>2.78</v>
      </c>
      <c r="I419">
        <v>152</v>
      </c>
      <c r="J419">
        <v>2.2799999999999998</v>
      </c>
      <c r="K419">
        <v>5207</v>
      </c>
      <c r="L419">
        <v>1719</v>
      </c>
      <c r="M419">
        <v>3488</v>
      </c>
      <c r="N419">
        <v>1100.44</v>
      </c>
      <c r="O419">
        <v>4.42</v>
      </c>
      <c r="P419">
        <v>15.69</v>
      </c>
      <c r="Q419">
        <v>0.69</v>
      </c>
      <c r="R419">
        <v>0.36</v>
      </c>
      <c r="S419">
        <v>2619</v>
      </c>
      <c r="T419">
        <v>59843</v>
      </c>
      <c r="U419">
        <v>115048</v>
      </c>
      <c r="V419">
        <v>256</v>
      </c>
      <c r="W419">
        <v>9.57</v>
      </c>
      <c r="X419" s="10">
        <v>0.89703802400888988</v>
      </c>
      <c r="Y419" s="9">
        <v>51300</v>
      </c>
      <c r="Z419" s="9">
        <v>39550</v>
      </c>
      <c r="AA419" s="9">
        <v>51300</v>
      </c>
      <c r="AB419">
        <v>1</v>
      </c>
      <c r="AC419" s="11">
        <v>199.01083634342874</v>
      </c>
      <c r="AD419" s="9">
        <v>40150.169491525427</v>
      </c>
      <c r="AE419" s="8">
        <v>0.20705882352941177</v>
      </c>
    </row>
    <row r="420" spans="1:31" x14ac:dyDescent="0.35">
      <c r="A420" s="6" t="s">
        <v>441</v>
      </c>
      <c r="B420" s="7">
        <v>13</v>
      </c>
      <c r="C420" s="7">
        <v>4</v>
      </c>
      <c r="D420" s="7">
        <v>1</v>
      </c>
      <c r="E420" s="7">
        <v>0</v>
      </c>
      <c r="F420">
        <v>1179</v>
      </c>
      <c r="G420">
        <v>57</v>
      </c>
      <c r="H420">
        <v>4.84</v>
      </c>
      <c r="I420">
        <v>47</v>
      </c>
      <c r="J420">
        <v>3.98</v>
      </c>
      <c r="K420">
        <v>534</v>
      </c>
      <c r="L420">
        <v>391</v>
      </c>
      <c r="M420">
        <v>143</v>
      </c>
      <c r="N420">
        <v>516.58000000000004</v>
      </c>
      <c r="O420">
        <v>46.27</v>
      </c>
      <c r="P420">
        <v>9.43</v>
      </c>
      <c r="Q420">
        <v>3.28</v>
      </c>
      <c r="R420">
        <v>0.38</v>
      </c>
      <c r="S420">
        <v>1060</v>
      </c>
      <c r="T420">
        <v>3050</v>
      </c>
      <c r="U420">
        <v>26638</v>
      </c>
      <c r="V420">
        <v>57</v>
      </c>
      <c r="W420">
        <v>13.22</v>
      </c>
      <c r="X420" s="10">
        <v>0.73275471725150676</v>
      </c>
      <c r="Y420" s="9">
        <v>14850</v>
      </c>
      <c r="Z420" s="9">
        <v>10000</v>
      </c>
      <c r="AA420" s="9">
        <v>14100</v>
      </c>
      <c r="AB420">
        <v>0.84536082474226804</v>
      </c>
      <c r="AC420" s="11">
        <v>68.421783828841328</v>
      </c>
      <c r="AD420" s="9">
        <v>10859.802259887005</v>
      </c>
      <c r="AE420" s="8">
        <v>0.40298507462686567</v>
      </c>
    </row>
    <row r="421" spans="1:31" x14ac:dyDescent="0.35">
      <c r="A421" s="6" t="s">
        <v>442</v>
      </c>
      <c r="B421" s="7">
        <v>1</v>
      </c>
      <c r="C421" s="7">
        <v>1</v>
      </c>
      <c r="D421" s="7">
        <v>3</v>
      </c>
      <c r="E421" s="7">
        <v>13</v>
      </c>
      <c r="F421">
        <v>899</v>
      </c>
      <c r="G421">
        <v>-20</v>
      </c>
      <c r="H421">
        <v>-2.2200000000000002</v>
      </c>
      <c r="I421">
        <v>-66</v>
      </c>
      <c r="J421">
        <v>-7.38</v>
      </c>
      <c r="K421">
        <v>876</v>
      </c>
      <c r="L421">
        <v>666</v>
      </c>
      <c r="M421">
        <v>210</v>
      </c>
      <c r="N421">
        <v>314.77999999999997</v>
      </c>
      <c r="O421">
        <v>-27.26</v>
      </c>
      <c r="P421">
        <v>0</v>
      </c>
      <c r="Q421">
        <v>0.84</v>
      </c>
      <c r="R421">
        <v>0.14000000000000001</v>
      </c>
      <c r="S421">
        <v>-6585</v>
      </c>
      <c r="T421">
        <v>14913</v>
      </c>
      <c r="U421">
        <v>89208</v>
      </c>
      <c r="V421">
        <v>-5</v>
      </c>
      <c r="W421">
        <v>-69.010000000000005</v>
      </c>
      <c r="X421" s="10">
        <v>0.18020338762353708</v>
      </c>
      <c r="Y421" s="9">
        <v>20000</v>
      </c>
      <c r="Z421" s="9">
        <v>12600</v>
      </c>
      <c r="AA421" s="9">
        <v>16200</v>
      </c>
      <c r="AB421">
        <v>0.48648648648648651</v>
      </c>
      <c r="AC421" s="11">
        <v>42.132536815782153</v>
      </c>
      <c r="AD421" s="9">
        <v>14329.124293785309</v>
      </c>
      <c r="AE421" s="8">
        <v>0.21804511278195488</v>
      </c>
    </row>
    <row r="422" spans="1:31" x14ac:dyDescent="0.35">
      <c r="A422" s="6" t="s">
        <v>443</v>
      </c>
      <c r="B422" s="7">
        <v>10</v>
      </c>
      <c r="C422" s="7">
        <v>0</v>
      </c>
      <c r="D422" s="7">
        <v>5</v>
      </c>
      <c r="E422" s="7">
        <v>3</v>
      </c>
      <c r="F422">
        <v>1583</v>
      </c>
      <c r="G422">
        <v>99</v>
      </c>
      <c r="H422">
        <v>6.22</v>
      </c>
      <c r="I422">
        <v>79</v>
      </c>
      <c r="J422">
        <v>4.99</v>
      </c>
      <c r="K422">
        <v>1257</v>
      </c>
      <c r="L422">
        <v>552</v>
      </c>
      <c r="M422">
        <v>705</v>
      </c>
      <c r="N422">
        <v>1778.72</v>
      </c>
      <c r="O422">
        <v>11.67</v>
      </c>
      <c r="P422">
        <v>12.9</v>
      </c>
      <c r="Q422">
        <v>1.48</v>
      </c>
      <c r="R422">
        <v>0.64</v>
      </c>
      <c r="S422">
        <v>1054</v>
      </c>
      <c r="T422">
        <v>9183</v>
      </c>
      <c r="U422">
        <v>21103</v>
      </c>
      <c r="V422">
        <v>100</v>
      </c>
      <c r="W422">
        <v>10.19</v>
      </c>
      <c r="X422" s="10">
        <v>0.7648141899456955</v>
      </c>
      <c r="Y422" s="9">
        <v>18150</v>
      </c>
      <c r="Z422" s="9">
        <v>12450</v>
      </c>
      <c r="AA422" s="9">
        <v>17550</v>
      </c>
      <c r="AB422">
        <v>0.89473684210526316</v>
      </c>
      <c r="AC422" s="11">
        <v>81.217004723534302</v>
      </c>
      <c r="AD422" s="9">
        <v>13119.54802259887</v>
      </c>
      <c r="AE422" s="8">
        <v>0.2857142857142857</v>
      </c>
    </row>
    <row r="423" spans="1:31" x14ac:dyDescent="0.35">
      <c r="A423" s="6" t="s">
        <v>444</v>
      </c>
      <c r="B423" s="7">
        <v>5</v>
      </c>
      <c r="C423" s="7">
        <v>3</v>
      </c>
      <c r="D423" s="7">
        <v>0</v>
      </c>
      <c r="E423" s="7">
        <v>10</v>
      </c>
      <c r="F423">
        <v>892</v>
      </c>
      <c r="G423">
        <v>9</v>
      </c>
      <c r="H423">
        <v>0.99</v>
      </c>
      <c r="I423">
        <v>20</v>
      </c>
      <c r="J423">
        <v>2.2400000000000002</v>
      </c>
      <c r="K423">
        <v>2058</v>
      </c>
      <c r="L423">
        <v>189</v>
      </c>
      <c r="M423">
        <v>1868</v>
      </c>
      <c r="N423">
        <v>2062.61</v>
      </c>
      <c r="O423">
        <v>1.07</v>
      </c>
      <c r="P423">
        <v>50.43</v>
      </c>
      <c r="Q423">
        <v>0.56999999999999995</v>
      </c>
      <c r="R423">
        <v>1.1299999999999999</v>
      </c>
      <c r="S423">
        <v>117</v>
      </c>
      <c r="T423">
        <v>10262</v>
      </c>
      <c r="U423">
        <v>5207</v>
      </c>
      <c r="V423">
        <v>48</v>
      </c>
      <c r="W423">
        <v>21.82</v>
      </c>
      <c r="X423" s="10">
        <v>0.80969708978259991</v>
      </c>
      <c r="Y423" s="9">
        <v>6640</v>
      </c>
      <c r="Z423" s="9">
        <v>5770</v>
      </c>
      <c r="AA423" s="9">
        <v>6370</v>
      </c>
      <c r="AB423">
        <v>0.68965517241379315</v>
      </c>
      <c r="AC423" s="11">
        <v>10.751319811058629</v>
      </c>
      <c r="AD423" s="9">
        <v>5775.4180790960445</v>
      </c>
      <c r="AE423" s="8">
        <v>7.9661016949152536E-2</v>
      </c>
    </row>
    <row r="424" spans="1:31" x14ac:dyDescent="0.35">
      <c r="A424" s="6" t="s">
        <v>445</v>
      </c>
      <c r="B424" s="7">
        <v>1</v>
      </c>
      <c r="C424" s="7">
        <v>1</v>
      </c>
      <c r="D424" s="7">
        <v>12</v>
      </c>
      <c r="E424" s="7">
        <v>4</v>
      </c>
      <c r="F424">
        <v>371</v>
      </c>
      <c r="G424">
        <v>2</v>
      </c>
      <c r="H424">
        <v>0.65</v>
      </c>
      <c r="I424">
        <v>-6</v>
      </c>
      <c r="J424">
        <v>-1.67</v>
      </c>
      <c r="K424">
        <v>570</v>
      </c>
      <c r="L424">
        <v>108</v>
      </c>
      <c r="M424">
        <v>462</v>
      </c>
      <c r="N424">
        <v>213.92</v>
      </c>
      <c r="O424">
        <v>-1.79</v>
      </c>
      <c r="P424">
        <v>0</v>
      </c>
      <c r="Q424">
        <v>0.62</v>
      </c>
      <c r="R424">
        <v>0.55000000000000004</v>
      </c>
      <c r="S424">
        <v>-29</v>
      </c>
      <c r="T424">
        <v>1534</v>
      </c>
      <c r="U424">
        <v>1725</v>
      </c>
      <c r="V424">
        <v>17</v>
      </c>
      <c r="W424">
        <v>16.850000000000001</v>
      </c>
      <c r="X424" s="10">
        <v>0.52258641938094674</v>
      </c>
      <c r="Y424" s="9">
        <v>1375</v>
      </c>
      <c r="Z424" s="9">
        <v>964</v>
      </c>
      <c r="AA424" s="9">
        <v>1200</v>
      </c>
      <c r="AB424">
        <v>0.57420924574209242</v>
      </c>
      <c r="AC424" s="11">
        <v>4.3732703528757995</v>
      </c>
      <c r="AD424" s="9">
        <v>1016.8485875706215</v>
      </c>
      <c r="AE424" s="8">
        <v>0.20724346076458752</v>
      </c>
    </row>
    <row r="425" spans="1:31" x14ac:dyDescent="0.35">
      <c r="A425" s="6" t="s">
        <v>446</v>
      </c>
      <c r="B425" s="7">
        <v>2</v>
      </c>
      <c r="C425" s="7">
        <v>4</v>
      </c>
      <c r="D425" s="7">
        <v>4</v>
      </c>
      <c r="E425" s="7">
        <v>8</v>
      </c>
      <c r="F425">
        <v>267</v>
      </c>
      <c r="G425">
        <v>18</v>
      </c>
      <c r="H425">
        <v>6.66</v>
      </c>
      <c r="I425">
        <v>13</v>
      </c>
      <c r="J425">
        <v>4.88</v>
      </c>
      <c r="K425">
        <v>483</v>
      </c>
      <c r="L425">
        <v>155</v>
      </c>
      <c r="M425">
        <v>329</v>
      </c>
      <c r="N425">
        <v>815.71</v>
      </c>
      <c r="O425">
        <v>5.38</v>
      </c>
      <c r="P425">
        <v>0</v>
      </c>
      <c r="Q425">
        <v>0</v>
      </c>
      <c r="R425">
        <v>0</v>
      </c>
      <c r="S425">
        <v>247</v>
      </c>
      <c r="T425">
        <v>4107</v>
      </c>
      <c r="U425">
        <v>5052</v>
      </c>
      <c r="V425">
        <v>0</v>
      </c>
      <c r="W425">
        <v>0</v>
      </c>
      <c r="X425" s="10">
        <v>2.089480840158037E-2</v>
      </c>
      <c r="Y425" s="9">
        <v>3575</v>
      </c>
      <c r="Z425" s="9">
        <v>2140</v>
      </c>
      <c r="AA425" s="9">
        <v>2330</v>
      </c>
      <c r="AB425">
        <v>0.13240418118466898</v>
      </c>
      <c r="AC425" s="11">
        <v>2.5834954153931649</v>
      </c>
      <c r="AD425" s="9">
        <v>2563.2033898305085</v>
      </c>
      <c r="AE425" s="8">
        <v>-0.151183970856102</v>
      </c>
    </row>
    <row r="426" spans="1:31" x14ac:dyDescent="0.35">
      <c r="A426" s="6" t="s">
        <v>447</v>
      </c>
      <c r="B426" s="7">
        <v>2</v>
      </c>
      <c r="C426" s="7">
        <v>1</v>
      </c>
      <c r="D426" s="7">
        <v>8</v>
      </c>
      <c r="E426" s="7">
        <v>7</v>
      </c>
      <c r="F426">
        <v>487</v>
      </c>
      <c r="G426">
        <v>13</v>
      </c>
      <c r="H426">
        <v>2.59</v>
      </c>
      <c r="I426">
        <v>-6</v>
      </c>
      <c r="J426">
        <v>-1.25</v>
      </c>
      <c r="K426">
        <v>676</v>
      </c>
      <c r="L426">
        <v>365</v>
      </c>
      <c r="M426">
        <v>310</v>
      </c>
      <c r="N426">
        <v>210.14</v>
      </c>
      <c r="O426">
        <v>-1.92</v>
      </c>
      <c r="P426">
        <v>0</v>
      </c>
      <c r="Q426">
        <v>0.44</v>
      </c>
      <c r="R426">
        <v>0.28000000000000003</v>
      </c>
      <c r="S426">
        <v>-304</v>
      </c>
      <c r="T426">
        <v>15479</v>
      </c>
      <c r="U426">
        <v>24345</v>
      </c>
      <c r="V426">
        <v>24</v>
      </c>
      <c r="W426">
        <v>15.63</v>
      </c>
      <c r="X426" s="10">
        <v>0.49600046982783452</v>
      </c>
      <c r="Y426" s="9">
        <v>17800</v>
      </c>
      <c r="Z426" s="9">
        <v>6520</v>
      </c>
      <c r="AA426" s="9">
        <v>11200</v>
      </c>
      <c r="AB426">
        <v>0.41489361702127658</v>
      </c>
      <c r="AC426" s="11">
        <v>121.12308974715198</v>
      </c>
      <c r="AD426" s="9">
        <v>5936.4124293785308</v>
      </c>
      <c r="AE426" s="8">
        <v>0.65191740412979349</v>
      </c>
    </row>
    <row r="427" spans="1:31" x14ac:dyDescent="0.35">
      <c r="A427" s="6" t="s">
        <v>448</v>
      </c>
      <c r="B427" s="7">
        <v>3</v>
      </c>
      <c r="C427" s="7">
        <v>4</v>
      </c>
      <c r="D427" s="7">
        <v>7</v>
      </c>
      <c r="E427" s="7">
        <v>4</v>
      </c>
      <c r="F427">
        <v>216</v>
      </c>
      <c r="G427">
        <v>-29</v>
      </c>
      <c r="H427">
        <v>-13.36</v>
      </c>
      <c r="I427">
        <v>-52</v>
      </c>
      <c r="J427">
        <v>-24.01</v>
      </c>
      <c r="K427">
        <v>259</v>
      </c>
      <c r="L427">
        <v>117</v>
      </c>
      <c r="M427">
        <v>142</v>
      </c>
      <c r="N427">
        <v>4.75</v>
      </c>
      <c r="O427">
        <v>-49.73</v>
      </c>
      <c r="P427">
        <v>0</v>
      </c>
      <c r="Q427">
        <v>1.2</v>
      </c>
      <c r="R427">
        <v>0.49</v>
      </c>
      <c r="S427">
        <v>-62</v>
      </c>
      <c r="T427">
        <v>105</v>
      </c>
      <c r="U427">
        <v>257</v>
      </c>
      <c r="V427">
        <v>-24</v>
      </c>
      <c r="W427">
        <v>-10.14</v>
      </c>
      <c r="X427" s="10">
        <v>0.31623995629322504</v>
      </c>
      <c r="Y427" s="9">
        <v>147</v>
      </c>
      <c r="Z427" s="9">
        <v>116</v>
      </c>
      <c r="AA427" s="9">
        <v>127</v>
      </c>
      <c r="AB427">
        <v>0.35483870967741937</v>
      </c>
      <c r="AC427" s="11">
        <v>-0.22831342039455405</v>
      </c>
      <c r="AD427" s="9">
        <v>136.68022598870056</v>
      </c>
      <c r="AE427" s="8">
        <v>-2.3076923076923078E-2</v>
      </c>
    </row>
    <row r="428" spans="1:31" x14ac:dyDescent="0.35">
      <c r="A428" s="6" t="s">
        <v>449</v>
      </c>
      <c r="B428" s="7">
        <v>1</v>
      </c>
      <c r="C428" s="7">
        <v>4</v>
      </c>
      <c r="D428" s="7">
        <v>12</v>
      </c>
      <c r="E428" s="7">
        <v>1</v>
      </c>
      <c r="F428">
        <v>1175</v>
      </c>
      <c r="G428">
        <v>-15</v>
      </c>
      <c r="H428">
        <v>-1.23</v>
      </c>
      <c r="I428">
        <v>-75</v>
      </c>
      <c r="J428">
        <v>-6.37</v>
      </c>
      <c r="K428">
        <v>1166</v>
      </c>
      <c r="L428">
        <v>658</v>
      </c>
      <c r="M428">
        <v>508</v>
      </c>
      <c r="N428">
        <v>230.38</v>
      </c>
      <c r="O428">
        <v>-13.65</v>
      </c>
      <c r="P428">
        <v>0</v>
      </c>
      <c r="Q428">
        <v>0.74</v>
      </c>
      <c r="R428">
        <v>0.28999999999999998</v>
      </c>
      <c r="S428">
        <v>-507</v>
      </c>
      <c r="T428">
        <v>3155</v>
      </c>
      <c r="U428">
        <v>7955</v>
      </c>
      <c r="V428">
        <v>22</v>
      </c>
      <c r="W428">
        <v>32.409999999999997</v>
      </c>
      <c r="X428" s="10">
        <v>0.58368981525939467</v>
      </c>
      <c r="Y428" s="9">
        <v>2825</v>
      </c>
      <c r="Z428" s="9">
        <v>2280</v>
      </c>
      <c r="AA428" s="9">
        <v>2670</v>
      </c>
      <c r="AB428">
        <v>0.7155963302752294</v>
      </c>
      <c r="AC428" s="11">
        <v>4.8178660739094195</v>
      </c>
      <c r="AD428" s="9">
        <v>2338.4717514124291</v>
      </c>
      <c r="AE428" s="8">
        <v>0.11949685534591195</v>
      </c>
    </row>
    <row r="429" spans="1:31" x14ac:dyDescent="0.35">
      <c r="A429" s="6" t="s">
        <v>450</v>
      </c>
      <c r="B429" s="7">
        <v>8</v>
      </c>
      <c r="C429" s="7">
        <v>5</v>
      </c>
      <c r="D429" s="7">
        <v>0</v>
      </c>
      <c r="E429" s="7">
        <v>5</v>
      </c>
      <c r="F429">
        <v>689</v>
      </c>
      <c r="G429">
        <v>25</v>
      </c>
      <c r="H429">
        <v>3.7</v>
      </c>
      <c r="I429">
        <v>-26</v>
      </c>
      <c r="J429">
        <v>-3.83</v>
      </c>
      <c r="K429">
        <v>3935</v>
      </c>
      <c r="L429">
        <v>2246</v>
      </c>
      <c r="M429">
        <v>1689</v>
      </c>
      <c r="N429">
        <v>632.91999999999996</v>
      </c>
      <c r="O429">
        <v>-1.55</v>
      </c>
      <c r="P429">
        <v>0</v>
      </c>
      <c r="Q429">
        <v>0.28000000000000003</v>
      </c>
      <c r="R429">
        <v>0.52</v>
      </c>
      <c r="S429">
        <v>-733</v>
      </c>
      <c r="T429">
        <v>35013</v>
      </c>
      <c r="U429">
        <v>19144</v>
      </c>
      <c r="V429">
        <v>95</v>
      </c>
      <c r="W429">
        <v>13.27</v>
      </c>
      <c r="X429" s="10">
        <v>0.15310553929719947</v>
      </c>
      <c r="Y429" s="9">
        <v>10650</v>
      </c>
      <c r="Z429" s="9">
        <v>9300</v>
      </c>
      <c r="AA429" s="9">
        <v>10000</v>
      </c>
      <c r="AB429">
        <v>0.51851851851851849</v>
      </c>
      <c r="AC429" s="11">
        <v>6.4520700194498479</v>
      </c>
      <c r="AD429" s="9">
        <v>9752.0451977401135</v>
      </c>
      <c r="AE429" s="8">
        <v>7.5268817204301078E-2</v>
      </c>
    </row>
    <row r="430" spans="1:31" x14ac:dyDescent="0.35">
      <c r="A430" s="6" t="s">
        <v>451</v>
      </c>
      <c r="B430" s="7">
        <v>6</v>
      </c>
      <c r="C430" s="7">
        <v>0</v>
      </c>
      <c r="D430" s="7">
        <v>7</v>
      </c>
      <c r="E430" s="7">
        <v>5</v>
      </c>
      <c r="F430">
        <v>2864</v>
      </c>
      <c r="G430">
        <v>128</v>
      </c>
      <c r="H430">
        <v>4.4800000000000004</v>
      </c>
      <c r="I430">
        <v>104</v>
      </c>
      <c r="J430">
        <v>3.64</v>
      </c>
      <c r="K430">
        <v>1851</v>
      </c>
      <c r="L430">
        <v>672</v>
      </c>
      <c r="M430">
        <v>1180</v>
      </c>
      <c r="N430">
        <v>576.59</v>
      </c>
      <c r="O430">
        <v>9</v>
      </c>
      <c r="P430">
        <v>8.0500000000000007</v>
      </c>
      <c r="Q430">
        <v>0.72</v>
      </c>
      <c r="R430">
        <v>0.28999999999999998</v>
      </c>
      <c r="S430">
        <v>2988</v>
      </c>
      <c r="T430">
        <v>33494</v>
      </c>
      <c r="U430">
        <v>82136</v>
      </c>
      <c r="V430">
        <v>143</v>
      </c>
      <c r="W430">
        <v>6.23</v>
      </c>
      <c r="X430" s="10">
        <v>0.68545472796927709</v>
      </c>
      <c r="Y430" s="9">
        <v>37450</v>
      </c>
      <c r="Z430" s="9">
        <v>23750</v>
      </c>
      <c r="AA430" s="9">
        <v>36450</v>
      </c>
      <c r="AB430">
        <v>0.92700729927007297</v>
      </c>
      <c r="AC430" s="11">
        <v>195.85996110030564</v>
      </c>
      <c r="AD430" s="9">
        <v>21546.271186440677</v>
      </c>
      <c r="AE430" s="8">
        <v>0.52830188679245282</v>
      </c>
    </row>
    <row r="431" spans="1:31" x14ac:dyDescent="0.35">
      <c r="A431" s="6" t="s">
        <v>452</v>
      </c>
      <c r="B431" s="7">
        <v>3</v>
      </c>
      <c r="C431" s="7">
        <v>0</v>
      </c>
      <c r="D431" s="7">
        <v>13</v>
      </c>
      <c r="E431" s="7">
        <v>2</v>
      </c>
      <c r="F431">
        <v>623</v>
      </c>
      <c r="G431">
        <v>-61</v>
      </c>
      <c r="H431">
        <v>-9.8699999999999992</v>
      </c>
      <c r="I431">
        <v>-68</v>
      </c>
      <c r="J431">
        <v>-10.86</v>
      </c>
      <c r="K431">
        <v>2886</v>
      </c>
      <c r="L431">
        <v>1035</v>
      </c>
      <c r="M431">
        <v>1852</v>
      </c>
      <c r="N431">
        <v>212.29</v>
      </c>
      <c r="O431">
        <v>-4.83</v>
      </c>
      <c r="P431">
        <v>0</v>
      </c>
      <c r="Q431">
        <v>0.9</v>
      </c>
      <c r="R431">
        <v>1.1399999999999999</v>
      </c>
      <c r="S431">
        <v>-1302</v>
      </c>
      <c r="T431">
        <v>15232</v>
      </c>
      <c r="U431">
        <v>11988</v>
      </c>
      <c r="V431">
        <v>-32</v>
      </c>
      <c r="W431">
        <v>-71.95</v>
      </c>
      <c r="X431" s="10">
        <v>0.65261014112506111</v>
      </c>
      <c r="Y431" s="9">
        <v>21650</v>
      </c>
      <c r="Z431" s="9">
        <v>12400</v>
      </c>
      <c r="AA431" s="9">
        <v>19900</v>
      </c>
      <c r="AB431">
        <v>0.81081081081081086</v>
      </c>
      <c r="AC431" s="11">
        <v>108.40928035565435</v>
      </c>
      <c r="AD431" s="9">
        <v>11426.016949152543</v>
      </c>
      <c r="AE431" s="8">
        <v>0.43165467625899279</v>
      </c>
    </row>
    <row r="432" spans="1:31" x14ac:dyDescent="0.35">
      <c r="A432" s="6" t="s">
        <v>453</v>
      </c>
      <c r="B432" s="7">
        <v>0</v>
      </c>
      <c r="C432" s="7">
        <v>0</v>
      </c>
      <c r="D432" s="7">
        <v>0</v>
      </c>
      <c r="E432" s="7">
        <v>18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 s="10">
        <v>0.16368610812617171</v>
      </c>
      <c r="Y432" s="9">
        <v>1645</v>
      </c>
      <c r="Z432" s="9">
        <v>1055</v>
      </c>
      <c r="AA432" s="9">
        <v>1340</v>
      </c>
      <c r="AB432">
        <v>0.48305084745762711</v>
      </c>
      <c r="AC432" s="11">
        <v>3.1114198388441232</v>
      </c>
      <c r="AD432" s="9">
        <v>1158.4350282485875</v>
      </c>
      <c r="AE432" s="8">
        <v>0.25233644859813081</v>
      </c>
    </row>
    <row r="433" spans="1:31" x14ac:dyDescent="0.35">
      <c r="A433" s="6" t="s">
        <v>454</v>
      </c>
      <c r="B433" s="7">
        <v>11</v>
      </c>
      <c r="C433" s="7">
        <v>5</v>
      </c>
      <c r="D433" s="7">
        <v>2</v>
      </c>
      <c r="E433" s="7">
        <v>0</v>
      </c>
      <c r="F433">
        <v>4525</v>
      </c>
      <c r="G433">
        <v>260</v>
      </c>
      <c r="H433">
        <v>5.74</v>
      </c>
      <c r="I433">
        <v>131</v>
      </c>
      <c r="J433">
        <v>2.9</v>
      </c>
      <c r="K433">
        <v>5210</v>
      </c>
      <c r="L433">
        <v>3193</v>
      </c>
      <c r="M433">
        <v>2017</v>
      </c>
      <c r="N433">
        <v>725.8</v>
      </c>
      <c r="O433">
        <v>6.67</v>
      </c>
      <c r="P433">
        <v>20.56</v>
      </c>
      <c r="Q433">
        <v>1.54</v>
      </c>
      <c r="R433">
        <v>0.6</v>
      </c>
      <c r="S433">
        <v>2933</v>
      </c>
      <c r="T433">
        <v>39043</v>
      </c>
      <c r="U433">
        <v>101156</v>
      </c>
      <c r="V433">
        <v>899</v>
      </c>
      <c r="W433">
        <v>5.57</v>
      </c>
      <c r="X433" s="10">
        <v>0.76057706401340452</v>
      </c>
      <c r="Y433" s="9">
        <v>81200</v>
      </c>
      <c r="Z433" s="9">
        <v>57500</v>
      </c>
      <c r="AA433" s="9">
        <v>74700</v>
      </c>
      <c r="AB433">
        <v>0.72573839662447259</v>
      </c>
      <c r="AC433" s="11">
        <v>341.13086968602386</v>
      </c>
      <c r="AD433" s="9">
        <v>59123.841807909601</v>
      </c>
      <c r="AE433" s="8">
        <v>0.2991304347826087</v>
      </c>
    </row>
    <row r="434" spans="1:31" x14ac:dyDescent="0.35">
      <c r="A434" s="6" t="s">
        <v>455</v>
      </c>
      <c r="B434" s="7">
        <v>0</v>
      </c>
      <c r="C434" s="7">
        <v>0</v>
      </c>
      <c r="D434" s="7">
        <v>0</v>
      </c>
      <c r="E434" s="7">
        <v>18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 s="10">
        <v>0.75929571030169141</v>
      </c>
      <c r="Y434" s="9">
        <v>35750</v>
      </c>
      <c r="Z434" s="9">
        <v>24000</v>
      </c>
      <c r="AA434" s="9">
        <v>32900</v>
      </c>
      <c r="AB434">
        <v>0.75744680851063828</v>
      </c>
      <c r="AC434" s="11">
        <v>201.96721311475409</v>
      </c>
      <c r="AD434" s="9">
        <v>24336.666666666668</v>
      </c>
      <c r="AE434" s="8">
        <v>0.33739837398373984</v>
      </c>
    </row>
    <row r="435" spans="1:31" x14ac:dyDescent="0.35">
      <c r="A435" s="6" t="s">
        <v>456</v>
      </c>
      <c r="B435" s="7">
        <v>8</v>
      </c>
      <c r="C435" s="7">
        <v>0</v>
      </c>
      <c r="D435" s="7">
        <v>1</v>
      </c>
      <c r="E435" s="7">
        <v>9</v>
      </c>
      <c r="F435">
        <v>2001</v>
      </c>
      <c r="G435">
        <v>47</v>
      </c>
      <c r="H435">
        <v>2.36</v>
      </c>
      <c r="I435">
        <v>60</v>
      </c>
      <c r="J435">
        <v>3.02</v>
      </c>
      <c r="K435">
        <v>1257</v>
      </c>
      <c r="L435">
        <v>263</v>
      </c>
      <c r="M435">
        <v>994</v>
      </c>
      <c r="N435">
        <v>926.8</v>
      </c>
      <c r="O435">
        <v>6.2</v>
      </c>
      <c r="P435">
        <v>8.1199999999999992</v>
      </c>
      <c r="Q435">
        <v>0.54</v>
      </c>
      <c r="R435">
        <v>0.25</v>
      </c>
      <c r="S435">
        <v>345</v>
      </c>
      <c r="T435">
        <v>5202</v>
      </c>
      <c r="U435">
        <v>11428</v>
      </c>
      <c r="V435">
        <v>54</v>
      </c>
      <c r="W435">
        <v>9.75</v>
      </c>
      <c r="X435" s="10">
        <v>0.82036009752370653</v>
      </c>
      <c r="Y435" s="9">
        <v>3090</v>
      </c>
      <c r="Z435" s="9">
        <v>2690</v>
      </c>
      <c r="AA435" s="9">
        <v>3090</v>
      </c>
      <c r="AB435">
        <v>1</v>
      </c>
      <c r="AC435" s="11">
        <v>6.4037232564601272</v>
      </c>
      <c r="AD435" s="9">
        <v>2672.0197740112994</v>
      </c>
      <c r="AE435" s="8">
        <v>0.10752688172043011</v>
      </c>
    </row>
    <row r="436" spans="1:31" x14ac:dyDescent="0.35">
      <c r="A436" s="6" t="s">
        <v>457</v>
      </c>
      <c r="B436" s="7">
        <v>2</v>
      </c>
      <c r="C436" s="7">
        <v>12</v>
      </c>
      <c r="D436" s="7">
        <v>3</v>
      </c>
      <c r="E436" s="7">
        <v>1</v>
      </c>
      <c r="F436">
        <v>241</v>
      </c>
      <c r="G436">
        <v>9</v>
      </c>
      <c r="H436">
        <v>3.82</v>
      </c>
      <c r="I436">
        <v>8</v>
      </c>
      <c r="J436">
        <v>3.27</v>
      </c>
      <c r="K436">
        <v>1392</v>
      </c>
      <c r="L436">
        <v>651</v>
      </c>
      <c r="M436">
        <v>741</v>
      </c>
      <c r="N436">
        <v>1436.19</v>
      </c>
      <c r="O436">
        <v>4.26</v>
      </c>
      <c r="P436">
        <v>8.59</v>
      </c>
      <c r="Q436">
        <v>0.46</v>
      </c>
      <c r="R436">
        <v>0.28000000000000003</v>
      </c>
      <c r="S436">
        <v>3892</v>
      </c>
      <c r="T436">
        <v>71984</v>
      </c>
      <c r="U436">
        <v>119088</v>
      </c>
      <c r="V436">
        <v>79</v>
      </c>
      <c r="W436">
        <v>9.75</v>
      </c>
      <c r="X436" s="10">
        <v>0.71379650515402393</v>
      </c>
      <c r="Y436" s="9">
        <v>51500</v>
      </c>
      <c r="Z436" s="9">
        <v>31950</v>
      </c>
      <c r="AA436" s="9">
        <v>51500</v>
      </c>
      <c r="AB436">
        <v>1</v>
      </c>
      <c r="AC436" s="11">
        <v>232.05612670186161</v>
      </c>
      <c r="AD436" s="9">
        <v>30612.288135593219</v>
      </c>
      <c r="AE436" s="8">
        <v>0.54191616766467066</v>
      </c>
    </row>
    <row r="437" spans="1:31" x14ac:dyDescent="0.35">
      <c r="A437" s="6" t="s">
        <v>458</v>
      </c>
      <c r="B437" s="7">
        <v>0</v>
      </c>
      <c r="C437" s="7">
        <v>8</v>
      </c>
      <c r="D437" s="7">
        <v>5</v>
      </c>
      <c r="E437" s="7">
        <v>5</v>
      </c>
      <c r="F437">
        <v>121</v>
      </c>
      <c r="G437">
        <v>-28</v>
      </c>
      <c r="H437">
        <v>-23.12</v>
      </c>
      <c r="I437">
        <v>-52</v>
      </c>
      <c r="J437">
        <v>-42.76</v>
      </c>
      <c r="K437">
        <v>191</v>
      </c>
      <c r="L437">
        <v>62</v>
      </c>
      <c r="M437">
        <v>128</v>
      </c>
      <c r="N437">
        <v>-38.950000000000003</v>
      </c>
      <c r="O437">
        <v>-56.37</v>
      </c>
      <c r="P437">
        <v>0</v>
      </c>
      <c r="Q437">
        <v>1.84</v>
      </c>
      <c r="R437">
        <v>1.37</v>
      </c>
      <c r="S437">
        <v>-167</v>
      </c>
      <c r="T437">
        <v>290</v>
      </c>
      <c r="U437">
        <v>391</v>
      </c>
      <c r="V437">
        <v>-26</v>
      </c>
      <c r="W437">
        <v>-9.56</v>
      </c>
      <c r="X437" s="10">
        <v>0.48444119482919185</v>
      </c>
      <c r="Y437" s="9">
        <v>585</v>
      </c>
      <c r="Z437" s="9">
        <v>487</v>
      </c>
      <c r="AA437" s="9">
        <v>497</v>
      </c>
      <c r="AB437">
        <v>0.10204081632653061</v>
      </c>
      <c r="AC437" s="11">
        <v>-1.0841344818005001</v>
      </c>
      <c r="AD437" s="9">
        <v>560.3994350282486</v>
      </c>
      <c r="AE437" s="8">
        <v>-6.9288389513108617E-2</v>
      </c>
    </row>
    <row r="438" spans="1:31" x14ac:dyDescent="0.35">
      <c r="A438" s="6" t="s">
        <v>459</v>
      </c>
      <c r="B438" s="7">
        <v>5</v>
      </c>
      <c r="C438" s="7">
        <v>7</v>
      </c>
      <c r="D438" s="7">
        <v>5</v>
      </c>
      <c r="E438" s="7">
        <v>1</v>
      </c>
      <c r="F438">
        <v>1039</v>
      </c>
      <c r="G438">
        <v>51</v>
      </c>
      <c r="H438">
        <v>4.87</v>
      </c>
      <c r="I438">
        <v>25</v>
      </c>
      <c r="J438">
        <v>2.39</v>
      </c>
      <c r="K438">
        <v>1379</v>
      </c>
      <c r="L438">
        <v>916</v>
      </c>
      <c r="M438">
        <v>462</v>
      </c>
      <c r="N438">
        <v>152.78</v>
      </c>
      <c r="O438">
        <v>7.22</v>
      </c>
      <c r="P438">
        <v>13.38</v>
      </c>
      <c r="Q438">
        <v>1.1299999999999999</v>
      </c>
      <c r="R438">
        <v>0.32</v>
      </c>
      <c r="S438">
        <v>99</v>
      </c>
      <c r="T438">
        <v>1175</v>
      </c>
      <c r="U438">
        <v>4123</v>
      </c>
      <c r="V438">
        <v>71</v>
      </c>
      <c r="W438">
        <v>15.69</v>
      </c>
      <c r="X438" s="10">
        <v>0.78115881388428421</v>
      </c>
      <c r="Y438" s="9">
        <v>1690</v>
      </c>
      <c r="Z438" s="9">
        <v>1250</v>
      </c>
      <c r="AA438" s="9">
        <v>1635</v>
      </c>
      <c r="AB438">
        <v>0.875</v>
      </c>
      <c r="AC438" s="11">
        <v>5.9340094470686306</v>
      </c>
      <c r="AD438" s="9">
        <v>1246.9293785310736</v>
      </c>
      <c r="AE438" s="8">
        <v>0.20220588235294118</v>
      </c>
    </row>
    <row r="439" spans="1:31" x14ac:dyDescent="0.35">
      <c r="A439" s="6" t="s">
        <v>460</v>
      </c>
      <c r="B439" s="7">
        <v>9</v>
      </c>
      <c r="C439" s="7">
        <v>1</v>
      </c>
      <c r="D439" s="7">
        <v>6</v>
      </c>
      <c r="E439" s="7">
        <v>2</v>
      </c>
      <c r="F439">
        <v>15228</v>
      </c>
      <c r="G439">
        <v>392</v>
      </c>
      <c r="H439">
        <v>2.58</v>
      </c>
      <c r="I439">
        <v>602</v>
      </c>
      <c r="J439">
        <v>3.96</v>
      </c>
      <c r="K439">
        <v>13911</v>
      </c>
      <c r="L439">
        <v>11916</v>
      </c>
      <c r="M439">
        <v>1995</v>
      </c>
      <c r="N439">
        <v>16.48</v>
      </c>
      <c r="O439">
        <v>39.19</v>
      </c>
      <c r="P439">
        <v>11.93</v>
      </c>
      <c r="Q439">
        <v>4.03</v>
      </c>
      <c r="R439">
        <v>0.48</v>
      </c>
      <c r="S439">
        <v>1902</v>
      </c>
      <c r="T439">
        <v>5634</v>
      </c>
      <c r="U439">
        <v>47639</v>
      </c>
      <c r="V439">
        <v>405</v>
      </c>
      <c r="W439">
        <v>24.74</v>
      </c>
      <c r="X439" s="10">
        <v>1.1068970803310105E-2</v>
      </c>
      <c r="Y439" s="9">
        <v>30300</v>
      </c>
      <c r="Z439" s="9">
        <v>20550</v>
      </c>
      <c r="AA439" s="9">
        <v>22050</v>
      </c>
      <c r="AB439">
        <v>0.15384615384615385</v>
      </c>
      <c r="AC439" s="11">
        <v>17.282578494026119</v>
      </c>
      <c r="AD439" s="9">
        <v>23492.881355932204</v>
      </c>
      <c r="AE439" s="8">
        <v>1.1467889908256881E-2</v>
      </c>
    </row>
    <row r="440" spans="1:31" x14ac:dyDescent="0.35">
      <c r="A440" s="6" t="s">
        <v>461</v>
      </c>
      <c r="B440" s="7">
        <v>0</v>
      </c>
      <c r="C440" s="7">
        <v>0</v>
      </c>
      <c r="D440" s="7">
        <v>0</v>
      </c>
      <c r="E440" s="7">
        <v>18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 s="10">
        <v>0.1913635246918941</v>
      </c>
      <c r="Y440" s="9">
        <v>33350</v>
      </c>
      <c r="Z440" s="9">
        <v>15800</v>
      </c>
      <c r="AA440" s="9">
        <v>21250</v>
      </c>
      <c r="AB440">
        <v>0.31054131054131057</v>
      </c>
      <c r="AC440" s="11">
        <v>119.09280355654349</v>
      </c>
      <c r="AD440" s="9">
        <v>18540.169491525423</v>
      </c>
      <c r="AE440" s="8">
        <v>0.15803814713896458</v>
      </c>
    </row>
    <row r="441" spans="1:31" x14ac:dyDescent="0.35">
      <c r="A441" s="6" t="s">
        <v>462</v>
      </c>
      <c r="B441" s="7">
        <v>0</v>
      </c>
      <c r="C441" s="7">
        <v>13</v>
      </c>
      <c r="D441" s="7">
        <v>0</v>
      </c>
      <c r="E441" s="7">
        <v>5</v>
      </c>
      <c r="F441">
        <v>37670</v>
      </c>
      <c r="G441">
        <v>1884</v>
      </c>
      <c r="H441">
        <v>5</v>
      </c>
      <c r="I441">
        <v>833</v>
      </c>
      <c r="J441">
        <v>2.21</v>
      </c>
      <c r="K441">
        <v>34089</v>
      </c>
      <c r="L441">
        <v>21754</v>
      </c>
      <c r="M441">
        <v>12334</v>
      </c>
      <c r="N441">
        <v>660.5</v>
      </c>
      <c r="O441">
        <v>6.95</v>
      </c>
      <c r="P441">
        <v>25.5</v>
      </c>
      <c r="Q441">
        <v>2.21</v>
      </c>
      <c r="R441">
        <v>0.6</v>
      </c>
      <c r="S441">
        <v>3161</v>
      </c>
      <c r="T441">
        <v>36502</v>
      </c>
      <c r="U441">
        <v>135024</v>
      </c>
      <c r="V441">
        <v>3106</v>
      </c>
      <c r="W441">
        <v>13.26</v>
      </c>
      <c r="X441" s="10">
        <v>9.7543851847377586E-2</v>
      </c>
      <c r="Y441" s="9">
        <v>91800</v>
      </c>
      <c r="Z441" s="9">
        <v>78900</v>
      </c>
      <c r="AA441" s="9">
        <v>78900</v>
      </c>
      <c r="AB441">
        <v>0</v>
      </c>
      <c r="AC441" s="11">
        <v>-55.284801333703804</v>
      </c>
      <c r="AD441" s="9">
        <v>86434.519774011293</v>
      </c>
      <c r="AE441" s="8">
        <v>-3.6630036630036632E-2</v>
      </c>
    </row>
    <row r="442" spans="1:31" x14ac:dyDescent="0.35">
      <c r="A442" s="6" t="s">
        <v>463</v>
      </c>
      <c r="B442" s="7">
        <v>0</v>
      </c>
      <c r="C442" s="7">
        <v>0</v>
      </c>
      <c r="D442" s="7">
        <v>0</v>
      </c>
      <c r="E442" s="7">
        <v>18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 s="10">
        <v>1.9756882232416103E-3</v>
      </c>
      <c r="Y442" s="9">
        <v>44750</v>
      </c>
      <c r="Z442" s="9">
        <v>39550</v>
      </c>
      <c r="AA442" s="9">
        <v>40800</v>
      </c>
      <c r="AB442">
        <v>0.24038461538461539</v>
      </c>
      <c r="AC442" s="11">
        <v>-3.7552097804945817</v>
      </c>
      <c r="AD442" s="9">
        <v>42700.367231638418</v>
      </c>
      <c r="AE442" s="8">
        <v>9.9009900990099011E-3</v>
      </c>
    </row>
    <row r="443" spans="1:31" x14ac:dyDescent="0.35">
      <c r="A443" s="6" t="s">
        <v>464</v>
      </c>
      <c r="B443" s="7">
        <v>5</v>
      </c>
      <c r="C443" s="7">
        <v>1</v>
      </c>
      <c r="D443" s="7">
        <v>7</v>
      </c>
      <c r="E443" s="7">
        <v>5</v>
      </c>
      <c r="F443">
        <v>319</v>
      </c>
      <c r="G443">
        <v>13</v>
      </c>
      <c r="H443">
        <v>4.1100000000000003</v>
      </c>
      <c r="I443">
        <v>16</v>
      </c>
      <c r="J443">
        <v>5.08</v>
      </c>
      <c r="K443">
        <v>433</v>
      </c>
      <c r="L443">
        <v>138</v>
      </c>
      <c r="M443">
        <v>296</v>
      </c>
      <c r="N443">
        <v>744.36</v>
      </c>
      <c r="O443">
        <v>7.47</v>
      </c>
      <c r="P443">
        <v>11.87</v>
      </c>
      <c r="Q443">
        <v>0.87</v>
      </c>
      <c r="R443">
        <v>0.6</v>
      </c>
      <c r="S443">
        <v>308</v>
      </c>
      <c r="T443">
        <v>4217</v>
      </c>
      <c r="U443">
        <v>6072</v>
      </c>
      <c r="V443">
        <v>17</v>
      </c>
      <c r="W443">
        <v>14.63</v>
      </c>
      <c r="X443" s="10">
        <v>0.70701838373913894</v>
      </c>
      <c r="Y443" s="9">
        <v>4150</v>
      </c>
      <c r="Z443" s="9">
        <v>2985</v>
      </c>
      <c r="AA443" s="9">
        <v>3660</v>
      </c>
      <c r="AB443">
        <v>0.57939914163090134</v>
      </c>
      <c r="AC443" s="11">
        <v>13.772575715476524</v>
      </c>
      <c r="AD443" s="9">
        <v>3019.0197740112994</v>
      </c>
      <c r="AE443" s="8">
        <v>0.19607843137254902</v>
      </c>
    </row>
    <row r="444" spans="1:31" x14ac:dyDescent="0.35">
      <c r="A444" s="6" t="s">
        <v>465</v>
      </c>
      <c r="B444" s="7">
        <v>5</v>
      </c>
      <c r="C444" s="7">
        <v>6</v>
      </c>
      <c r="D444" s="7">
        <v>2</v>
      </c>
      <c r="E444" s="7">
        <v>5</v>
      </c>
      <c r="F444">
        <v>1796</v>
      </c>
      <c r="G444">
        <v>-88</v>
      </c>
      <c r="H444">
        <v>-4.91</v>
      </c>
      <c r="I444">
        <v>-145</v>
      </c>
      <c r="J444">
        <v>-8.06</v>
      </c>
      <c r="K444">
        <v>3838</v>
      </c>
      <c r="L444">
        <v>1888</v>
      </c>
      <c r="M444">
        <v>1950</v>
      </c>
      <c r="N444">
        <v>544.54</v>
      </c>
      <c r="O444">
        <v>-7.39</v>
      </c>
      <c r="P444">
        <v>0</v>
      </c>
      <c r="Q444">
        <v>0.68</v>
      </c>
      <c r="R444">
        <v>0.6</v>
      </c>
      <c r="S444">
        <v>-2413</v>
      </c>
      <c r="T444">
        <v>26727</v>
      </c>
      <c r="U444">
        <v>29937</v>
      </c>
      <c r="V444">
        <v>-30</v>
      </c>
      <c r="W444">
        <v>-90.43</v>
      </c>
      <c r="X444" s="10">
        <v>0.35381115295022131</v>
      </c>
      <c r="Y444" s="9">
        <v>23450</v>
      </c>
      <c r="Z444" s="9">
        <v>17350</v>
      </c>
      <c r="AA444" s="9">
        <v>21000</v>
      </c>
      <c r="AB444">
        <v>0.59836065573770492</v>
      </c>
      <c r="AC444" s="11">
        <v>61.742150597388161</v>
      </c>
      <c r="AD444" s="9">
        <v>19098.531073446327</v>
      </c>
      <c r="AE444" s="8">
        <v>0.17318435754189945</v>
      </c>
    </row>
    <row r="445" spans="1:31" x14ac:dyDescent="0.35">
      <c r="A445" s="6" t="s">
        <v>466</v>
      </c>
      <c r="B445" s="7">
        <v>3</v>
      </c>
      <c r="C445" s="7">
        <v>8</v>
      </c>
      <c r="D445" s="7">
        <v>2</v>
      </c>
      <c r="E445" s="7">
        <v>5</v>
      </c>
      <c r="F445">
        <v>27551</v>
      </c>
      <c r="G445">
        <v>2723</v>
      </c>
      <c r="H445">
        <v>9.8800000000000008</v>
      </c>
      <c r="I445">
        <v>1229</v>
      </c>
      <c r="J445">
        <v>4.46</v>
      </c>
      <c r="K445">
        <v>34141</v>
      </c>
      <c r="L445">
        <v>19992</v>
      </c>
      <c r="M445">
        <v>14149</v>
      </c>
      <c r="N445">
        <v>79.11</v>
      </c>
      <c r="O445">
        <v>9.27</v>
      </c>
      <c r="P445">
        <v>11.85</v>
      </c>
      <c r="Q445">
        <v>1.0900000000000001</v>
      </c>
      <c r="R445">
        <v>0.53</v>
      </c>
      <c r="S445">
        <v>816</v>
      </c>
      <c r="T445">
        <v>8836</v>
      </c>
      <c r="U445">
        <v>18289</v>
      </c>
      <c r="V445">
        <v>3588</v>
      </c>
      <c r="W445">
        <v>7.31</v>
      </c>
      <c r="X445" s="10">
        <v>0.25171548880072875</v>
      </c>
      <c r="Y445" s="9">
        <v>10450</v>
      </c>
      <c r="Z445" s="9">
        <v>9030</v>
      </c>
      <c r="AA445" s="9">
        <v>9360</v>
      </c>
      <c r="AB445">
        <v>0.23239436619718309</v>
      </c>
      <c r="AC445" s="11">
        <v>9.4970825229230336</v>
      </c>
      <c r="AD445" s="9">
        <v>9302.3389830508477</v>
      </c>
      <c r="AE445" s="8">
        <v>-6.8656716417910449E-2</v>
      </c>
    </row>
    <row r="446" spans="1:31" x14ac:dyDescent="0.35">
      <c r="A446" s="6" t="s">
        <v>467</v>
      </c>
      <c r="B446" s="7">
        <v>10</v>
      </c>
      <c r="C446" s="7">
        <v>0</v>
      </c>
      <c r="D446" s="7">
        <v>5</v>
      </c>
      <c r="E446" s="7">
        <v>3</v>
      </c>
      <c r="F446">
        <v>1669</v>
      </c>
      <c r="G446">
        <v>230</v>
      </c>
      <c r="H446">
        <v>13.78</v>
      </c>
      <c r="I446">
        <v>206</v>
      </c>
      <c r="J446">
        <v>12.36</v>
      </c>
      <c r="K446">
        <v>1464</v>
      </c>
      <c r="L446">
        <v>195</v>
      </c>
      <c r="M446">
        <v>1269</v>
      </c>
      <c r="N446">
        <v>4129.26</v>
      </c>
      <c r="O446">
        <v>17.190000000000001</v>
      </c>
      <c r="P446">
        <v>13.97</v>
      </c>
      <c r="Q446">
        <v>2.31</v>
      </c>
      <c r="R446">
        <v>1.73</v>
      </c>
      <c r="S446">
        <v>3439</v>
      </c>
      <c r="T446">
        <v>20790</v>
      </c>
      <c r="U446">
        <v>27825</v>
      </c>
      <c r="V446">
        <v>246</v>
      </c>
      <c r="W446">
        <v>11.72</v>
      </c>
      <c r="X446" s="10">
        <v>0.39277405476980254</v>
      </c>
      <c r="Y446" s="9">
        <v>54100</v>
      </c>
      <c r="Z446" s="9">
        <v>46350</v>
      </c>
      <c r="AA446" s="9">
        <v>49450</v>
      </c>
      <c r="AB446">
        <v>0.4</v>
      </c>
      <c r="AC446" s="11">
        <v>79.938871908863575</v>
      </c>
      <c r="AD446" s="9">
        <v>47851.864406779663</v>
      </c>
      <c r="AE446" s="8">
        <v>2.3809523809523808E-2</v>
      </c>
    </row>
    <row r="447" spans="1:31" x14ac:dyDescent="0.35">
      <c r="A447" s="6" t="s">
        <v>468</v>
      </c>
      <c r="B447" s="7">
        <v>9</v>
      </c>
      <c r="C447" s="7">
        <v>0</v>
      </c>
      <c r="D447" s="7">
        <v>5</v>
      </c>
      <c r="E447" s="7">
        <v>4</v>
      </c>
      <c r="F447">
        <v>955</v>
      </c>
      <c r="G447">
        <v>105</v>
      </c>
      <c r="H447">
        <v>11.01</v>
      </c>
      <c r="I447">
        <v>91</v>
      </c>
      <c r="J447">
        <v>9.5</v>
      </c>
      <c r="K447">
        <v>1332</v>
      </c>
      <c r="L447">
        <v>562</v>
      </c>
      <c r="M447">
        <v>771</v>
      </c>
      <c r="N447">
        <v>770.73</v>
      </c>
      <c r="O447">
        <v>12.98</v>
      </c>
      <c r="P447">
        <v>22.07</v>
      </c>
      <c r="Q447">
        <v>3.23</v>
      </c>
      <c r="R447">
        <v>2.1</v>
      </c>
      <c r="S447">
        <v>512</v>
      </c>
      <c r="T447">
        <v>3501</v>
      </c>
      <c r="U447">
        <v>5392</v>
      </c>
      <c r="V447">
        <v>170</v>
      </c>
      <c r="W447">
        <v>13.52</v>
      </c>
      <c r="X447" s="10">
        <v>0.81343936675632278</v>
      </c>
      <c r="Y447" s="9">
        <v>12150</v>
      </c>
      <c r="Z447" s="9">
        <v>9150</v>
      </c>
      <c r="AA447" s="9">
        <v>9170</v>
      </c>
      <c r="AB447">
        <v>6.6666666666666671E-3</v>
      </c>
      <c r="AC447" s="11">
        <v>-44.783550986385094</v>
      </c>
      <c r="AD447" s="9">
        <v>11765.231638418079</v>
      </c>
      <c r="AE447" s="8">
        <v>-0.19207048458149781</v>
      </c>
    </row>
    <row r="448" spans="1:31" x14ac:dyDescent="0.35">
      <c r="A448" s="6" t="s">
        <v>469</v>
      </c>
      <c r="B448" s="7">
        <v>4</v>
      </c>
      <c r="C448" s="7">
        <v>2</v>
      </c>
      <c r="D448" s="7">
        <v>6</v>
      </c>
      <c r="E448" s="7">
        <v>6</v>
      </c>
      <c r="F448">
        <v>416</v>
      </c>
      <c r="G448">
        <v>2</v>
      </c>
      <c r="H448">
        <v>0.56000000000000005</v>
      </c>
      <c r="I448">
        <v>7</v>
      </c>
      <c r="J448">
        <v>1.58</v>
      </c>
      <c r="K448">
        <v>543</v>
      </c>
      <c r="L448">
        <v>179</v>
      </c>
      <c r="M448">
        <v>364</v>
      </c>
      <c r="N448">
        <v>425.89</v>
      </c>
      <c r="O448">
        <v>1.81</v>
      </c>
      <c r="P448">
        <v>37.08</v>
      </c>
      <c r="Q448">
        <v>0.77</v>
      </c>
      <c r="R448">
        <v>0.59</v>
      </c>
      <c r="S448">
        <v>48</v>
      </c>
      <c r="T448">
        <v>2321</v>
      </c>
      <c r="U448">
        <v>3030</v>
      </c>
      <c r="V448">
        <v>13</v>
      </c>
      <c r="W448">
        <v>20.18</v>
      </c>
      <c r="X448" s="10">
        <v>0.5357669441059727</v>
      </c>
      <c r="Y448" s="9">
        <v>2465</v>
      </c>
      <c r="Z448" s="9">
        <v>1750</v>
      </c>
      <c r="AA448" s="9">
        <v>2205</v>
      </c>
      <c r="AB448">
        <v>0.63636363636363635</v>
      </c>
      <c r="AC448" s="11">
        <v>7.4548485690469573</v>
      </c>
      <c r="AD448" s="9">
        <v>1854.6271186440679</v>
      </c>
      <c r="AE448" s="8">
        <v>0.23184357541899442</v>
      </c>
    </row>
    <row r="449" spans="1:31" x14ac:dyDescent="0.35">
      <c r="A449" s="6" t="s">
        <v>470</v>
      </c>
      <c r="B449" s="7">
        <v>5</v>
      </c>
      <c r="C449" s="7">
        <v>2</v>
      </c>
      <c r="D449" s="7">
        <v>9</v>
      </c>
      <c r="E449" s="7">
        <v>2</v>
      </c>
      <c r="F449">
        <v>836</v>
      </c>
      <c r="G449">
        <v>165</v>
      </c>
      <c r="H449">
        <v>19.8</v>
      </c>
      <c r="I449">
        <v>145</v>
      </c>
      <c r="J449">
        <v>17.399999999999999</v>
      </c>
      <c r="K449">
        <v>2319</v>
      </c>
      <c r="L449">
        <v>123</v>
      </c>
      <c r="M449">
        <v>2196</v>
      </c>
      <c r="N449">
        <v>1404.4</v>
      </c>
      <c r="O449">
        <v>9.0399999999999991</v>
      </c>
      <c r="P449">
        <v>10.96</v>
      </c>
      <c r="Q449">
        <v>0.97</v>
      </c>
      <c r="R449">
        <v>1.91</v>
      </c>
      <c r="S449">
        <v>664</v>
      </c>
      <c r="T449">
        <v>7507</v>
      </c>
      <c r="U449">
        <v>3816</v>
      </c>
      <c r="V449">
        <v>286</v>
      </c>
      <c r="W449">
        <v>7.42</v>
      </c>
      <c r="X449" s="10">
        <v>0.59209625180993308</v>
      </c>
      <c r="Y449" s="9">
        <v>8200</v>
      </c>
      <c r="Z449" s="9">
        <v>7050</v>
      </c>
      <c r="AA449" s="9">
        <v>8100</v>
      </c>
      <c r="AB449">
        <v>0.91304347826086951</v>
      </c>
      <c r="AC449" s="11">
        <v>12.275076410113918</v>
      </c>
      <c r="AD449" s="9">
        <v>6979.2768361581921</v>
      </c>
      <c r="AE449" s="8">
        <v>0.1111111111111111</v>
      </c>
    </row>
    <row r="450" spans="1:31" x14ac:dyDescent="0.35">
      <c r="A450" s="6" t="s">
        <v>471</v>
      </c>
      <c r="B450" s="7">
        <v>7</v>
      </c>
      <c r="C450" s="7">
        <v>2</v>
      </c>
      <c r="D450" s="7">
        <v>5</v>
      </c>
      <c r="E450" s="7">
        <v>4</v>
      </c>
      <c r="F450">
        <v>298501</v>
      </c>
      <c r="G450">
        <v>14346</v>
      </c>
      <c r="H450">
        <v>4.8099999999999996</v>
      </c>
      <c r="I450">
        <v>24208</v>
      </c>
      <c r="J450">
        <v>8.11</v>
      </c>
      <c r="K450">
        <v>303117</v>
      </c>
      <c r="L450">
        <v>111200</v>
      </c>
      <c r="M450">
        <v>191917</v>
      </c>
      <c r="N450">
        <v>801.25</v>
      </c>
      <c r="O450">
        <v>13.29</v>
      </c>
      <c r="P450">
        <v>8.75</v>
      </c>
      <c r="Q450">
        <v>1.22</v>
      </c>
      <c r="R450">
        <v>0.71</v>
      </c>
      <c r="S450">
        <v>5978</v>
      </c>
      <c r="T450">
        <v>42910</v>
      </c>
      <c r="U450">
        <v>73718</v>
      </c>
      <c r="V450">
        <v>23585</v>
      </c>
      <c r="W450">
        <v>8.99</v>
      </c>
      <c r="X450" s="10">
        <v>0.46637894664865093</v>
      </c>
      <c r="Y450" s="9">
        <v>54200</v>
      </c>
      <c r="Z450" s="9">
        <v>43200</v>
      </c>
      <c r="AA450" s="9">
        <v>45400</v>
      </c>
      <c r="AB450">
        <v>0.2</v>
      </c>
      <c r="AC450" s="11">
        <v>-117.49930536260072</v>
      </c>
      <c r="AD450" s="9">
        <v>51413.728813559319</v>
      </c>
      <c r="AE450" s="8">
        <v>-0.14339622641509434</v>
      </c>
    </row>
    <row r="451" spans="1:31" x14ac:dyDescent="0.35">
      <c r="A451" s="6" t="s">
        <v>472</v>
      </c>
      <c r="B451" s="7">
        <v>7</v>
      </c>
      <c r="C451" s="7">
        <v>7</v>
      </c>
      <c r="D451" s="7">
        <v>1</v>
      </c>
      <c r="E451" s="7">
        <v>3</v>
      </c>
      <c r="F451">
        <v>128525</v>
      </c>
      <c r="G451">
        <v>12384</v>
      </c>
      <c r="H451">
        <v>9.64</v>
      </c>
      <c r="I451">
        <v>9358</v>
      </c>
      <c r="J451">
        <v>7.28</v>
      </c>
      <c r="K451">
        <v>2079304</v>
      </c>
      <c r="L451">
        <v>1926478</v>
      </c>
      <c r="M451">
        <v>152826</v>
      </c>
      <c r="N451">
        <v>369.37</v>
      </c>
      <c r="O451">
        <v>6.35</v>
      </c>
      <c r="P451">
        <v>10.09</v>
      </c>
      <c r="Q451">
        <v>0.61</v>
      </c>
      <c r="R451">
        <v>0.71</v>
      </c>
      <c r="S451">
        <v>1398</v>
      </c>
      <c r="T451">
        <v>23001</v>
      </c>
      <c r="U451">
        <v>19992</v>
      </c>
      <c r="V451">
        <v>0</v>
      </c>
      <c r="W451">
        <v>0</v>
      </c>
      <c r="X451" s="10">
        <v>7.4927046372224027E-3</v>
      </c>
      <c r="Y451" s="9">
        <v>14450</v>
      </c>
      <c r="Z451" s="9">
        <v>12450</v>
      </c>
      <c r="AA451" s="9">
        <v>13350</v>
      </c>
      <c r="AB451">
        <v>0.45</v>
      </c>
      <c r="AC451" s="11">
        <v>-1.9435954431786611</v>
      </c>
      <c r="AD451" s="9">
        <v>13418.446327683616</v>
      </c>
      <c r="AE451" s="8">
        <v>-7.6124567474048443E-2</v>
      </c>
    </row>
    <row r="452" spans="1:31" x14ac:dyDescent="0.35">
      <c r="A452" s="6" t="s">
        <v>473</v>
      </c>
      <c r="B452" s="7">
        <v>6</v>
      </c>
      <c r="C452" s="7">
        <v>3</v>
      </c>
      <c r="D452" s="7">
        <v>6</v>
      </c>
      <c r="E452" s="7">
        <v>3</v>
      </c>
      <c r="F452">
        <v>6565</v>
      </c>
      <c r="G452">
        <v>68</v>
      </c>
      <c r="H452">
        <v>1.04</v>
      </c>
      <c r="I452">
        <v>24</v>
      </c>
      <c r="J452">
        <v>0.36</v>
      </c>
      <c r="K452">
        <v>4679</v>
      </c>
      <c r="L452">
        <v>2879</v>
      </c>
      <c r="M452">
        <v>1800</v>
      </c>
      <c r="N452">
        <v>10</v>
      </c>
      <c r="O452">
        <v>1.33</v>
      </c>
      <c r="P452">
        <v>56.79</v>
      </c>
      <c r="Q452">
        <v>0.84</v>
      </c>
      <c r="R452">
        <v>0.23</v>
      </c>
      <c r="S452">
        <v>81</v>
      </c>
      <c r="T452">
        <v>5456</v>
      </c>
      <c r="U452">
        <v>20063</v>
      </c>
      <c r="V452">
        <v>309</v>
      </c>
      <c r="W452">
        <v>8.77</v>
      </c>
      <c r="X452" s="10">
        <v>0.71566802388826578</v>
      </c>
      <c r="Y452" s="9">
        <v>5000</v>
      </c>
      <c r="Z452" s="9">
        <v>4340</v>
      </c>
      <c r="AA452" s="9">
        <v>4990</v>
      </c>
      <c r="AB452">
        <v>0.98484848484848486</v>
      </c>
      <c r="AC452" s="11">
        <v>9.7242289524868024</v>
      </c>
      <c r="AD452" s="9">
        <v>4363.8276836158193</v>
      </c>
      <c r="AE452" s="8">
        <v>8.478260869565217E-2</v>
      </c>
    </row>
    <row r="453" spans="1:31" x14ac:dyDescent="0.35">
      <c r="A453" s="6" t="s">
        <v>474</v>
      </c>
      <c r="B453" s="7">
        <v>0</v>
      </c>
      <c r="C453" s="7">
        <v>0</v>
      </c>
      <c r="D453" s="7">
        <v>0</v>
      </c>
      <c r="E453" s="7">
        <v>18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 s="10">
        <v>0.53293479488737272</v>
      </c>
      <c r="Y453" s="9">
        <v>8390</v>
      </c>
      <c r="Z453" s="9">
        <v>4980</v>
      </c>
      <c r="AA453" s="9">
        <v>6040</v>
      </c>
      <c r="AB453">
        <v>0.31085043988269795</v>
      </c>
      <c r="AC453" s="11">
        <v>35.00472353431509</v>
      </c>
      <c r="AD453" s="9">
        <v>4731.3559322033898</v>
      </c>
      <c r="AE453" s="8">
        <v>0.15267175572519084</v>
      </c>
    </row>
    <row r="454" spans="1:31" x14ac:dyDescent="0.35">
      <c r="A454" s="6" t="s">
        <v>475</v>
      </c>
      <c r="B454" s="7">
        <v>4</v>
      </c>
      <c r="C454" s="7">
        <v>2</v>
      </c>
      <c r="D454" s="7">
        <v>7</v>
      </c>
      <c r="E454" s="7">
        <v>5</v>
      </c>
      <c r="F454">
        <v>1724</v>
      </c>
      <c r="G454">
        <v>40</v>
      </c>
      <c r="H454">
        <v>2.31</v>
      </c>
      <c r="I454">
        <v>17</v>
      </c>
      <c r="J454">
        <v>0.98</v>
      </c>
      <c r="K454">
        <v>1762</v>
      </c>
      <c r="L454">
        <v>1153</v>
      </c>
      <c r="M454">
        <v>610</v>
      </c>
      <c r="N454">
        <v>950.33</v>
      </c>
      <c r="O454">
        <v>2.87</v>
      </c>
      <c r="P454">
        <v>60.07</v>
      </c>
      <c r="Q454">
        <v>1.83</v>
      </c>
      <c r="R454">
        <v>0.59</v>
      </c>
      <c r="S454">
        <v>147</v>
      </c>
      <c r="T454">
        <v>4813</v>
      </c>
      <c r="U454">
        <v>14994</v>
      </c>
      <c r="V454">
        <v>112</v>
      </c>
      <c r="W454">
        <v>15.54</v>
      </c>
      <c r="X454" s="10">
        <v>0.23009145806376533</v>
      </c>
      <c r="Y454" s="9">
        <v>13650</v>
      </c>
      <c r="Z454" s="9">
        <v>8830</v>
      </c>
      <c r="AA454" s="9">
        <v>12100</v>
      </c>
      <c r="AB454">
        <v>0.67842323651452285</v>
      </c>
      <c r="AC454" s="11">
        <v>28.387051958877468</v>
      </c>
      <c r="AD454" s="9">
        <v>11040.694915254237</v>
      </c>
      <c r="AE454" s="8">
        <v>0.34743875278396436</v>
      </c>
    </row>
    <row r="455" spans="1:31" x14ac:dyDescent="0.35">
      <c r="A455" s="6" t="s">
        <v>476</v>
      </c>
      <c r="B455" s="7">
        <v>12</v>
      </c>
      <c r="C455" s="7">
        <v>2</v>
      </c>
      <c r="D455" s="7">
        <v>2</v>
      </c>
      <c r="E455" s="7">
        <v>2</v>
      </c>
      <c r="F455">
        <v>279</v>
      </c>
      <c r="G455">
        <v>36</v>
      </c>
      <c r="H455">
        <v>13.03</v>
      </c>
      <c r="I455">
        <v>37</v>
      </c>
      <c r="J455">
        <v>13.37</v>
      </c>
      <c r="K455">
        <v>717</v>
      </c>
      <c r="L455">
        <v>101</v>
      </c>
      <c r="M455">
        <v>616</v>
      </c>
      <c r="N455">
        <v>1685</v>
      </c>
      <c r="O455">
        <v>6.25</v>
      </c>
      <c r="P455">
        <v>30.06</v>
      </c>
      <c r="Q455">
        <v>1.93</v>
      </c>
      <c r="R455">
        <v>4.0199999999999996</v>
      </c>
      <c r="S455">
        <v>529</v>
      </c>
      <c r="T455">
        <v>8221</v>
      </c>
      <c r="U455">
        <v>3957</v>
      </c>
      <c r="V455">
        <v>71</v>
      </c>
      <c r="W455">
        <v>16.2</v>
      </c>
      <c r="X455" s="10">
        <v>0.55929955497786632</v>
      </c>
      <c r="Y455" s="9">
        <v>17450</v>
      </c>
      <c r="Z455" s="9">
        <v>14700</v>
      </c>
      <c r="AA455" s="9">
        <v>17150</v>
      </c>
      <c r="AB455">
        <v>0.89090909090909087</v>
      </c>
      <c r="AC455" s="11">
        <v>35.93637121422617</v>
      </c>
      <c r="AD455" s="9">
        <v>14918.107344632768</v>
      </c>
      <c r="AE455" s="8">
        <v>0.14333333333333334</v>
      </c>
    </row>
    <row r="456" spans="1:31" x14ac:dyDescent="0.35">
      <c r="A456" s="6" t="s">
        <v>477</v>
      </c>
      <c r="B456" s="7">
        <v>4</v>
      </c>
      <c r="C456" s="7">
        <v>2</v>
      </c>
      <c r="D456" s="7">
        <v>11</v>
      </c>
      <c r="E456" s="7">
        <v>1</v>
      </c>
      <c r="F456">
        <v>203</v>
      </c>
      <c r="G456">
        <v>3</v>
      </c>
      <c r="H456">
        <v>1.28</v>
      </c>
      <c r="I456">
        <v>-12</v>
      </c>
      <c r="J456">
        <v>-5.79</v>
      </c>
      <c r="K456">
        <v>462</v>
      </c>
      <c r="L456">
        <v>78</v>
      </c>
      <c r="M456">
        <v>384</v>
      </c>
      <c r="N456">
        <v>240.53</v>
      </c>
      <c r="O456">
        <v>-3.69</v>
      </c>
      <c r="P456">
        <v>0</v>
      </c>
      <c r="Q456">
        <v>4.25</v>
      </c>
      <c r="R456">
        <v>6.16</v>
      </c>
      <c r="S456">
        <v>-54</v>
      </c>
      <c r="T456">
        <v>1345</v>
      </c>
      <c r="U456">
        <v>927</v>
      </c>
      <c r="V456">
        <v>24</v>
      </c>
      <c r="W456">
        <v>52.7</v>
      </c>
      <c r="X456" s="10">
        <v>0.5781061461256668</v>
      </c>
      <c r="Y456" s="9">
        <v>7000</v>
      </c>
      <c r="Z456" s="9">
        <v>5350</v>
      </c>
      <c r="AA456" s="9">
        <v>6100</v>
      </c>
      <c r="AB456">
        <v>0.45454545454545453</v>
      </c>
      <c r="AC456" s="11">
        <v>21.419838844123362</v>
      </c>
      <c r="AD456" s="9">
        <v>5647.0282485875705</v>
      </c>
      <c r="AE456" s="8">
        <v>0.14018691588785046</v>
      </c>
    </row>
    <row r="457" spans="1:31" x14ac:dyDescent="0.35">
      <c r="A457" s="6" t="s">
        <v>478</v>
      </c>
      <c r="B457" s="7">
        <v>6</v>
      </c>
      <c r="C457" s="7">
        <v>0</v>
      </c>
      <c r="D457" s="7">
        <v>9</v>
      </c>
      <c r="E457" s="7">
        <v>3</v>
      </c>
      <c r="F457">
        <v>366</v>
      </c>
      <c r="G457">
        <v>31</v>
      </c>
      <c r="H457">
        <v>8.3800000000000008</v>
      </c>
      <c r="I457">
        <v>24</v>
      </c>
      <c r="J457">
        <v>6.7</v>
      </c>
      <c r="K457">
        <v>695</v>
      </c>
      <c r="L457">
        <v>185</v>
      </c>
      <c r="M457">
        <v>509</v>
      </c>
      <c r="N457">
        <v>930.06</v>
      </c>
      <c r="O457">
        <v>6.53</v>
      </c>
      <c r="P457">
        <v>10.050000000000001</v>
      </c>
      <c r="Q457">
        <v>0.66</v>
      </c>
      <c r="R457">
        <v>0.67</v>
      </c>
      <c r="S457">
        <v>332</v>
      </c>
      <c r="T457">
        <v>5052</v>
      </c>
      <c r="U457">
        <v>4960</v>
      </c>
      <c r="V457">
        <v>64</v>
      </c>
      <c r="W457">
        <v>6.98</v>
      </c>
      <c r="X457" s="10">
        <v>0.62402982532899631</v>
      </c>
      <c r="Y457" s="9">
        <v>3580</v>
      </c>
      <c r="Z457" s="9">
        <v>3025</v>
      </c>
      <c r="AA457" s="9">
        <v>3360</v>
      </c>
      <c r="AB457">
        <v>0.60360360360360366</v>
      </c>
      <c r="AC457" s="11">
        <v>5.7372881355932197</v>
      </c>
      <c r="AD457" s="9">
        <v>3105.5960451977403</v>
      </c>
      <c r="AE457" s="8">
        <v>4.3478260869565216E-2</v>
      </c>
    </row>
    <row r="458" spans="1:31" x14ac:dyDescent="0.35">
      <c r="A458" s="6" t="s">
        <v>479</v>
      </c>
      <c r="B458" s="7">
        <v>3</v>
      </c>
      <c r="C458" s="7">
        <v>11</v>
      </c>
      <c r="D458" s="7">
        <v>4</v>
      </c>
      <c r="E458" s="7">
        <v>0</v>
      </c>
      <c r="F458">
        <v>1016</v>
      </c>
      <c r="G458">
        <v>75</v>
      </c>
      <c r="H458">
        <v>7.36</v>
      </c>
      <c r="I458">
        <v>46</v>
      </c>
      <c r="J458">
        <v>4.5599999999999996</v>
      </c>
      <c r="K458">
        <v>1262</v>
      </c>
      <c r="L458">
        <v>624</v>
      </c>
      <c r="M458">
        <v>638</v>
      </c>
      <c r="N458">
        <v>816.93</v>
      </c>
      <c r="O458">
        <v>7.39</v>
      </c>
      <c r="P458">
        <v>7.98</v>
      </c>
      <c r="Q458">
        <v>0.63</v>
      </c>
      <c r="R458">
        <v>0.36</v>
      </c>
      <c r="S458">
        <v>344</v>
      </c>
      <c r="T458">
        <v>4379</v>
      </c>
      <c r="U458">
        <v>7538</v>
      </c>
      <c r="V458">
        <v>113</v>
      </c>
      <c r="W458">
        <v>5.97</v>
      </c>
      <c r="X458" s="10">
        <v>0.68665774385407174</v>
      </c>
      <c r="Y458" s="9">
        <v>3060</v>
      </c>
      <c r="Z458" s="9">
        <v>2560</v>
      </c>
      <c r="AA458" s="9">
        <v>2905</v>
      </c>
      <c r="AB458">
        <v>0.69</v>
      </c>
      <c r="AC458" s="11">
        <v>6.6606001667129755</v>
      </c>
      <c r="AD458" s="9">
        <v>2559.1016949152545</v>
      </c>
      <c r="AE458" s="8">
        <v>6.4102564102564097E-2</v>
      </c>
    </row>
    <row r="459" spans="1:31" x14ac:dyDescent="0.35">
      <c r="A459" s="6" t="s">
        <v>480</v>
      </c>
      <c r="B459" s="7">
        <v>5</v>
      </c>
      <c r="C459" s="7">
        <v>6</v>
      </c>
      <c r="D459" s="7">
        <v>2</v>
      </c>
      <c r="E459" s="7">
        <v>5</v>
      </c>
      <c r="F459">
        <v>765</v>
      </c>
      <c r="G459">
        <v>86</v>
      </c>
      <c r="H459">
        <v>11.24</v>
      </c>
      <c r="I459">
        <v>124</v>
      </c>
      <c r="J459">
        <v>16.260000000000002</v>
      </c>
      <c r="K459">
        <v>930</v>
      </c>
      <c r="L459">
        <v>767</v>
      </c>
      <c r="M459">
        <v>164</v>
      </c>
      <c r="N459">
        <v>213.94</v>
      </c>
      <c r="O459">
        <v>123.08</v>
      </c>
      <c r="P459">
        <v>1.53</v>
      </c>
      <c r="Q459">
        <v>1.18</v>
      </c>
      <c r="R459">
        <v>0.25</v>
      </c>
      <c r="S459">
        <v>1193</v>
      </c>
      <c r="T459">
        <v>1543</v>
      </c>
      <c r="U459">
        <v>7342</v>
      </c>
      <c r="V459">
        <v>110</v>
      </c>
      <c r="W459">
        <v>5.85</v>
      </c>
      <c r="X459" s="10">
        <v>0.85430342564052986</v>
      </c>
      <c r="Y459" s="9">
        <v>3150</v>
      </c>
      <c r="Z459" s="9">
        <v>1690</v>
      </c>
      <c r="AA459" s="9">
        <v>3030</v>
      </c>
      <c r="AB459">
        <v>0.9178082191780822</v>
      </c>
      <c r="AC459" s="11">
        <v>28.295915532092245</v>
      </c>
      <c r="AD459" s="9">
        <v>1553.6412429378529</v>
      </c>
      <c r="AE459" s="8">
        <v>0.68333333333333335</v>
      </c>
    </row>
    <row r="460" spans="1:31" x14ac:dyDescent="0.35">
      <c r="A460" s="6" t="s">
        <v>481</v>
      </c>
      <c r="B460" s="7">
        <v>10</v>
      </c>
      <c r="C460" s="7">
        <v>7</v>
      </c>
      <c r="D460" s="7">
        <v>0</v>
      </c>
      <c r="E460" s="7">
        <v>1</v>
      </c>
      <c r="F460">
        <v>299</v>
      </c>
      <c r="G460">
        <v>86</v>
      </c>
      <c r="H460">
        <v>28.81</v>
      </c>
      <c r="I460">
        <v>80</v>
      </c>
      <c r="J460">
        <v>26.65</v>
      </c>
      <c r="K460">
        <v>975</v>
      </c>
      <c r="L460">
        <v>349</v>
      </c>
      <c r="M460">
        <v>626</v>
      </c>
      <c r="N460">
        <v>1353.89</v>
      </c>
      <c r="O460">
        <v>13.4</v>
      </c>
      <c r="P460">
        <v>24.72</v>
      </c>
      <c r="Q460">
        <v>3.2</v>
      </c>
      <c r="R460">
        <v>6.59</v>
      </c>
      <c r="S460">
        <v>965</v>
      </c>
      <c r="T460">
        <v>7451</v>
      </c>
      <c r="U460">
        <v>3620</v>
      </c>
      <c r="V460">
        <v>90</v>
      </c>
      <c r="W460">
        <v>21.89</v>
      </c>
      <c r="X460" s="10">
        <v>0.778257771360779</v>
      </c>
      <c r="Y460" s="9">
        <v>30050</v>
      </c>
      <c r="Z460" s="9">
        <v>21500</v>
      </c>
      <c r="AA460" s="9">
        <v>30000</v>
      </c>
      <c r="AB460">
        <v>0.99415204678362568</v>
      </c>
      <c r="AC460" s="11">
        <v>130.17088080022231</v>
      </c>
      <c r="AD460" s="9">
        <v>22713.954802259886</v>
      </c>
      <c r="AE460" s="8">
        <v>0.25</v>
      </c>
    </row>
    <row r="461" spans="1:31" x14ac:dyDescent="0.35">
      <c r="A461" s="6" t="s">
        <v>482</v>
      </c>
      <c r="B461" s="7">
        <v>0</v>
      </c>
      <c r="C461" s="7">
        <v>7</v>
      </c>
      <c r="D461" s="7">
        <v>5</v>
      </c>
      <c r="E461" s="7">
        <v>6</v>
      </c>
      <c r="F461">
        <v>39</v>
      </c>
      <c r="G461">
        <v>-24</v>
      </c>
      <c r="H461">
        <v>-62.08</v>
      </c>
      <c r="I461">
        <v>-27</v>
      </c>
      <c r="J461">
        <v>-69.98</v>
      </c>
      <c r="K461">
        <v>146</v>
      </c>
      <c r="L461">
        <v>106</v>
      </c>
      <c r="M461">
        <v>40</v>
      </c>
      <c r="N461">
        <v>121.26</v>
      </c>
      <c r="O461">
        <v>-74.58</v>
      </c>
      <c r="P461">
        <v>0</v>
      </c>
      <c r="Q461">
        <v>0</v>
      </c>
      <c r="R461">
        <v>4.18</v>
      </c>
      <c r="S461">
        <v>-1016</v>
      </c>
      <c r="T461">
        <v>-6</v>
      </c>
      <c r="U461">
        <v>1451</v>
      </c>
      <c r="V461">
        <v>-20</v>
      </c>
      <c r="W461">
        <v>-14.15</v>
      </c>
      <c r="X461" s="10">
        <v>0.52714994791983538</v>
      </c>
      <c r="Y461" s="9">
        <v>8600</v>
      </c>
      <c r="Z461" s="9">
        <v>6310</v>
      </c>
      <c r="AA461" s="9">
        <v>8250</v>
      </c>
      <c r="AB461">
        <v>0.84716157205240172</v>
      </c>
      <c r="AC461" s="11">
        <v>23.844956932481246</v>
      </c>
      <c r="AD461" s="9">
        <v>6481.7288135593217</v>
      </c>
      <c r="AE461" s="8">
        <v>0.13793103448275862</v>
      </c>
    </row>
    <row r="462" spans="1:31" x14ac:dyDescent="0.35">
      <c r="A462" s="6" t="s">
        <v>483</v>
      </c>
      <c r="B462" s="7">
        <v>8</v>
      </c>
      <c r="C462" s="7">
        <v>9</v>
      </c>
      <c r="D462" s="7">
        <v>1</v>
      </c>
      <c r="E462" s="7">
        <v>0</v>
      </c>
      <c r="F462">
        <v>168</v>
      </c>
      <c r="G462">
        <v>38</v>
      </c>
      <c r="H462">
        <v>22.37</v>
      </c>
      <c r="I462">
        <v>33</v>
      </c>
      <c r="J462">
        <v>19.66</v>
      </c>
      <c r="K462">
        <v>304</v>
      </c>
      <c r="L462">
        <v>51</v>
      </c>
      <c r="M462">
        <v>252</v>
      </c>
      <c r="N462">
        <v>227.49</v>
      </c>
      <c r="O462">
        <v>18.34</v>
      </c>
      <c r="P462">
        <v>13.08</v>
      </c>
      <c r="Q462">
        <v>2.38</v>
      </c>
      <c r="R462">
        <v>2.58</v>
      </c>
      <c r="S462">
        <v>287</v>
      </c>
      <c r="T462">
        <v>1577</v>
      </c>
      <c r="U462">
        <v>1456</v>
      </c>
      <c r="V462">
        <v>53</v>
      </c>
      <c r="W462">
        <v>10.94</v>
      </c>
      <c r="X462" s="10">
        <v>0.42177393016604975</v>
      </c>
      <c r="Y462" s="9">
        <v>3600</v>
      </c>
      <c r="Z462" s="9">
        <v>3130</v>
      </c>
      <c r="AA462" s="9">
        <v>3300</v>
      </c>
      <c r="AB462">
        <v>0.36170212765957449</v>
      </c>
      <c r="AC462" s="11">
        <v>4.1986662961933883</v>
      </c>
      <c r="AD462" s="9">
        <v>3218.6073446327682</v>
      </c>
      <c r="AE462" s="8">
        <v>5.4313099041533544E-2</v>
      </c>
    </row>
    <row r="463" spans="1:31" x14ac:dyDescent="0.35">
      <c r="A463" s="6" t="s">
        <v>484</v>
      </c>
      <c r="B463" s="7">
        <v>15</v>
      </c>
      <c r="C463" s="7">
        <v>0</v>
      </c>
      <c r="D463" s="7">
        <v>3</v>
      </c>
      <c r="E463" s="7">
        <v>0</v>
      </c>
      <c r="F463">
        <v>1664</v>
      </c>
      <c r="G463">
        <v>192</v>
      </c>
      <c r="H463">
        <v>11.54</v>
      </c>
      <c r="I463">
        <v>275</v>
      </c>
      <c r="J463">
        <v>16.53</v>
      </c>
      <c r="K463">
        <v>2413</v>
      </c>
      <c r="L463">
        <v>1477</v>
      </c>
      <c r="M463">
        <v>937</v>
      </c>
      <c r="N463">
        <v>1779.15</v>
      </c>
      <c r="O463">
        <v>43.05</v>
      </c>
      <c r="P463">
        <v>7.08</v>
      </c>
      <c r="Q463">
        <v>2.96</v>
      </c>
      <c r="R463">
        <v>1.17</v>
      </c>
      <c r="S463">
        <v>3815</v>
      </c>
      <c r="T463">
        <v>9119</v>
      </c>
      <c r="U463">
        <v>23067</v>
      </c>
      <c r="V463">
        <v>390</v>
      </c>
      <c r="W463">
        <v>0</v>
      </c>
      <c r="X463" s="10">
        <v>6.9269147115392823E-2</v>
      </c>
      <c r="Y463" s="9">
        <v>30300</v>
      </c>
      <c r="Z463" s="9">
        <v>24000</v>
      </c>
      <c r="AA463" s="9">
        <v>25900</v>
      </c>
      <c r="AB463">
        <v>0.30158730158730157</v>
      </c>
      <c r="AC463" s="11">
        <v>-22.621561544873575</v>
      </c>
      <c r="AD463" s="9">
        <v>28054.124293785313</v>
      </c>
      <c r="AE463" s="8">
        <v>7.9166666666666663E-2</v>
      </c>
    </row>
    <row r="464" spans="1:31" x14ac:dyDescent="0.35">
      <c r="A464" s="6" t="s">
        <v>485</v>
      </c>
      <c r="B464" s="7">
        <v>5</v>
      </c>
      <c r="C464" s="7">
        <v>1</v>
      </c>
      <c r="D464" s="7">
        <v>7</v>
      </c>
      <c r="E464" s="7">
        <v>5</v>
      </c>
      <c r="F464">
        <v>2123</v>
      </c>
      <c r="G464">
        <v>-101</v>
      </c>
      <c r="H464">
        <v>-4.74</v>
      </c>
      <c r="I464">
        <v>-394</v>
      </c>
      <c r="J464">
        <v>-18.57</v>
      </c>
      <c r="K464">
        <v>3628</v>
      </c>
      <c r="L464">
        <v>3692</v>
      </c>
      <c r="M464">
        <v>-63</v>
      </c>
      <c r="N464">
        <v>-112.16</v>
      </c>
      <c r="O464">
        <v>0</v>
      </c>
      <c r="P464">
        <v>0</v>
      </c>
      <c r="Q464">
        <v>0</v>
      </c>
      <c r="R464">
        <v>0.24</v>
      </c>
      <c r="S464">
        <v>-6639</v>
      </c>
      <c r="T464">
        <v>-1332</v>
      </c>
      <c r="U464">
        <v>35753</v>
      </c>
      <c r="V464">
        <v>-126</v>
      </c>
      <c r="W464">
        <v>-13.39</v>
      </c>
      <c r="X464" s="10">
        <v>0.21561932742459919</v>
      </c>
      <c r="Y464" s="9">
        <v>20200</v>
      </c>
      <c r="Z464" s="9">
        <v>2520</v>
      </c>
      <c r="AA464" s="9">
        <v>20200</v>
      </c>
      <c r="AB464">
        <v>1</v>
      </c>
      <c r="AC464" s="11">
        <v>130.63628785773827</v>
      </c>
      <c r="AD464" s="9">
        <v>61.426553672316459</v>
      </c>
      <c r="AE464" s="8">
        <v>6.2014260249554365</v>
      </c>
    </row>
    <row r="465" spans="1:31" x14ac:dyDescent="0.35">
      <c r="A465" s="6" t="s">
        <v>486</v>
      </c>
      <c r="B465" s="7">
        <v>14</v>
      </c>
      <c r="C465" s="7">
        <v>1</v>
      </c>
      <c r="D465" s="7">
        <v>2</v>
      </c>
      <c r="E465" s="7">
        <v>1</v>
      </c>
      <c r="F465">
        <v>3413</v>
      </c>
      <c r="G465">
        <v>139</v>
      </c>
      <c r="H465">
        <v>4.08</v>
      </c>
      <c r="I465">
        <v>176</v>
      </c>
      <c r="J465">
        <v>5.16</v>
      </c>
      <c r="K465">
        <v>2403</v>
      </c>
      <c r="L465">
        <v>1529</v>
      </c>
      <c r="M465">
        <v>875</v>
      </c>
      <c r="N465">
        <v>58.33</v>
      </c>
      <c r="O465">
        <v>22.24</v>
      </c>
      <c r="P465">
        <v>7.67</v>
      </c>
      <c r="Q465">
        <v>1.54</v>
      </c>
      <c r="R465">
        <v>0.39</v>
      </c>
      <c r="S465">
        <v>159</v>
      </c>
      <c r="T465">
        <v>791</v>
      </c>
      <c r="U465">
        <v>3089</v>
      </c>
      <c r="V465">
        <v>196</v>
      </c>
      <c r="W465">
        <v>10.54</v>
      </c>
      <c r="X465" s="10">
        <v>0.29356213048993546</v>
      </c>
      <c r="Y465" s="9">
        <v>1430</v>
      </c>
      <c r="Z465" s="9">
        <v>1130</v>
      </c>
      <c r="AA465" s="9">
        <v>1235</v>
      </c>
      <c r="AB465">
        <v>0.35</v>
      </c>
      <c r="AC465" s="11">
        <v>2.7238121700472355</v>
      </c>
      <c r="AD465" s="9">
        <v>1147.4237288135594</v>
      </c>
      <c r="AE465" s="8">
        <v>3.7815126050420166E-2</v>
      </c>
    </row>
    <row r="466" spans="1:31" x14ac:dyDescent="0.35">
      <c r="A466" s="6" t="s">
        <v>487</v>
      </c>
      <c r="B466" s="7">
        <v>0</v>
      </c>
      <c r="C466" s="7">
        <v>0</v>
      </c>
      <c r="D466" s="7">
        <v>0</v>
      </c>
      <c r="E466" s="7">
        <v>18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 s="10">
        <v>0.59012234623618431</v>
      </c>
      <c r="Y466" s="9">
        <v>10700</v>
      </c>
      <c r="Z466" s="9">
        <v>3435</v>
      </c>
      <c r="AA466" s="9">
        <v>6380</v>
      </c>
      <c r="AB466">
        <v>0.40536820371644872</v>
      </c>
      <c r="AC466" s="11">
        <v>85.261739372047785</v>
      </c>
      <c r="AD466" s="9">
        <v>2393.5169491525426</v>
      </c>
      <c r="AE466" s="8">
        <v>0.71505376344086025</v>
      </c>
    </row>
    <row r="467" spans="1:31" x14ac:dyDescent="0.35">
      <c r="A467" s="6" t="s">
        <v>488</v>
      </c>
      <c r="B467" s="7">
        <v>4</v>
      </c>
      <c r="C467" s="7">
        <v>6</v>
      </c>
      <c r="D467" s="7">
        <v>8</v>
      </c>
      <c r="E467" s="7">
        <v>0</v>
      </c>
      <c r="F467">
        <v>593</v>
      </c>
      <c r="G467">
        <v>35</v>
      </c>
      <c r="H467">
        <v>5.93</v>
      </c>
      <c r="I467">
        <v>-7</v>
      </c>
      <c r="J467">
        <v>-1.18</v>
      </c>
      <c r="K467">
        <v>1706</v>
      </c>
      <c r="L467">
        <v>904</v>
      </c>
      <c r="M467">
        <v>802</v>
      </c>
      <c r="N467">
        <v>388.27</v>
      </c>
      <c r="O467">
        <v>-0.87</v>
      </c>
      <c r="P467">
        <v>0</v>
      </c>
      <c r="Q467">
        <v>0.52</v>
      </c>
      <c r="R467">
        <v>0.4</v>
      </c>
      <c r="S467">
        <v>-334</v>
      </c>
      <c r="T467">
        <v>21882</v>
      </c>
      <c r="U467">
        <v>28256</v>
      </c>
      <c r="V467">
        <v>46</v>
      </c>
      <c r="W467">
        <v>20.77</v>
      </c>
      <c r="X467" s="10">
        <v>0.63160877682588612</v>
      </c>
      <c r="Y467" s="9">
        <v>18100</v>
      </c>
      <c r="Z467" s="9">
        <v>11350</v>
      </c>
      <c r="AA467" s="9">
        <v>16050</v>
      </c>
      <c r="AB467">
        <v>0.6962962962962963</v>
      </c>
      <c r="AC467" s="11">
        <v>71.147540983606547</v>
      </c>
      <c r="AD467" s="9">
        <v>11576.666666666666</v>
      </c>
      <c r="AE467" s="8">
        <v>0.41409691629955947</v>
      </c>
    </row>
    <row r="468" spans="1:31" x14ac:dyDescent="0.35">
      <c r="A468" s="6" t="s">
        <v>489</v>
      </c>
      <c r="B468" s="7">
        <v>0</v>
      </c>
      <c r="C468" s="7">
        <v>6</v>
      </c>
      <c r="D468" s="7">
        <v>3</v>
      </c>
      <c r="E468" s="7">
        <v>9</v>
      </c>
      <c r="F468">
        <v>11263</v>
      </c>
      <c r="G468">
        <v>-261</v>
      </c>
      <c r="H468">
        <v>-2.3199999999999998</v>
      </c>
      <c r="I468">
        <v>17</v>
      </c>
      <c r="J468">
        <v>0.15</v>
      </c>
      <c r="K468">
        <v>9573</v>
      </c>
      <c r="L468">
        <v>1356</v>
      </c>
      <c r="M468">
        <v>8217</v>
      </c>
      <c r="N468">
        <v>18954.93</v>
      </c>
      <c r="O468">
        <v>0.2</v>
      </c>
      <c r="P468">
        <v>288.88</v>
      </c>
      <c r="Q468">
        <v>0.7</v>
      </c>
      <c r="R468">
        <v>0.48</v>
      </c>
      <c r="S468">
        <v>2212</v>
      </c>
      <c r="T468">
        <v>918501</v>
      </c>
      <c r="U468">
        <v>1330791</v>
      </c>
      <c r="V468">
        <v>147</v>
      </c>
      <c r="W468">
        <v>34.24</v>
      </c>
      <c r="X468" s="10">
        <v>0.32487599016740254</v>
      </c>
      <c r="Y468" s="9">
        <v>743000</v>
      </c>
      <c r="Z468" s="9">
        <v>627000</v>
      </c>
      <c r="AA468" s="9">
        <v>743000</v>
      </c>
      <c r="AB468">
        <v>1</v>
      </c>
      <c r="AC468" s="11">
        <v>1059.4609613781606</v>
      </c>
      <c r="AD468" s="9">
        <v>667019.77401129948</v>
      </c>
      <c r="AE468" s="8">
        <v>0.17936507936507937</v>
      </c>
    </row>
    <row r="469" spans="1:31" x14ac:dyDescent="0.35">
      <c r="A469" s="6" t="s">
        <v>490</v>
      </c>
      <c r="B469" s="7">
        <v>0</v>
      </c>
      <c r="C469" s="7">
        <v>0</v>
      </c>
      <c r="D469" s="7">
        <v>0</v>
      </c>
      <c r="E469" s="7">
        <v>18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 s="10">
        <v>0.17052360245450296</v>
      </c>
      <c r="Y469" s="9">
        <v>283000</v>
      </c>
      <c r="Z469" s="9">
        <v>243000</v>
      </c>
      <c r="AA469" s="9">
        <v>270000</v>
      </c>
      <c r="AB469">
        <v>0.67500000000000004</v>
      </c>
      <c r="AC469" s="11">
        <v>263.79549874965267</v>
      </c>
      <c r="AD469" s="9">
        <v>259470.90395480228</v>
      </c>
      <c r="AE469" s="8">
        <v>7.3558648111332003E-2</v>
      </c>
    </row>
    <row r="470" spans="1:31" x14ac:dyDescent="0.35">
      <c r="A470" s="6" t="s">
        <v>491</v>
      </c>
      <c r="B470" s="7">
        <v>0</v>
      </c>
      <c r="C470" s="7">
        <v>8</v>
      </c>
      <c r="D470" s="7">
        <v>3</v>
      </c>
      <c r="E470" s="7">
        <v>7</v>
      </c>
      <c r="F470">
        <v>1832</v>
      </c>
      <c r="G470">
        <v>-98</v>
      </c>
      <c r="H470">
        <v>-5.38</v>
      </c>
      <c r="I470">
        <v>22</v>
      </c>
      <c r="J470">
        <v>1.21</v>
      </c>
      <c r="K470">
        <v>1803</v>
      </c>
      <c r="L470">
        <v>402</v>
      </c>
      <c r="M470">
        <v>1401</v>
      </c>
      <c r="N470">
        <v>1987.64</v>
      </c>
      <c r="O470">
        <v>1.58</v>
      </c>
      <c r="P470">
        <v>24.16</v>
      </c>
      <c r="Q470">
        <v>0.42</v>
      </c>
      <c r="R470">
        <v>0.28999999999999998</v>
      </c>
      <c r="S470">
        <v>344</v>
      </c>
      <c r="T470">
        <v>19640</v>
      </c>
      <c r="U470">
        <v>28457</v>
      </c>
      <c r="V470">
        <v>-81</v>
      </c>
      <c r="W470">
        <v>-9.16</v>
      </c>
      <c r="X470" s="10">
        <v>0.44965614527657471</v>
      </c>
      <c r="Y470" s="9">
        <v>14000</v>
      </c>
      <c r="Z470" s="9">
        <v>7700</v>
      </c>
      <c r="AA470" s="9">
        <v>9860</v>
      </c>
      <c r="AB470">
        <v>0.34285714285714286</v>
      </c>
      <c r="AC470" s="11">
        <v>61.875243123089746</v>
      </c>
      <c r="AD470" s="9">
        <v>7359.3050847457625</v>
      </c>
      <c r="AE470" s="8">
        <v>0.20243902439024392</v>
      </c>
    </row>
    <row r="471" spans="1:31" x14ac:dyDescent="0.35">
      <c r="A471" s="6" t="s">
        <v>492</v>
      </c>
      <c r="B471" s="7">
        <v>8</v>
      </c>
      <c r="C471" s="7">
        <v>4</v>
      </c>
      <c r="D471" s="7">
        <v>4</v>
      </c>
      <c r="E471" s="7">
        <v>2</v>
      </c>
      <c r="F471">
        <v>12518</v>
      </c>
      <c r="G471">
        <v>182</v>
      </c>
      <c r="H471">
        <v>1.46</v>
      </c>
      <c r="I471">
        <v>182</v>
      </c>
      <c r="J471">
        <v>1.45</v>
      </c>
      <c r="K471">
        <v>5200</v>
      </c>
      <c r="L471">
        <v>1518</v>
      </c>
      <c r="M471">
        <v>3682</v>
      </c>
      <c r="N471">
        <v>656.45</v>
      </c>
      <c r="O471">
        <v>5.03</v>
      </c>
      <c r="P471">
        <v>23.93</v>
      </c>
      <c r="Q471">
        <v>1.23</v>
      </c>
      <c r="R471">
        <v>0.35</v>
      </c>
      <c r="S471">
        <v>379</v>
      </c>
      <c r="T471">
        <v>7377</v>
      </c>
      <c r="U471">
        <v>26106</v>
      </c>
      <c r="V471">
        <v>311</v>
      </c>
      <c r="W471">
        <v>15.12</v>
      </c>
      <c r="X471" s="10">
        <v>0.43229992411336543</v>
      </c>
      <c r="Y471" s="9">
        <v>9440</v>
      </c>
      <c r="Z471" s="9">
        <v>8410</v>
      </c>
      <c r="AA471" s="9">
        <v>8930</v>
      </c>
      <c r="AB471">
        <v>0.50485436893203883</v>
      </c>
      <c r="AC471" s="11">
        <v>-9.9133092525701585</v>
      </c>
      <c r="AD471" s="9">
        <v>9194.3559322033907</v>
      </c>
      <c r="AE471" s="8">
        <v>-1.434878587196468E-2</v>
      </c>
    </row>
    <row r="472" spans="1:31" x14ac:dyDescent="0.35">
      <c r="A472" s="6" t="s">
        <v>493</v>
      </c>
      <c r="B472" s="7">
        <v>5</v>
      </c>
      <c r="C472" s="7">
        <v>7</v>
      </c>
      <c r="D472" s="7">
        <v>4</v>
      </c>
      <c r="E472" s="7">
        <v>2</v>
      </c>
      <c r="F472">
        <v>727</v>
      </c>
      <c r="G472">
        <v>31</v>
      </c>
      <c r="H472">
        <v>4.32</v>
      </c>
      <c r="I472">
        <v>31</v>
      </c>
      <c r="J472">
        <v>4.3</v>
      </c>
      <c r="K472">
        <v>1131</v>
      </c>
      <c r="L472">
        <v>138</v>
      </c>
      <c r="M472">
        <v>993</v>
      </c>
      <c r="N472">
        <v>1591.79</v>
      </c>
      <c r="O472">
        <v>4.2300000000000004</v>
      </c>
      <c r="P472">
        <v>18.309999999999999</v>
      </c>
      <c r="Q472">
        <v>0.77</v>
      </c>
      <c r="R472">
        <v>0.79</v>
      </c>
      <c r="S472">
        <v>355</v>
      </c>
      <c r="T472">
        <v>8459</v>
      </c>
      <c r="U472">
        <v>8253</v>
      </c>
      <c r="V472">
        <v>45</v>
      </c>
      <c r="W472">
        <v>17.05</v>
      </c>
      <c r="X472" s="10">
        <v>0.72569816902262385</v>
      </c>
      <c r="Y472" s="9">
        <v>5880</v>
      </c>
      <c r="Z472" s="9">
        <v>5060</v>
      </c>
      <c r="AA472" s="9">
        <v>5720</v>
      </c>
      <c r="AB472">
        <v>0.80487804878048785</v>
      </c>
      <c r="AC472" s="11">
        <v>10.514031675465407</v>
      </c>
      <c r="AD472" s="9">
        <v>5027.3220338983047</v>
      </c>
      <c r="AE472" s="8">
        <v>7.9245283018867921E-2</v>
      </c>
    </row>
    <row r="473" spans="1:31" x14ac:dyDescent="0.35">
      <c r="A473" s="6" t="s">
        <v>494</v>
      </c>
      <c r="B473" s="7">
        <v>9</v>
      </c>
      <c r="C473" s="7">
        <v>0</v>
      </c>
      <c r="D473" s="7">
        <v>8</v>
      </c>
      <c r="E473" s="7">
        <v>1</v>
      </c>
      <c r="F473">
        <v>961</v>
      </c>
      <c r="G473">
        <v>216</v>
      </c>
      <c r="H473">
        <v>22.5</v>
      </c>
      <c r="I473">
        <v>169</v>
      </c>
      <c r="J473">
        <v>17.62</v>
      </c>
      <c r="K473">
        <v>899</v>
      </c>
      <c r="L473">
        <v>221</v>
      </c>
      <c r="M473">
        <v>678</v>
      </c>
      <c r="N473">
        <v>602.27</v>
      </c>
      <c r="O473">
        <v>38.07</v>
      </c>
      <c r="P473">
        <v>38.51</v>
      </c>
      <c r="Q473">
        <v>13.27</v>
      </c>
      <c r="R473">
        <v>6.79</v>
      </c>
      <c r="S473">
        <v>1179</v>
      </c>
      <c r="T473">
        <v>3422</v>
      </c>
      <c r="U473">
        <v>6687</v>
      </c>
      <c r="V473">
        <v>294</v>
      </c>
      <c r="W473">
        <v>29.85</v>
      </c>
      <c r="X473" s="10">
        <v>0.77842254021318613</v>
      </c>
      <c r="Y473" s="9">
        <v>81500</v>
      </c>
      <c r="Z473" s="9">
        <v>45550</v>
      </c>
      <c r="AA473" s="9">
        <v>76000</v>
      </c>
      <c r="AB473">
        <v>0.847009735744089</v>
      </c>
      <c r="AC473" s="11">
        <v>531.87552097804951</v>
      </c>
      <c r="AD473" s="9">
        <v>40781.129943502827</v>
      </c>
      <c r="AE473" s="8">
        <v>0.64859002169197399</v>
      </c>
    </row>
    <row r="474" spans="1:31" x14ac:dyDescent="0.35">
      <c r="A474" s="6" t="s">
        <v>495</v>
      </c>
      <c r="B474" s="7">
        <v>2</v>
      </c>
      <c r="C474" s="7">
        <v>8</v>
      </c>
      <c r="D474" s="7">
        <v>1</v>
      </c>
      <c r="E474" s="7">
        <v>7</v>
      </c>
      <c r="F474">
        <v>130</v>
      </c>
      <c r="G474">
        <v>-26</v>
      </c>
      <c r="H474">
        <v>-19.760000000000002</v>
      </c>
      <c r="I474">
        <v>-40</v>
      </c>
      <c r="J474">
        <v>-30.87</v>
      </c>
      <c r="K474">
        <v>331</v>
      </c>
      <c r="L474">
        <v>130</v>
      </c>
      <c r="M474">
        <v>202</v>
      </c>
      <c r="N474">
        <v>-12.23</v>
      </c>
      <c r="O474">
        <v>-27.97</v>
      </c>
      <c r="P474">
        <v>0</v>
      </c>
      <c r="Q474">
        <v>4.7</v>
      </c>
      <c r="R474">
        <v>4.25</v>
      </c>
      <c r="S474">
        <v>-120</v>
      </c>
      <c r="T474">
        <v>353</v>
      </c>
      <c r="U474">
        <v>391</v>
      </c>
      <c r="V474">
        <v>-22</v>
      </c>
      <c r="W474">
        <v>-38.01</v>
      </c>
      <c r="X474" s="10">
        <v>1.631227972803127E-3</v>
      </c>
      <c r="Y474" s="9">
        <v>1920</v>
      </c>
      <c r="Z474" s="9">
        <v>1605</v>
      </c>
      <c r="AA474" s="9">
        <v>1750</v>
      </c>
      <c r="AB474">
        <v>0.46031746031746029</v>
      </c>
      <c r="AC474" s="11">
        <v>-0.15129202556265625</v>
      </c>
      <c r="AD474" s="9">
        <v>1771.0310734463278</v>
      </c>
      <c r="AE474" s="8">
        <v>9.0342679127725853E-2</v>
      </c>
    </row>
    <row r="475" spans="1:31" x14ac:dyDescent="0.35">
      <c r="A475" s="6" t="s">
        <v>496</v>
      </c>
      <c r="B475" s="7">
        <v>5</v>
      </c>
      <c r="C475" s="7">
        <v>3</v>
      </c>
      <c r="D475" s="7">
        <v>4</v>
      </c>
      <c r="E475" s="7">
        <v>6</v>
      </c>
      <c r="F475">
        <v>1396</v>
      </c>
      <c r="G475">
        <v>392</v>
      </c>
      <c r="H475">
        <v>28.06</v>
      </c>
      <c r="I475">
        <v>13</v>
      </c>
      <c r="J475">
        <v>0.91</v>
      </c>
      <c r="K475">
        <v>4615</v>
      </c>
      <c r="L475">
        <v>993</v>
      </c>
      <c r="M475">
        <v>3622</v>
      </c>
      <c r="N475">
        <v>3323.08</v>
      </c>
      <c r="O475">
        <v>0.35</v>
      </c>
      <c r="P475">
        <v>385.59</v>
      </c>
      <c r="Q475">
        <v>1.41</v>
      </c>
      <c r="R475">
        <v>3.53</v>
      </c>
      <c r="S475">
        <v>59</v>
      </c>
      <c r="T475">
        <v>16140</v>
      </c>
      <c r="U475">
        <v>6445</v>
      </c>
      <c r="V475">
        <v>447</v>
      </c>
      <c r="W475">
        <v>11.15</v>
      </c>
      <c r="X475" s="10">
        <v>4.1706899871236007E-3</v>
      </c>
      <c r="Y475" s="9">
        <v>23700</v>
      </c>
      <c r="Z475" s="9">
        <v>20100</v>
      </c>
      <c r="AA475" s="9">
        <v>22850</v>
      </c>
      <c r="AB475">
        <v>0.76388888888888884</v>
      </c>
      <c r="AC475" s="11">
        <v>-3.3453737149208123</v>
      </c>
      <c r="AD475" s="9">
        <v>22195.367231638418</v>
      </c>
      <c r="AE475" s="8">
        <v>2.6966292134831461E-2</v>
      </c>
    </row>
    <row r="476" spans="1:31" x14ac:dyDescent="0.35">
      <c r="A476" s="6" t="s">
        <v>497</v>
      </c>
      <c r="B476" s="7">
        <v>9</v>
      </c>
      <c r="C476" s="7">
        <v>3</v>
      </c>
      <c r="D476" s="7">
        <v>6</v>
      </c>
      <c r="E476" s="7">
        <v>0</v>
      </c>
      <c r="F476">
        <v>411</v>
      </c>
      <c r="G476">
        <v>67</v>
      </c>
      <c r="H476">
        <v>16.3</v>
      </c>
      <c r="I476">
        <v>63</v>
      </c>
      <c r="J476">
        <v>15.23</v>
      </c>
      <c r="K476">
        <v>681</v>
      </c>
      <c r="L476">
        <v>170</v>
      </c>
      <c r="M476">
        <v>510</v>
      </c>
      <c r="N476">
        <v>738.94</v>
      </c>
      <c r="O476">
        <v>17.420000000000002</v>
      </c>
      <c r="P476">
        <v>22.43</v>
      </c>
      <c r="Q476">
        <v>4.29</v>
      </c>
      <c r="R476">
        <v>3.42</v>
      </c>
      <c r="S476">
        <v>651</v>
      </c>
      <c r="T476">
        <v>3400</v>
      </c>
      <c r="U476">
        <v>4271</v>
      </c>
      <c r="V476">
        <v>97</v>
      </c>
      <c r="W476">
        <v>20.3</v>
      </c>
      <c r="X476" s="10">
        <v>0.68797524769964225</v>
      </c>
      <c r="Y476" s="9">
        <v>15050</v>
      </c>
      <c r="Z476" s="9">
        <v>10000</v>
      </c>
      <c r="AA476" s="9">
        <v>13850</v>
      </c>
      <c r="AB476">
        <v>0.76237623762376239</v>
      </c>
      <c r="AC476" s="11">
        <v>58.389830508474574</v>
      </c>
      <c r="AD476" s="9">
        <v>11246.610169491525</v>
      </c>
      <c r="AE476" s="8">
        <v>0.3645320197044335</v>
      </c>
    </row>
    <row r="477" spans="1:31" x14ac:dyDescent="0.35">
      <c r="A477" s="6" t="s">
        <v>498</v>
      </c>
      <c r="B477" s="7">
        <v>1</v>
      </c>
      <c r="C477" s="7">
        <v>13</v>
      </c>
      <c r="D477" s="7">
        <v>1</v>
      </c>
      <c r="E477" s="7">
        <v>3</v>
      </c>
      <c r="F477">
        <v>16</v>
      </c>
      <c r="G477">
        <v>6</v>
      </c>
      <c r="H477">
        <v>36.32</v>
      </c>
      <c r="I477">
        <v>65</v>
      </c>
      <c r="J477">
        <v>413.47</v>
      </c>
      <c r="K477">
        <v>2724</v>
      </c>
      <c r="L477">
        <v>4</v>
      </c>
      <c r="M477">
        <v>2720</v>
      </c>
      <c r="N477">
        <v>5812.38</v>
      </c>
      <c r="O477">
        <v>2.4500000000000002</v>
      </c>
      <c r="P477">
        <v>19.64</v>
      </c>
      <c r="Q477">
        <v>0.48</v>
      </c>
      <c r="R477">
        <v>81.25</v>
      </c>
      <c r="S477">
        <v>728</v>
      </c>
      <c r="T477">
        <v>29702</v>
      </c>
      <c r="U477">
        <v>176</v>
      </c>
      <c r="V477">
        <v>6</v>
      </c>
      <c r="W477">
        <v>217.03</v>
      </c>
      <c r="X477" s="10">
        <v>0.4779248179007925</v>
      </c>
      <c r="Y477" s="9">
        <v>17450</v>
      </c>
      <c r="Z477" s="9">
        <v>13500</v>
      </c>
      <c r="AA477" s="9">
        <v>17200</v>
      </c>
      <c r="AB477">
        <v>0.93670886075949367</v>
      </c>
      <c r="AC477" s="11">
        <v>31.725479299805503</v>
      </c>
      <c r="AD477" s="9">
        <v>14075.706214689266</v>
      </c>
      <c r="AE477" s="8">
        <v>0.22857142857142856</v>
      </c>
    </row>
    <row r="478" spans="1:31" x14ac:dyDescent="0.35">
      <c r="A478" s="6" t="s">
        <v>499</v>
      </c>
      <c r="B478" s="7">
        <v>3</v>
      </c>
      <c r="C478" s="7">
        <v>8</v>
      </c>
      <c r="D478" s="7">
        <v>4</v>
      </c>
      <c r="E478" s="7">
        <v>3</v>
      </c>
      <c r="F478">
        <v>275</v>
      </c>
      <c r="G478">
        <v>24</v>
      </c>
      <c r="H478">
        <v>8.65</v>
      </c>
      <c r="I478">
        <v>19</v>
      </c>
      <c r="J478">
        <v>6.8</v>
      </c>
      <c r="K478">
        <v>755</v>
      </c>
      <c r="L478">
        <v>143</v>
      </c>
      <c r="M478">
        <v>612</v>
      </c>
      <c r="N478">
        <v>1253.5999999999999</v>
      </c>
      <c r="O478">
        <v>4.09</v>
      </c>
      <c r="P478">
        <v>19.04</v>
      </c>
      <c r="Q478">
        <v>0.9</v>
      </c>
      <c r="R478">
        <v>1.3</v>
      </c>
      <c r="S478">
        <v>292</v>
      </c>
      <c r="T478">
        <v>6168</v>
      </c>
      <c r="U478">
        <v>4293</v>
      </c>
      <c r="V478">
        <v>57</v>
      </c>
      <c r="W478">
        <v>9.1</v>
      </c>
      <c r="X478" s="10">
        <v>0.77517883739906412</v>
      </c>
      <c r="Y478" s="9">
        <v>5780</v>
      </c>
      <c r="Z478" s="9">
        <v>4470</v>
      </c>
      <c r="AA478" s="9">
        <v>5490</v>
      </c>
      <c r="AB478">
        <v>0.77862595419847325</v>
      </c>
      <c r="AC478" s="11">
        <v>20.594470686301747</v>
      </c>
      <c r="AD478" s="9">
        <v>4269.9519774011296</v>
      </c>
      <c r="AE478" s="8">
        <v>0.11698880976602238</v>
      </c>
    </row>
    <row r="479" spans="1:31" x14ac:dyDescent="0.35">
      <c r="A479" s="6" t="s">
        <v>500</v>
      </c>
      <c r="B479" s="7">
        <v>11</v>
      </c>
      <c r="C479" s="7">
        <v>4</v>
      </c>
      <c r="D479" s="7">
        <v>3</v>
      </c>
      <c r="E479" s="7">
        <v>0</v>
      </c>
      <c r="F479">
        <v>167</v>
      </c>
      <c r="G479">
        <v>27</v>
      </c>
      <c r="H479">
        <v>15.98</v>
      </c>
      <c r="I479">
        <v>21</v>
      </c>
      <c r="J479">
        <v>12.48</v>
      </c>
      <c r="K479">
        <v>339</v>
      </c>
      <c r="L479">
        <v>32</v>
      </c>
      <c r="M479">
        <v>307</v>
      </c>
      <c r="N479">
        <v>794.94</v>
      </c>
      <c r="O479">
        <v>9.11</v>
      </c>
      <c r="P479">
        <v>35.81</v>
      </c>
      <c r="Q479">
        <v>3.91</v>
      </c>
      <c r="R479">
        <v>4.47</v>
      </c>
      <c r="S479">
        <v>391</v>
      </c>
      <c r="T479">
        <v>3582</v>
      </c>
      <c r="U479">
        <v>3131</v>
      </c>
      <c r="V479">
        <v>45</v>
      </c>
      <c r="W479">
        <v>23.22</v>
      </c>
      <c r="X479" s="10">
        <v>0.61225710321312621</v>
      </c>
      <c r="Y479" s="9">
        <v>24000</v>
      </c>
      <c r="Z479" s="9">
        <v>13300</v>
      </c>
      <c r="AA479" s="9">
        <v>23400</v>
      </c>
      <c r="AB479">
        <v>0.94392523364485981</v>
      </c>
      <c r="AC479" s="11">
        <v>124.22061683801056</v>
      </c>
      <c r="AD479" s="9">
        <v>12347.937853107343</v>
      </c>
      <c r="AE479" s="8">
        <v>0.65957446808510634</v>
      </c>
    </row>
    <row r="480" spans="1:31" x14ac:dyDescent="0.35">
      <c r="A480" s="6" t="s">
        <v>501</v>
      </c>
      <c r="B480" s="7">
        <v>2</v>
      </c>
      <c r="C480" s="7">
        <v>10</v>
      </c>
      <c r="D480" s="7">
        <v>1</v>
      </c>
      <c r="E480" s="7">
        <v>5</v>
      </c>
      <c r="F480">
        <v>404</v>
      </c>
      <c r="G480">
        <v>-30</v>
      </c>
      <c r="H480">
        <v>-7.43</v>
      </c>
      <c r="I480">
        <v>-30</v>
      </c>
      <c r="J480">
        <v>-7.44</v>
      </c>
      <c r="K480">
        <v>516</v>
      </c>
      <c r="L480">
        <v>371</v>
      </c>
      <c r="M480">
        <v>146</v>
      </c>
      <c r="N480">
        <v>270.87</v>
      </c>
      <c r="O480">
        <v>-24.95</v>
      </c>
      <c r="P480">
        <v>0</v>
      </c>
      <c r="Q480">
        <v>1.68</v>
      </c>
      <c r="R480">
        <v>0.3</v>
      </c>
      <c r="S480">
        <v>-484</v>
      </c>
      <c r="T480">
        <v>1176</v>
      </c>
      <c r="U480">
        <v>6511</v>
      </c>
      <c r="V480">
        <v>-10</v>
      </c>
      <c r="W480">
        <v>-38.78</v>
      </c>
      <c r="X480" s="10">
        <v>0.35890512050777212</v>
      </c>
      <c r="Y480" s="9">
        <v>2345</v>
      </c>
      <c r="Z480" s="9">
        <v>1580</v>
      </c>
      <c r="AA480" s="9">
        <v>2090</v>
      </c>
      <c r="AB480">
        <v>0.66666666666666663</v>
      </c>
      <c r="AC480" s="11">
        <v>6.1418449569324816</v>
      </c>
      <c r="AD480" s="9">
        <v>1771.9237288135594</v>
      </c>
      <c r="AE480" s="8">
        <v>0.32278481012658228</v>
      </c>
    </row>
    <row r="481" spans="1:31" x14ac:dyDescent="0.35">
      <c r="A481" s="6" t="s">
        <v>502</v>
      </c>
      <c r="B481" s="7">
        <v>1</v>
      </c>
      <c r="C481" s="7">
        <v>8</v>
      </c>
      <c r="D481" s="7">
        <v>2</v>
      </c>
      <c r="E481" s="7">
        <v>7</v>
      </c>
      <c r="F481">
        <v>238</v>
      </c>
      <c r="G481">
        <v>6</v>
      </c>
      <c r="H481">
        <v>2.33</v>
      </c>
      <c r="I481">
        <v>5</v>
      </c>
      <c r="J481">
        <v>2.15</v>
      </c>
      <c r="K481">
        <v>303</v>
      </c>
      <c r="L481">
        <v>56</v>
      </c>
      <c r="M481">
        <v>247</v>
      </c>
      <c r="N481">
        <v>956.84</v>
      </c>
      <c r="O481">
        <v>2.0699999999999998</v>
      </c>
      <c r="P481">
        <v>60.47</v>
      </c>
      <c r="Q481">
        <v>1.27</v>
      </c>
      <c r="R481">
        <v>1.3</v>
      </c>
      <c r="S481">
        <v>106</v>
      </c>
      <c r="T481">
        <v>5032</v>
      </c>
      <c r="U481">
        <v>4913</v>
      </c>
      <c r="V481">
        <v>12</v>
      </c>
      <c r="W481">
        <v>25.06</v>
      </c>
      <c r="X481" s="10">
        <v>0.13565780260012969</v>
      </c>
      <c r="Y481" s="9">
        <v>6940</v>
      </c>
      <c r="Z481" s="9">
        <v>5630</v>
      </c>
      <c r="AA481" s="9">
        <v>6240</v>
      </c>
      <c r="AB481">
        <v>0.46564885496183206</v>
      </c>
      <c r="AC481" s="11">
        <v>6.9499861072520135</v>
      </c>
      <c r="AD481" s="9">
        <v>6108.1920903954806</v>
      </c>
      <c r="AE481" s="8">
        <v>-5.4545454545454543E-2</v>
      </c>
    </row>
    <row r="482" spans="1:31" x14ac:dyDescent="0.35">
      <c r="A482" s="6" t="s">
        <v>503</v>
      </c>
      <c r="B482" s="7">
        <v>3</v>
      </c>
      <c r="C482" s="7">
        <v>8</v>
      </c>
      <c r="D482" s="7">
        <v>5</v>
      </c>
      <c r="E482" s="7">
        <v>2</v>
      </c>
      <c r="F482">
        <v>254</v>
      </c>
      <c r="G482">
        <v>-13</v>
      </c>
      <c r="H482">
        <v>-5.14</v>
      </c>
      <c r="I482">
        <v>19</v>
      </c>
      <c r="J482">
        <v>7.47</v>
      </c>
      <c r="K482">
        <v>245</v>
      </c>
      <c r="L482">
        <v>108</v>
      </c>
      <c r="M482">
        <v>137</v>
      </c>
      <c r="N482">
        <v>-29</v>
      </c>
      <c r="O482">
        <v>15.46</v>
      </c>
      <c r="P482">
        <v>21</v>
      </c>
      <c r="Q482">
        <v>2.96</v>
      </c>
      <c r="R482">
        <v>1.58</v>
      </c>
      <c r="S482">
        <v>50</v>
      </c>
      <c r="T482">
        <v>355</v>
      </c>
      <c r="U482">
        <v>666</v>
      </c>
      <c r="V482">
        <v>-10</v>
      </c>
      <c r="W482">
        <v>-44.31</v>
      </c>
      <c r="X482" s="10">
        <v>0.67746394379092745</v>
      </c>
      <c r="Y482" s="9">
        <v>3280</v>
      </c>
      <c r="Z482" s="9">
        <v>1010</v>
      </c>
      <c r="AA482" s="9">
        <v>3280</v>
      </c>
      <c r="AB482">
        <v>1</v>
      </c>
      <c r="AC482" s="11">
        <v>27.981661572659071</v>
      </c>
      <c r="AD482" s="9">
        <v>663.89265536723155</v>
      </c>
      <c r="AE482" s="8">
        <v>2.215686274509804</v>
      </c>
    </row>
    <row r="483" spans="1:31" x14ac:dyDescent="0.35">
      <c r="A483" s="6" t="s">
        <v>504</v>
      </c>
      <c r="B483" s="7">
        <v>1</v>
      </c>
      <c r="C483" s="7">
        <v>4</v>
      </c>
      <c r="D483" s="7">
        <v>0</v>
      </c>
      <c r="E483" s="7">
        <v>13</v>
      </c>
      <c r="F483">
        <v>1915</v>
      </c>
      <c r="G483">
        <v>61</v>
      </c>
      <c r="H483">
        <v>3.2</v>
      </c>
      <c r="I483">
        <v>-353</v>
      </c>
      <c r="J483">
        <v>-18.46</v>
      </c>
      <c r="K483">
        <v>3088</v>
      </c>
      <c r="L483">
        <v>1903</v>
      </c>
      <c r="M483">
        <v>1185</v>
      </c>
      <c r="N483">
        <v>1026.24</v>
      </c>
      <c r="O483">
        <v>-25.93</v>
      </c>
      <c r="P483">
        <v>0</v>
      </c>
      <c r="Q483">
        <v>1.68</v>
      </c>
      <c r="R483">
        <v>0.96</v>
      </c>
      <c r="S483">
        <v>-1650</v>
      </c>
      <c r="T483">
        <v>5110</v>
      </c>
      <c r="U483">
        <v>8941</v>
      </c>
      <c r="V483">
        <v>340</v>
      </c>
      <c r="W483">
        <v>8.4</v>
      </c>
      <c r="X483" s="10">
        <v>0.61177949033317003</v>
      </c>
      <c r="Y483" s="9">
        <v>11350</v>
      </c>
      <c r="Z483" s="9">
        <v>8270</v>
      </c>
      <c r="AA483" s="9">
        <v>9450</v>
      </c>
      <c r="AB483">
        <v>0.38311688311688313</v>
      </c>
      <c r="AC483" s="11">
        <v>36.560155598777442</v>
      </c>
      <c r="AD483" s="9">
        <v>8398.2485875706225</v>
      </c>
      <c r="AE483" s="8">
        <v>9.1224018475750582E-2</v>
      </c>
    </row>
    <row r="484" spans="1:31" x14ac:dyDescent="0.35">
      <c r="A484" s="6" t="s">
        <v>505</v>
      </c>
      <c r="B484" s="7">
        <v>11</v>
      </c>
      <c r="C484" s="7">
        <v>5</v>
      </c>
      <c r="D484" s="7">
        <v>1</v>
      </c>
      <c r="E484" s="7">
        <v>1</v>
      </c>
      <c r="F484">
        <v>248</v>
      </c>
      <c r="G484">
        <v>42</v>
      </c>
      <c r="H484">
        <v>16.73</v>
      </c>
      <c r="I484">
        <v>36</v>
      </c>
      <c r="J484">
        <v>14.31</v>
      </c>
      <c r="K484">
        <v>207</v>
      </c>
      <c r="L484">
        <v>72</v>
      </c>
      <c r="M484">
        <v>135</v>
      </c>
      <c r="N484">
        <v>841.95</v>
      </c>
      <c r="O484">
        <v>29.93</v>
      </c>
      <c r="P484">
        <v>11.58</v>
      </c>
      <c r="Q484">
        <v>3.11</v>
      </c>
      <c r="R484">
        <v>1.66</v>
      </c>
      <c r="S484">
        <v>1243</v>
      </c>
      <c r="T484">
        <v>4636</v>
      </c>
      <c r="U484">
        <v>8683</v>
      </c>
      <c r="V484">
        <v>50</v>
      </c>
      <c r="W484">
        <v>8.31</v>
      </c>
      <c r="X484" s="10">
        <v>0.71786968332053336</v>
      </c>
      <c r="Y484" s="9">
        <v>15050</v>
      </c>
      <c r="Z484" s="9">
        <v>13200</v>
      </c>
      <c r="AA484" s="9">
        <v>13450</v>
      </c>
      <c r="AB484">
        <v>0.13513513513513514</v>
      </c>
      <c r="AC484" s="11">
        <v>-22.909141428174493</v>
      </c>
      <c r="AD484" s="9">
        <v>14828.728813559323</v>
      </c>
      <c r="AE484" s="8">
        <v>-6.5972222222222224E-2</v>
      </c>
    </row>
    <row r="485" spans="1:31" x14ac:dyDescent="0.35">
      <c r="A485" s="6" t="s">
        <v>506</v>
      </c>
      <c r="B485" s="7">
        <v>10</v>
      </c>
      <c r="C485" s="7">
        <v>4</v>
      </c>
      <c r="D485" s="7">
        <v>0</v>
      </c>
      <c r="E485" s="7">
        <v>4</v>
      </c>
      <c r="F485">
        <v>2148</v>
      </c>
      <c r="G485">
        <v>243</v>
      </c>
      <c r="H485">
        <v>11.3</v>
      </c>
      <c r="I485">
        <v>249</v>
      </c>
      <c r="J485">
        <v>11.58</v>
      </c>
      <c r="K485">
        <v>5685</v>
      </c>
      <c r="L485">
        <v>1263</v>
      </c>
      <c r="M485">
        <v>4422</v>
      </c>
      <c r="N485">
        <v>1524.14</v>
      </c>
      <c r="O485">
        <v>5.76</v>
      </c>
      <c r="P485">
        <v>17.93</v>
      </c>
      <c r="Q485">
        <v>1.08</v>
      </c>
      <c r="R485">
        <v>2.21</v>
      </c>
      <c r="S485">
        <v>4851</v>
      </c>
      <c r="T485">
        <v>80317</v>
      </c>
      <c r="U485">
        <v>39432</v>
      </c>
      <c r="V485">
        <v>287</v>
      </c>
      <c r="W485">
        <v>17.62</v>
      </c>
      <c r="X485" s="10">
        <v>0.34287944079950172</v>
      </c>
      <c r="Y485" s="9">
        <v>92500</v>
      </c>
      <c r="Z485" s="9">
        <v>85300</v>
      </c>
      <c r="AA485" s="9">
        <v>86900</v>
      </c>
      <c r="AB485">
        <v>0.22222222222222221</v>
      </c>
      <c r="AC485" s="11">
        <v>58.671853292581275</v>
      </c>
      <c r="AD485" s="9">
        <v>86527.175141242944</v>
      </c>
      <c r="AE485" s="8">
        <v>9.2915214866434379E-3</v>
      </c>
    </row>
    <row r="486" spans="1:31" x14ac:dyDescent="0.35">
      <c r="A486" s="6" t="s">
        <v>507</v>
      </c>
      <c r="B486" s="7">
        <v>0</v>
      </c>
      <c r="C486" s="7">
        <v>0</v>
      </c>
      <c r="D486" s="7">
        <v>0</v>
      </c>
      <c r="E486" s="7">
        <v>18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 s="10">
        <v>0.63220079541783081</v>
      </c>
      <c r="Y486" s="9">
        <v>42800</v>
      </c>
      <c r="Z486" s="9">
        <v>36350</v>
      </c>
      <c r="AA486" s="9">
        <v>40100</v>
      </c>
      <c r="AB486">
        <v>0.58139534883720934</v>
      </c>
      <c r="AC486" s="11">
        <v>61.868574604056683</v>
      </c>
      <c r="AD486" s="9">
        <v>37072.175141242937</v>
      </c>
      <c r="AE486" s="8">
        <v>7.7956989247311828E-2</v>
      </c>
    </row>
    <row r="487" spans="1:31" x14ac:dyDescent="0.35">
      <c r="A487" s="6" t="s">
        <v>508</v>
      </c>
      <c r="B487" s="7">
        <v>7</v>
      </c>
      <c r="C487" s="7">
        <v>5</v>
      </c>
      <c r="D487" s="7">
        <v>2</v>
      </c>
      <c r="E487" s="7">
        <v>4</v>
      </c>
      <c r="F487">
        <v>13821</v>
      </c>
      <c r="G487">
        <v>1508</v>
      </c>
      <c r="H487">
        <v>10.91</v>
      </c>
      <c r="I487">
        <v>1152</v>
      </c>
      <c r="J487">
        <v>8.33</v>
      </c>
      <c r="K487">
        <v>21363</v>
      </c>
      <c r="L487">
        <v>12400</v>
      </c>
      <c r="M487">
        <v>8963</v>
      </c>
      <c r="N487">
        <v>1582.16</v>
      </c>
      <c r="O487">
        <v>13.76</v>
      </c>
      <c r="P487">
        <v>11.17</v>
      </c>
      <c r="Q487">
        <v>1.48</v>
      </c>
      <c r="R487">
        <v>0.93</v>
      </c>
      <c r="S487">
        <v>1141</v>
      </c>
      <c r="T487">
        <v>8616</v>
      </c>
      <c r="U487">
        <v>13695</v>
      </c>
      <c r="V487">
        <v>2302</v>
      </c>
      <c r="W487">
        <v>8.7899999999999991</v>
      </c>
      <c r="X487" s="10">
        <v>0.16923732334915825</v>
      </c>
      <c r="Y487" s="9">
        <v>15650</v>
      </c>
      <c r="Z487" s="9">
        <v>12650</v>
      </c>
      <c r="AA487" s="9">
        <v>12850</v>
      </c>
      <c r="AB487">
        <v>6.6666666666666666E-2</v>
      </c>
      <c r="AC487" s="11">
        <v>22.61183662128369</v>
      </c>
      <c r="AD487" s="9">
        <v>13730.338983050848</v>
      </c>
      <c r="AE487" s="8">
        <v>1.1811023622047244E-2</v>
      </c>
    </row>
    <row r="488" spans="1:31" x14ac:dyDescent="0.35">
      <c r="A488" s="6" t="s">
        <v>509</v>
      </c>
      <c r="B488" s="7">
        <v>0</v>
      </c>
      <c r="C488" s="7">
        <v>0</v>
      </c>
      <c r="D488" s="7">
        <v>0</v>
      </c>
      <c r="E488" s="7">
        <v>18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 s="10">
        <v>0.5068481161956212</v>
      </c>
      <c r="Y488" s="9">
        <v>5960</v>
      </c>
      <c r="Z488" s="9">
        <v>4945</v>
      </c>
      <c r="AA488" s="9">
        <v>5400</v>
      </c>
      <c r="AB488">
        <v>0.44827586206896552</v>
      </c>
      <c r="AC488" s="11">
        <v>11.828285634898577</v>
      </c>
      <c r="AD488" s="9">
        <v>5205.4039548022602</v>
      </c>
      <c r="AE488" s="8">
        <v>4.4487427466150871E-2</v>
      </c>
    </row>
    <row r="489" spans="1:31" x14ac:dyDescent="0.35">
      <c r="A489" s="6" t="s">
        <v>510</v>
      </c>
      <c r="B489" s="7">
        <v>5</v>
      </c>
      <c r="C489" s="7">
        <v>11</v>
      </c>
      <c r="D489" s="7">
        <v>2</v>
      </c>
      <c r="E489" s="7">
        <v>0</v>
      </c>
      <c r="F489">
        <v>726</v>
      </c>
      <c r="G489">
        <v>22</v>
      </c>
      <c r="H489">
        <v>2.98</v>
      </c>
      <c r="I489">
        <v>50</v>
      </c>
      <c r="J489">
        <v>6.82</v>
      </c>
      <c r="K489">
        <v>611</v>
      </c>
      <c r="L489">
        <v>186</v>
      </c>
      <c r="M489">
        <v>425</v>
      </c>
      <c r="N489">
        <v>486.3</v>
      </c>
      <c r="O489">
        <v>11.84</v>
      </c>
      <c r="P489">
        <v>10.31</v>
      </c>
      <c r="Q489">
        <v>1.2</v>
      </c>
      <c r="R489">
        <v>0.7</v>
      </c>
      <c r="S489">
        <v>341</v>
      </c>
      <c r="T489">
        <v>2920</v>
      </c>
      <c r="U489">
        <v>5008</v>
      </c>
      <c r="V489">
        <v>29</v>
      </c>
      <c r="W489">
        <v>17.829999999999998</v>
      </c>
      <c r="X489" s="10">
        <v>0.70983789887569593</v>
      </c>
      <c r="Y489" s="9">
        <v>4780</v>
      </c>
      <c r="Z489" s="9">
        <v>3480</v>
      </c>
      <c r="AA489" s="9">
        <v>4780</v>
      </c>
      <c r="AB489">
        <v>1</v>
      </c>
      <c r="AC489" s="11">
        <v>15.414420672409003</v>
      </c>
      <c r="AD489" s="9">
        <v>3670.7768361581925</v>
      </c>
      <c r="AE489" s="8">
        <v>0.37356321839080459</v>
      </c>
    </row>
    <row r="490" spans="1:31" x14ac:dyDescent="0.35">
      <c r="A490" s="6" t="s">
        <v>511</v>
      </c>
      <c r="B490" s="7">
        <v>0</v>
      </c>
      <c r="C490" s="7">
        <v>1</v>
      </c>
      <c r="D490" s="7">
        <v>8</v>
      </c>
      <c r="E490" s="7">
        <v>9</v>
      </c>
      <c r="F490">
        <v>2316</v>
      </c>
      <c r="G490">
        <v>-501</v>
      </c>
      <c r="H490">
        <v>-21.63</v>
      </c>
      <c r="I490">
        <v>-867</v>
      </c>
      <c r="J490">
        <v>-37.43</v>
      </c>
      <c r="K490">
        <v>7653</v>
      </c>
      <c r="L490">
        <v>8152</v>
      </c>
      <c r="M490">
        <v>-499</v>
      </c>
      <c r="N490">
        <v>-174.34</v>
      </c>
      <c r="O490">
        <v>0</v>
      </c>
      <c r="P490">
        <v>0</v>
      </c>
      <c r="Q490">
        <v>0</v>
      </c>
      <c r="R490">
        <v>0.11</v>
      </c>
      <c r="S490">
        <v>-883</v>
      </c>
      <c r="T490">
        <v>-381</v>
      </c>
      <c r="U490">
        <v>2356</v>
      </c>
      <c r="V490">
        <v>-140</v>
      </c>
      <c r="W490">
        <v>-43.47</v>
      </c>
      <c r="X490" s="10">
        <v>0.11219105816557416</v>
      </c>
      <c r="Y490" s="9">
        <v>3580</v>
      </c>
      <c r="Z490" s="9">
        <v>285</v>
      </c>
      <c r="AA490" s="9">
        <v>3580</v>
      </c>
      <c r="AB490">
        <v>1</v>
      </c>
      <c r="AC490" s="11">
        <v>11.260905807168658</v>
      </c>
      <c r="AD490" s="9">
        <v>104.20903954802259</v>
      </c>
      <c r="AE490" s="8">
        <v>11.344827586206897</v>
      </c>
    </row>
    <row r="491" spans="1:31" x14ac:dyDescent="0.35">
      <c r="A491" s="6" t="s">
        <v>512</v>
      </c>
      <c r="B491" s="7">
        <v>10</v>
      </c>
      <c r="C491" s="7">
        <v>2</v>
      </c>
      <c r="D491" s="7">
        <v>6</v>
      </c>
      <c r="E491" s="7">
        <v>0</v>
      </c>
      <c r="F491">
        <v>205</v>
      </c>
      <c r="G491">
        <v>41</v>
      </c>
      <c r="H491">
        <v>19.760000000000002</v>
      </c>
      <c r="I491">
        <v>32</v>
      </c>
      <c r="J491">
        <v>15.6</v>
      </c>
      <c r="K491">
        <v>335</v>
      </c>
      <c r="L491">
        <v>44</v>
      </c>
      <c r="M491">
        <v>291</v>
      </c>
      <c r="N491">
        <v>1039.0999999999999</v>
      </c>
      <c r="O491">
        <v>11.53</v>
      </c>
      <c r="P491">
        <v>7.06</v>
      </c>
      <c r="Q491">
        <v>0.95</v>
      </c>
      <c r="R491">
        <v>1.1000000000000001</v>
      </c>
      <c r="S491">
        <v>663</v>
      </c>
      <c r="T491">
        <v>4950</v>
      </c>
      <c r="U491">
        <v>4250</v>
      </c>
      <c r="V491">
        <v>44</v>
      </c>
      <c r="W491">
        <v>6.15</v>
      </c>
      <c r="X491" s="10">
        <v>0.73475602755992953</v>
      </c>
      <c r="Y491" s="9">
        <v>7180</v>
      </c>
      <c r="Z491" s="9">
        <v>4550</v>
      </c>
      <c r="AA491" s="9">
        <v>6950</v>
      </c>
      <c r="AB491">
        <v>0.9125475285171103</v>
      </c>
      <c r="AC491" s="11">
        <v>33.220200055570984</v>
      </c>
      <c r="AD491" s="9">
        <v>4472.3672316384182</v>
      </c>
      <c r="AE491" s="8">
        <v>0.51086956521739135</v>
      </c>
    </row>
    <row r="492" spans="1:31" x14ac:dyDescent="0.35">
      <c r="A492" s="6" t="s">
        <v>513</v>
      </c>
      <c r="B492" s="7">
        <v>5</v>
      </c>
      <c r="C492" s="7">
        <v>3</v>
      </c>
      <c r="D492" s="7">
        <v>6</v>
      </c>
      <c r="E492" s="7">
        <v>4</v>
      </c>
      <c r="F492">
        <v>132</v>
      </c>
      <c r="G492">
        <v>19</v>
      </c>
      <c r="H492">
        <v>14.26</v>
      </c>
      <c r="I492">
        <v>19</v>
      </c>
      <c r="J492">
        <v>14.59</v>
      </c>
      <c r="K492">
        <v>297</v>
      </c>
      <c r="L492">
        <v>61</v>
      </c>
      <c r="M492">
        <v>236</v>
      </c>
      <c r="N492">
        <v>630.52</v>
      </c>
      <c r="O492">
        <v>11.16</v>
      </c>
      <c r="P492">
        <v>14.82</v>
      </c>
      <c r="Q492">
        <v>1.74</v>
      </c>
      <c r="R492">
        <v>2.16</v>
      </c>
      <c r="S492">
        <v>384</v>
      </c>
      <c r="T492">
        <v>3269</v>
      </c>
      <c r="U492">
        <v>2629</v>
      </c>
      <c r="V492">
        <v>29</v>
      </c>
      <c r="W492">
        <v>13.59</v>
      </c>
      <c r="X492" s="10">
        <v>3.403051094454716E-3</v>
      </c>
      <c r="Y492" s="9">
        <v>7050</v>
      </c>
      <c r="Z492" s="9">
        <v>5670</v>
      </c>
      <c r="AA492" s="9">
        <v>6260</v>
      </c>
      <c r="AB492">
        <v>0.42753623188405798</v>
      </c>
      <c r="AC492" s="11">
        <v>-1.0864128924701297</v>
      </c>
      <c r="AD492" s="9">
        <v>6378.8022598870057</v>
      </c>
      <c r="AE492" s="8">
        <v>9.8245614035087719E-2</v>
      </c>
    </row>
    <row r="493" spans="1:31" x14ac:dyDescent="0.35">
      <c r="A493" s="6" t="s">
        <v>514</v>
      </c>
      <c r="B493" s="7">
        <v>6</v>
      </c>
      <c r="C493" s="7">
        <v>0</v>
      </c>
      <c r="D493" s="7">
        <v>3</v>
      </c>
      <c r="E493" s="7">
        <v>9</v>
      </c>
      <c r="F493">
        <v>161</v>
      </c>
      <c r="G493">
        <v>14</v>
      </c>
      <c r="H493">
        <v>8.7100000000000009</v>
      </c>
      <c r="I493">
        <v>13</v>
      </c>
      <c r="J493">
        <v>7.79</v>
      </c>
      <c r="K493">
        <v>399</v>
      </c>
      <c r="L493">
        <v>61</v>
      </c>
      <c r="M493">
        <v>338</v>
      </c>
      <c r="N493">
        <v>771.53</v>
      </c>
      <c r="O493">
        <v>4.99</v>
      </c>
      <c r="P493">
        <v>25.42</v>
      </c>
      <c r="Q493">
        <v>1.36</v>
      </c>
      <c r="R493">
        <v>1.99</v>
      </c>
      <c r="S493">
        <v>216</v>
      </c>
      <c r="T493">
        <v>4027</v>
      </c>
      <c r="U493">
        <v>2764</v>
      </c>
      <c r="V493">
        <v>24</v>
      </c>
      <c r="W493">
        <v>18.48</v>
      </c>
      <c r="X493" s="10">
        <v>0.7053130779355119</v>
      </c>
      <c r="Y493" s="9">
        <v>4990</v>
      </c>
      <c r="Z493" s="9">
        <v>4000</v>
      </c>
      <c r="AA493" s="9">
        <v>4820</v>
      </c>
      <c r="AB493">
        <v>0.82828282828282829</v>
      </c>
      <c r="AC493" s="11">
        <v>15.292442345095861</v>
      </c>
      <c r="AD493" s="9">
        <v>3969.6638418079092</v>
      </c>
      <c r="AE493" s="8">
        <v>0.15726290516206481</v>
      </c>
    </row>
    <row r="494" spans="1:31" x14ac:dyDescent="0.35">
      <c r="A494" s="6" t="s">
        <v>515</v>
      </c>
      <c r="B494" s="7">
        <v>0</v>
      </c>
      <c r="C494" s="7">
        <v>10</v>
      </c>
      <c r="D494" s="7">
        <v>0</v>
      </c>
      <c r="E494" s="7">
        <v>8</v>
      </c>
      <c r="F494">
        <v>359</v>
      </c>
      <c r="G494">
        <v>-27</v>
      </c>
      <c r="H494">
        <v>-7.51</v>
      </c>
      <c r="I494">
        <v>-19</v>
      </c>
      <c r="J494">
        <v>-5.32</v>
      </c>
      <c r="K494">
        <v>561</v>
      </c>
      <c r="L494">
        <v>93</v>
      </c>
      <c r="M494">
        <v>469</v>
      </c>
      <c r="N494">
        <v>605.04</v>
      </c>
      <c r="O494">
        <v>-4</v>
      </c>
      <c r="P494">
        <v>0</v>
      </c>
      <c r="Q494">
        <v>0.95</v>
      </c>
      <c r="R494">
        <v>1.21</v>
      </c>
      <c r="S494">
        <v>-143</v>
      </c>
      <c r="T494">
        <v>3425</v>
      </c>
      <c r="U494">
        <v>2697</v>
      </c>
      <c r="V494">
        <v>-20</v>
      </c>
      <c r="W494">
        <v>-21.38</v>
      </c>
      <c r="X494" s="10">
        <v>0.8168376953779567</v>
      </c>
      <c r="Y494" s="9">
        <v>5910</v>
      </c>
      <c r="Z494" s="9">
        <v>3250</v>
      </c>
      <c r="AA494" s="9">
        <v>5460</v>
      </c>
      <c r="AB494">
        <v>0.83082706766917291</v>
      </c>
      <c r="AC494" s="11">
        <v>43.167546540705757</v>
      </c>
      <c r="AD494" s="9">
        <v>2934.5564971751414</v>
      </c>
      <c r="AE494" s="8">
        <v>0.68</v>
      </c>
    </row>
    <row r="495" spans="1:31" x14ac:dyDescent="0.35">
      <c r="A495" s="6" t="s">
        <v>516</v>
      </c>
      <c r="B495" s="7">
        <v>7</v>
      </c>
      <c r="C495" s="7">
        <v>4</v>
      </c>
      <c r="D495" s="7">
        <v>3</v>
      </c>
      <c r="E495" s="7">
        <v>4</v>
      </c>
      <c r="F495">
        <v>633</v>
      </c>
      <c r="G495">
        <v>206</v>
      </c>
      <c r="H495">
        <v>32.5</v>
      </c>
      <c r="I495">
        <v>97</v>
      </c>
      <c r="J495">
        <v>15.32</v>
      </c>
      <c r="K495">
        <v>1326</v>
      </c>
      <c r="L495">
        <v>210</v>
      </c>
      <c r="M495">
        <v>1116</v>
      </c>
      <c r="N495">
        <v>530.80999999999995</v>
      </c>
      <c r="O495">
        <v>9.43</v>
      </c>
      <c r="P495">
        <v>46.36</v>
      </c>
      <c r="Q495">
        <v>4.1100000000000003</v>
      </c>
      <c r="R495">
        <v>7.1</v>
      </c>
      <c r="S495">
        <v>275</v>
      </c>
      <c r="T495">
        <v>3099</v>
      </c>
      <c r="U495">
        <v>1795</v>
      </c>
      <c r="V495">
        <v>241</v>
      </c>
      <c r="W495">
        <v>18.68</v>
      </c>
      <c r="X495" s="10">
        <v>0.39434787946038491</v>
      </c>
      <c r="Y495" s="9">
        <v>17550</v>
      </c>
      <c r="Z495" s="9">
        <v>12350</v>
      </c>
      <c r="AA495" s="9">
        <v>16950</v>
      </c>
      <c r="AB495">
        <v>0.88461538461538458</v>
      </c>
      <c r="AC495" s="11">
        <v>55.259794387329819</v>
      </c>
      <c r="AD495" s="9">
        <v>12632.909604519775</v>
      </c>
      <c r="AE495" s="8">
        <v>0.37246963562753038</v>
      </c>
    </row>
    <row r="496" spans="1:31" x14ac:dyDescent="0.35">
      <c r="A496" s="6" t="s">
        <v>517</v>
      </c>
      <c r="B496" s="7">
        <v>14</v>
      </c>
      <c r="C496" s="7">
        <v>4</v>
      </c>
      <c r="D496" s="7">
        <v>0</v>
      </c>
      <c r="E496" s="7">
        <v>0</v>
      </c>
      <c r="F496">
        <v>4156</v>
      </c>
      <c r="G496">
        <v>223</v>
      </c>
      <c r="H496">
        <v>5.37</v>
      </c>
      <c r="I496">
        <v>126</v>
      </c>
      <c r="J496">
        <v>3.02</v>
      </c>
      <c r="K496">
        <v>5182</v>
      </c>
      <c r="L496">
        <v>2859</v>
      </c>
      <c r="M496">
        <v>2323</v>
      </c>
      <c r="N496">
        <v>2170.1</v>
      </c>
      <c r="O496">
        <v>5.5</v>
      </c>
      <c r="P496">
        <v>14.74</v>
      </c>
      <c r="Q496">
        <v>0.82</v>
      </c>
      <c r="R496">
        <v>0.45</v>
      </c>
      <c r="S496">
        <v>614</v>
      </c>
      <c r="T496">
        <v>10979</v>
      </c>
      <c r="U496">
        <v>20309</v>
      </c>
      <c r="V496">
        <v>310</v>
      </c>
      <c r="W496">
        <v>10.38</v>
      </c>
      <c r="X496" s="10">
        <v>0.1578748299714858</v>
      </c>
      <c r="Y496" s="9">
        <v>10200</v>
      </c>
      <c r="Z496" s="9">
        <v>8300</v>
      </c>
      <c r="AA496" s="9">
        <v>10100</v>
      </c>
      <c r="AB496">
        <v>0.94736842105263153</v>
      </c>
      <c r="AC496" s="11">
        <v>-13.338149485968319</v>
      </c>
      <c r="AD496" s="9">
        <v>9528.4802259887001</v>
      </c>
      <c r="AE496" s="8">
        <v>0.11479028697571744</v>
      </c>
    </row>
    <row r="497" spans="1:31" x14ac:dyDescent="0.35">
      <c r="A497" s="6" t="s">
        <v>518</v>
      </c>
      <c r="B497" s="7">
        <v>0</v>
      </c>
      <c r="C497" s="7">
        <v>0</v>
      </c>
      <c r="D497" s="7">
        <v>0</v>
      </c>
      <c r="E497" s="7">
        <v>18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 s="10">
        <v>0.56965166546970591</v>
      </c>
      <c r="Y497" s="9">
        <v>8370</v>
      </c>
      <c r="Z497" s="9">
        <v>6540</v>
      </c>
      <c r="AA497" s="9">
        <v>7960</v>
      </c>
      <c r="AB497">
        <v>0.77595628415300544</v>
      </c>
      <c r="AC497" s="11">
        <v>23.230897471519867</v>
      </c>
      <c r="AD497" s="9">
        <v>6455.4576271186443</v>
      </c>
      <c r="AE497" s="8">
        <v>0.10096818810511757</v>
      </c>
    </row>
    <row r="498" spans="1:31" x14ac:dyDescent="0.35">
      <c r="A498" s="6" t="s">
        <v>519</v>
      </c>
      <c r="B498" s="7">
        <v>7</v>
      </c>
      <c r="C498" s="7">
        <v>1</v>
      </c>
      <c r="D498" s="7">
        <v>9</v>
      </c>
      <c r="E498" s="7">
        <v>1</v>
      </c>
      <c r="F498">
        <v>360</v>
      </c>
      <c r="G498">
        <v>176</v>
      </c>
      <c r="H498">
        <v>48.97</v>
      </c>
      <c r="I498">
        <v>149</v>
      </c>
      <c r="J498">
        <v>41.49</v>
      </c>
      <c r="K498">
        <v>2902</v>
      </c>
      <c r="L498">
        <v>663</v>
      </c>
      <c r="M498">
        <v>2239</v>
      </c>
      <c r="N498">
        <v>2633.22</v>
      </c>
      <c r="O498">
        <v>6.84</v>
      </c>
      <c r="P498">
        <v>17.53</v>
      </c>
      <c r="Q498">
        <v>1.54</v>
      </c>
      <c r="R498">
        <v>7.27</v>
      </c>
      <c r="S498">
        <v>1432</v>
      </c>
      <c r="T498">
        <v>16285</v>
      </c>
      <c r="U498">
        <v>3451</v>
      </c>
      <c r="V498">
        <v>185</v>
      </c>
      <c r="W498">
        <v>18.88</v>
      </c>
      <c r="X498" s="10">
        <v>5.6605557990796071E-2</v>
      </c>
      <c r="Y498" s="9">
        <v>26950</v>
      </c>
      <c r="Z498" s="9">
        <v>21800</v>
      </c>
      <c r="AA498" s="9">
        <v>26950</v>
      </c>
      <c r="AB498">
        <v>1</v>
      </c>
      <c r="AC498" s="11">
        <v>-15.99472075576549</v>
      </c>
      <c r="AD498" s="9">
        <v>24130.338983050846</v>
      </c>
      <c r="AE498" s="8">
        <v>7.8E-2</v>
      </c>
    </row>
    <row r="499" spans="1:31" x14ac:dyDescent="0.35">
      <c r="A499" s="6" t="s">
        <v>520</v>
      </c>
      <c r="B499" s="7">
        <v>0</v>
      </c>
      <c r="C499" s="7">
        <v>0</v>
      </c>
      <c r="D499" s="7">
        <v>0</v>
      </c>
      <c r="E499" s="7">
        <v>18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 s="10">
        <v>0.53135460149886682</v>
      </c>
      <c r="Y499" s="9">
        <v>25900</v>
      </c>
      <c r="Z499" s="9">
        <v>21650</v>
      </c>
      <c r="AA499" s="9">
        <v>23150</v>
      </c>
      <c r="AB499">
        <v>0.35294117647058826</v>
      </c>
      <c r="AC499" s="11">
        <v>-47.941094748541261</v>
      </c>
      <c r="AD499" s="9">
        <v>24577.203389830509</v>
      </c>
      <c r="AE499" s="8">
        <v>-2.3206751054852322E-2</v>
      </c>
    </row>
    <row r="500" spans="1:31" x14ac:dyDescent="0.35">
      <c r="A500" s="6" t="s">
        <v>521</v>
      </c>
      <c r="B500" s="7">
        <v>0</v>
      </c>
      <c r="C500" s="7">
        <v>0</v>
      </c>
      <c r="D500" s="7">
        <v>0</v>
      </c>
      <c r="E500" s="7">
        <v>18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 s="10">
        <v>0.40071594516394521</v>
      </c>
      <c r="Y500" s="9">
        <v>18100</v>
      </c>
      <c r="Z500" s="9">
        <v>13850</v>
      </c>
      <c r="AA500" s="9">
        <v>16700</v>
      </c>
      <c r="AB500">
        <v>0.6705882352941176</v>
      </c>
      <c r="AC500" s="11">
        <v>31.692136704640184</v>
      </c>
      <c r="AD500" s="9">
        <v>14070.056497175141</v>
      </c>
      <c r="AE500" s="8">
        <v>0.10596026490066225</v>
      </c>
    </row>
    <row r="501" spans="1:31" x14ac:dyDescent="0.35">
      <c r="A501" s="6" t="s">
        <v>522</v>
      </c>
      <c r="B501" s="7">
        <v>7</v>
      </c>
      <c r="C501" s="7">
        <v>6</v>
      </c>
      <c r="D501" s="7">
        <v>4</v>
      </c>
      <c r="E501" s="7">
        <v>1</v>
      </c>
      <c r="F501">
        <v>8543</v>
      </c>
      <c r="G501">
        <v>868</v>
      </c>
      <c r="H501">
        <v>10.16</v>
      </c>
      <c r="I501">
        <v>607</v>
      </c>
      <c r="J501">
        <v>7.1</v>
      </c>
      <c r="K501">
        <v>12322</v>
      </c>
      <c r="L501">
        <v>3645</v>
      </c>
      <c r="M501">
        <v>8677</v>
      </c>
      <c r="N501">
        <v>1408.82</v>
      </c>
      <c r="O501">
        <v>7.17</v>
      </c>
      <c r="P501">
        <v>26.12</v>
      </c>
      <c r="Q501">
        <v>1.93</v>
      </c>
      <c r="R501">
        <v>1.85</v>
      </c>
      <c r="S501">
        <v>5246</v>
      </c>
      <c r="T501">
        <v>70819</v>
      </c>
      <c r="U501">
        <v>73877</v>
      </c>
      <c r="V501">
        <v>1071</v>
      </c>
      <c r="W501">
        <v>15.53</v>
      </c>
      <c r="X501" s="10">
        <v>0.72140683122123483</v>
      </c>
      <c r="Y501" s="9">
        <v>180000</v>
      </c>
      <c r="Z501" s="9">
        <v>127500</v>
      </c>
      <c r="AA501" s="9">
        <v>176000</v>
      </c>
      <c r="AB501">
        <v>0.92380952380952386</v>
      </c>
      <c r="AC501" s="11">
        <v>601.91719922200616</v>
      </c>
      <c r="AD501" s="9">
        <v>125274.85875706216</v>
      </c>
      <c r="AE501" s="8">
        <v>0.26164874551971329</v>
      </c>
    </row>
    <row r="502" spans="1:31" x14ac:dyDescent="0.35">
      <c r="A502" s="6" t="s">
        <v>523</v>
      </c>
      <c r="B502" s="7">
        <v>2</v>
      </c>
      <c r="C502" s="7">
        <v>8</v>
      </c>
      <c r="D502" s="7">
        <v>4</v>
      </c>
      <c r="E502" s="7">
        <v>4</v>
      </c>
      <c r="F502">
        <v>43</v>
      </c>
      <c r="G502">
        <v>-13</v>
      </c>
      <c r="H502">
        <v>-29.89</v>
      </c>
      <c r="I502">
        <v>-48</v>
      </c>
      <c r="J502">
        <v>-112.61</v>
      </c>
      <c r="K502">
        <v>397</v>
      </c>
      <c r="L502">
        <v>13</v>
      </c>
      <c r="M502">
        <v>383</v>
      </c>
      <c r="N502">
        <v>559.12</v>
      </c>
      <c r="O502">
        <v>-12.01</v>
      </c>
      <c r="P502">
        <v>0</v>
      </c>
      <c r="Q502">
        <v>8.3699999999999992</v>
      </c>
      <c r="R502">
        <v>72.36</v>
      </c>
      <c r="S502">
        <v>-416</v>
      </c>
      <c r="T502">
        <v>3189</v>
      </c>
      <c r="U502">
        <v>369</v>
      </c>
      <c r="V502">
        <v>-9</v>
      </c>
      <c r="W502">
        <v>-360.79</v>
      </c>
      <c r="X502" s="10">
        <v>0.87201339908935771</v>
      </c>
      <c r="Y502" s="9">
        <v>46150</v>
      </c>
      <c r="Z502" s="9">
        <v>26300</v>
      </c>
      <c r="AA502" s="9">
        <v>46150</v>
      </c>
      <c r="AB502">
        <v>1</v>
      </c>
      <c r="AC502" s="11">
        <v>302.67296471242008</v>
      </c>
      <c r="AD502" s="9">
        <v>23640.141242937854</v>
      </c>
      <c r="AE502" s="8">
        <v>0.75142314990512338</v>
      </c>
    </row>
    <row r="503" spans="1:31" x14ac:dyDescent="0.35">
      <c r="A503" s="6" t="s">
        <v>524</v>
      </c>
      <c r="B503" s="7">
        <v>3</v>
      </c>
      <c r="C503" s="7">
        <v>14</v>
      </c>
      <c r="D503" s="7">
        <v>1</v>
      </c>
      <c r="E503" s="7">
        <v>0</v>
      </c>
      <c r="F503">
        <v>813</v>
      </c>
      <c r="G503">
        <v>44</v>
      </c>
      <c r="H503">
        <v>5.47</v>
      </c>
      <c r="I503">
        <v>37</v>
      </c>
      <c r="J503">
        <v>4.57</v>
      </c>
      <c r="K503">
        <v>521</v>
      </c>
      <c r="L503">
        <v>206</v>
      </c>
      <c r="M503">
        <v>315</v>
      </c>
      <c r="N503">
        <v>559.05999999999995</v>
      </c>
      <c r="O503">
        <v>15.57</v>
      </c>
      <c r="P503">
        <v>34.630000000000003</v>
      </c>
      <c r="Q503">
        <v>5.66</v>
      </c>
      <c r="R503">
        <v>1.58</v>
      </c>
      <c r="S503">
        <v>488</v>
      </c>
      <c r="T503">
        <v>2988</v>
      </c>
      <c r="U503">
        <v>10676</v>
      </c>
      <c r="V503">
        <v>58</v>
      </c>
      <c r="W503">
        <v>28.36</v>
      </c>
      <c r="X503" s="10">
        <v>2.9999184847531143E-4</v>
      </c>
      <c r="Y503" s="9">
        <v>29450</v>
      </c>
      <c r="Z503" s="9">
        <v>16600</v>
      </c>
      <c r="AA503" s="9">
        <v>20550</v>
      </c>
      <c r="AB503">
        <v>0.30739299610894943</v>
      </c>
      <c r="AC503" s="11">
        <v>3.1550430675187551</v>
      </c>
      <c r="AD503" s="9">
        <v>23541.271186440677</v>
      </c>
      <c r="AE503" s="8">
        <v>5.6555269922879174E-2</v>
      </c>
    </row>
    <row r="504" spans="1:31" x14ac:dyDescent="0.35">
      <c r="A504" s="6" t="s">
        <v>525</v>
      </c>
      <c r="B504" s="7">
        <v>5</v>
      </c>
      <c r="C504" s="7">
        <v>8</v>
      </c>
      <c r="D504" s="7">
        <v>5</v>
      </c>
      <c r="E504" s="7">
        <v>0</v>
      </c>
      <c r="F504">
        <v>368</v>
      </c>
      <c r="G504">
        <v>182</v>
      </c>
      <c r="H504">
        <v>49.44</v>
      </c>
      <c r="I504">
        <v>196</v>
      </c>
      <c r="J504">
        <v>53.41</v>
      </c>
      <c r="K504">
        <v>7226</v>
      </c>
      <c r="L504">
        <v>1616</v>
      </c>
      <c r="M504">
        <v>5610</v>
      </c>
      <c r="N504">
        <v>2066.83</v>
      </c>
      <c r="O504">
        <v>3.48</v>
      </c>
      <c r="P504">
        <v>48.27</v>
      </c>
      <c r="Q504">
        <v>1.85</v>
      </c>
      <c r="R504">
        <v>26.97</v>
      </c>
      <c r="S504">
        <v>433</v>
      </c>
      <c r="T504">
        <v>11268</v>
      </c>
      <c r="U504">
        <v>775</v>
      </c>
      <c r="V504">
        <v>196</v>
      </c>
      <c r="W504">
        <v>55.88</v>
      </c>
      <c r="X504" s="10">
        <v>0.68624618988457886</v>
      </c>
      <c r="Y504" s="9">
        <v>27850</v>
      </c>
      <c r="Z504" s="9">
        <v>20000</v>
      </c>
      <c r="AA504" s="9">
        <v>27850</v>
      </c>
      <c r="AB504">
        <v>1</v>
      </c>
      <c r="AC504" s="11">
        <v>83.478744095582087</v>
      </c>
      <c r="AD504" s="9">
        <v>19945.564971751413</v>
      </c>
      <c r="AE504" s="8">
        <v>0.31058823529411766</v>
      </c>
    </row>
    <row r="505" spans="1:31" x14ac:dyDescent="0.35">
      <c r="A505" s="6" t="s">
        <v>526</v>
      </c>
      <c r="B505" s="7">
        <v>0</v>
      </c>
      <c r="C505" s="7">
        <v>0</v>
      </c>
      <c r="D505" s="7">
        <v>0</v>
      </c>
      <c r="E505" s="7">
        <v>18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 s="10">
        <v>0.56849393691964978</v>
      </c>
      <c r="Y505" s="9">
        <v>20400</v>
      </c>
      <c r="Z505" s="9">
        <v>13400</v>
      </c>
      <c r="AA505" s="9">
        <v>16800</v>
      </c>
      <c r="AB505">
        <v>0.48571428571428571</v>
      </c>
      <c r="AC505" s="11">
        <v>61.062795220894706</v>
      </c>
      <c r="AD505" s="9">
        <v>13733.418079096045</v>
      </c>
      <c r="AE505" s="8">
        <v>0.2</v>
      </c>
    </row>
    <row r="506" spans="1:31" x14ac:dyDescent="0.35">
      <c r="A506" s="6" t="s">
        <v>527</v>
      </c>
      <c r="B506" s="7">
        <v>0</v>
      </c>
      <c r="C506" s="7">
        <v>0</v>
      </c>
      <c r="D506" s="7">
        <v>0</v>
      </c>
      <c r="E506" s="7">
        <v>18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 s="10">
        <v>0.27094744997816095</v>
      </c>
      <c r="Y506" s="9">
        <v>24000</v>
      </c>
      <c r="Z506" s="9">
        <v>13200</v>
      </c>
      <c r="AA506" s="9">
        <v>16650</v>
      </c>
      <c r="AB506">
        <v>0.31944444444444442</v>
      </c>
      <c r="AC506" s="11">
        <v>76.468463462072791</v>
      </c>
      <c r="AD506" s="9">
        <v>13744.378531073446</v>
      </c>
      <c r="AE506" s="8">
        <v>0.21532846715328466</v>
      </c>
    </row>
    <row r="507" spans="1:31" x14ac:dyDescent="0.35">
      <c r="A507" s="6" t="s">
        <v>528</v>
      </c>
      <c r="B507" s="7">
        <v>3</v>
      </c>
      <c r="C507" s="7">
        <v>3</v>
      </c>
      <c r="D507" s="7">
        <v>5</v>
      </c>
      <c r="E507" s="7">
        <v>7</v>
      </c>
      <c r="F507">
        <v>18013</v>
      </c>
      <c r="G507">
        <v>709</v>
      </c>
      <c r="H507">
        <v>3.94</v>
      </c>
      <c r="I507">
        <v>681</v>
      </c>
      <c r="J507">
        <v>3.78</v>
      </c>
      <c r="K507">
        <v>21168</v>
      </c>
      <c r="L507">
        <v>5752</v>
      </c>
      <c r="M507">
        <v>15416</v>
      </c>
      <c r="N507">
        <v>5234.3100000000004</v>
      </c>
      <c r="O507">
        <v>4.46</v>
      </c>
      <c r="P507">
        <v>21.45</v>
      </c>
      <c r="Q507">
        <v>1.01</v>
      </c>
      <c r="R507">
        <v>0.81</v>
      </c>
      <c r="S507">
        <v>11770</v>
      </c>
      <c r="T507">
        <v>250916</v>
      </c>
      <c r="U507">
        <v>311506</v>
      </c>
      <c r="V507">
        <v>1381</v>
      </c>
      <c r="W507">
        <v>11.12</v>
      </c>
      <c r="X507" s="10">
        <v>5.7642089801965011E-3</v>
      </c>
      <c r="Y507" s="9">
        <v>265000</v>
      </c>
      <c r="Z507" s="9">
        <v>228500</v>
      </c>
      <c r="AA507" s="9">
        <v>247000</v>
      </c>
      <c r="AB507">
        <v>0.50684931506849318</v>
      </c>
      <c r="AC507" s="11">
        <v>40.247290914142816</v>
      </c>
      <c r="AD507" s="9">
        <v>244097.45762711865</v>
      </c>
      <c r="AE507" s="8">
        <v>-1.002004008016032E-2</v>
      </c>
    </row>
    <row r="508" spans="1:31" x14ac:dyDescent="0.35">
      <c r="A508" s="6" t="s">
        <v>529</v>
      </c>
      <c r="B508" s="7">
        <v>7</v>
      </c>
      <c r="C508" s="7">
        <v>2</v>
      </c>
      <c r="D508" s="7">
        <v>5</v>
      </c>
      <c r="E508" s="7">
        <v>4</v>
      </c>
      <c r="F508">
        <v>201</v>
      </c>
      <c r="G508">
        <v>163</v>
      </c>
      <c r="H508">
        <v>80.89</v>
      </c>
      <c r="I508">
        <v>148</v>
      </c>
      <c r="J508">
        <v>73.3</v>
      </c>
      <c r="K508">
        <v>5668</v>
      </c>
      <c r="L508">
        <v>406</v>
      </c>
      <c r="M508">
        <v>5262</v>
      </c>
      <c r="N508">
        <v>2169.2199999999998</v>
      </c>
      <c r="O508">
        <v>2.82</v>
      </c>
      <c r="P508">
        <v>32.68</v>
      </c>
      <c r="Q508">
        <v>0.92</v>
      </c>
      <c r="R508">
        <v>23.95</v>
      </c>
      <c r="S508">
        <v>3182</v>
      </c>
      <c r="T508">
        <v>113297</v>
      </c>
      <c r="U508">
        <v>4342</v>
      </c>
      <c r="V508">
        <v>163</v>
      </c>
      <c r="W508">
        <v>32</v>
      </c>
      <c r="X508" s="10">
        <v>8.8407040869195371E-3</v>
      </c>
      <c r="Y508" s="9">
        <v>119000</v>
      </c>
      <c r="Z508" s="9">
        <v>100000</v>
      </c>
      <c r="AA508" s="9">
        <v>101000</v>
      </c>
      <c r="AB508">
        <v>5.2631578947368418E-2</v>
      </c>
      <c r="AC508" s="11">
        <v>-27.007502083912193</v>
      </c>
      <c r="AD508" s="9">
        <v>108440.395480226</v>
      </c>
      <c r="AE508" s="8">
        <v>-6.4814814814814811E-2</v>
      </c>
    </row>
    <row r="509" spans="1:31" x14ac:dyDescent="0.35">
      <c r="A509" s="6" t="s">
        <v>530</v>
      </c>
      <c r="B509" s="7">
        <v>3</v>
      </c>
      <c r="C509" s="7">
        <v>2</v>
      </c>
      <c r="D509" s="7">
        <v>11</v>
      </c>
      <c r="E509" s="7">
        <v>2</v>
      </c>
      <c r="F509">
        <v>140</v>
      </c>
      <c r="G509">
        <v>6</v>
      </c>
      <c r="H509">
        <v>4.6100000000000003</v>
      </c>
      <c r="I509">
        <v>22</v>
      </c>
      <c r="J509">
        <v>15.9</v>
      </c>
      <c r="K509">
        <v>1951</v>
      </c>
      <c r="L509">
        <v>321</v>
      </c>
      <c r="M509">
        <v>1630</v>
      </c>
      <c r="N509">
        <v>2180.16</v>
      </c>
      <c r="O509">
        <v>5.46</v>
      </c>
      <c r="P509">
        <v>35.979999999999997</v>
      </c>
      <c r="Q509">
        <v>1.99</v>
      </c>
      <c r="R509">
        <v>5.72</v>
      </c>
      <c r="S509">
        <v>624</v>
      </c>
      <c r="T509">
        <v>11303</v>
      </c>
      <c r="U509">
        <v>3928</v>
      </c>
      <c r="V509">
        <v>48</v>
      </c>
      <c r="W509">
        <v>67.42</v>
      </c>
      <c r="X509" s="10">
        <v>3.3775521693308174E-3</v>
      </c>
      <c r="Y509" s="9">
        <v>23500</v>
      </c>
      <c r="Z509" s="9">
        <v>21450</v>
      </c>
      <c r="AA509" s="9">
        <v>21550</v>
      </c>
      <c r="AB509">
        <v>4.878048780487805E-2</v>
      </c>
      <c r="AC509" s="11">
        <v>1.6421228118921922</v>
      </c>
      <c r="AD509" s="9">
        <v>22328.248587570619</v>
      </c>
      <c r="AE509" s="8">
        <v>-1.5981735159817351E-2</v>
      </c>
    </row>
    <row r="510" spans="1:31" x14ac:dyDescent="0.35">
      <c r="A510" s="6" t="s">
        <v>531</v>
      </c>
      <c r="B510" s="7">
        <v>10</v>
      </c>
      <c r="C510" s="7">
        <v>0</v>
      </c>
      <c r="D510" s="7">
        <v>5</v>
      </c>
      <c r="E510" s="7">
        <v>3</v>
      </c>
      <c r="F510">
        <v>345</v>
      </c>
      <c r="G510">
        <v>31</v>
      </c>
      <c r="H510">
        <v>8.85</v>
      </c>
      <c r="I510">
        <v>21</v>
      </c>
      <c r="J510">
        <v>6.06</v>
      </c>
      <c r="K510">
        <v>630</v>
      </c>
      <c r="L510">
        <v>210</v>
      </c>
      <c r="M510">
        <v>420</v>
      </c>
      <c r="N510">
        <v>634.54999999999995</v>
      </c>
      <c r="O510">
        <v>5.0999999999999996</v>
      </c>
      <c r="P510">
        <v>26.15</v>
      </c>
      <c r="Q510">
        <v>1.38</v>
      </c>
      <c r="R510">
        <v>1.58</v>
      </c>
      <c r="S510">
        <v>178</v>
      </c>
      <c r="T510">
        <v>3364</v>
      </c>
      <c r="U510">
        <v>2943</v>
      </c>
      <c r="V510">
        <v>38</v>
      </c>
      <c r="W510">
        <v>15.27</v>
      </c>
      <c r="X510" s="10">
        <v>0.57925101125083744</v>
      </c>
      <c r="Y510" s="9">
        <v>5640</v>
      </c>
      <c r="Z510" s="9">
        <v>4640</v>
      </c>
      <c r="AA510" s="9">
        <v>5600</v>
      </c>
      <c r="AB510">
        <v>0.96</v>
      </c>
      <c r="AC510" s="11">
        <v>10.870658516254514</v>
      </c>
      <c r="AD510" s="9">
        <v>4772.8615819209044</v>
      </c>
      <c r="AE510" s="8">
        <v>0.20559741657696448</v>
      </c>
    </row>
    <row r="511" spans="1:31" x14ac:dyDescent="0.35">
      <c r="A511" s="6" t="s">
        <v>532</v>
      </c>
      <c r="B511" s="7">
        <v>2</v>
      </c>
      <c r="C511" s="7">
        <v>7</v>
      </c>
      <c r="D511" s="7">
        <v>1</v>
      </c>
      <c r="E511" s="7">
        <v>8</v>
      </c>
      <c r="F511">
        <v>253</v>
      </c>
      <c r="G511">
        <v>-17</v>
      </c>
      <c r="H511">
        <v>-6.73</v>
      </c>
      <c r="I511">
        <v>-19</v>
      </c>
      <c r="J511">
        <v>-7.58</v>
      </c>
      <c r="K511">
        <v>385</v>
      </c>
      <c r="L511">
        <v>152</v>
      </c>
      <c r="M511">
        <v>232</v>
      </c>
      <c r="N511">
        <v>961.07</v>
      </c>
      <c r="O511">
        <v>-10.58</v>
      </c>
      <c r="P511">
        <v>0</v>
      </c>
      <c r="Q511">
        <v>2.0299999999999998</v>
      </c>
      <c r="R511">
        <v>1.31</v>
      </c>
      <c r="S511">
        <v>-577</v>
      </c>
      <c r="T511">
        <v>4927</v>
      </c>
      <c r="U511">
        <v>7624</v>
      </c>
      <c r="V511">
        <v>-18</v>
      </c>
      <c r="W511">
        <v>-27.85</v>
      </c>
      <c r="X511" s="10">
        <v>0.83923231720309999</v>
      </c>
      <c r="Y511" s="9">
        <v>6130</v>
      </c>
      <c r="Z511" s="9">
        <v>3980</v>
      </c>
      <c r="AA511" s="9">
        <v>5820</v>
      </c>
      <c r="AB511">
        <v>0.85581395348837208</v>
      </c>
      <c r="AC511" s="11">
        <v>39.582939705473734</v>
      </c>
      <c r="AD511" s="9">
        <v>3763.5536723163841</v>
      </c>
      <c r="AE511" s="8">
        <v>0.39068100358422941</v>
      </c>
    </row>
    <row r="512" spans="1:31" x14ac:dyDescent="0.35">
      <c r="A512" s="6" t="s">
        <v>533</v>
      </c>
      <c r="B512" s="7">
        <v>5</v>
      </c>
      <c r="C512" s="7">
        <v>0</v>
      </c>
      <c r="D512" s="7">
        <v>6</v>
      </c>
      <c r="E512" s="7">
        <v>7</v>
      </c>
      <c r="F512">
        <v>318</v>
      </c>
      <c r="G512">
        <v>-9</v>
      </c>
      <c r="H512">
        <v>-2.98</v>
      </c>
      <c r="I512">
        <v>-12</v>
      </c>
      <c r="J512">
        <v>-3.86</v>
      </c>
      <c r="K512">
        <v>761</v>
      </c>
      <c r="L512">
        <v>373</v>
      </c>
      <c r="M512">
        <v>388</v>
      </c>
      <c r="N512">
        <v>1283.93</v>
      </c>
      <c r="O512">
        <v>-3.25</v>
      </c>
      <c r="P512">
        <v>0</v>
      </c>
      <c r="Q512">
        <v>1.1299999999999999</v>
      </c>
      <c r="R512">
        <v>1.29</v>
      </c>
      <c r="S512">
        <v>-227</v>
      </c>
      <c r="T512">
        <v>6743</v>
      </c>
      <c r="U512">
        <v>5876</v>
      </c>
      <c r="V512">
        <v>0</v>
      </c>
      <c r="W512">
        <v>-11137.16</v>
      </c>
      <c r="X512" s="10">
        <v>0.84589164340101808</v>
      </c>
      <c r="Y512" s="9">
        <v>10500</v>
      </c>
      <c r="Z512" s="9">
        <v>7150</v>
      </c>
      <c r="AA512" s="9">
        <v>9800</v>
      </c>
      <c r="AB512">
        <v>0.79104477611940294</v>
      </c>
      <c r="AC512" s="11">
        <v>53.262572936926915</v>
      </c>
      <c r="AD512" s="9">
        <v>6956.1581920903955</v>
      </c>
      <c r="AE512" s="8">
        <v>0.31720430107526881</v>
      </c>
    </row>
    <row r="513" spans="1:31" x14ac:dyDescent="0.35">
      <c r="A513" s="6" t="s">
        <v>534</v>
      </c>
      <c r="B513" s="7">
        <v>0</v>
      </c>
      <c r="C513" s="7">
        <v>3</v>
      </c>
      <c r="D513" s="7">
        <v>8</v>
      </c>
      <c r="E513" s="7">
        <v>7</v>
      </c>
      <c r="F513">
        <v>215</v>
      </c>
      <c r="G513">
        <v>-8</v>
      </c>
      <c r="H513">
        <v>-3.9</v>
      </c>
      <c r="I513">
        <v>-9</v>
      </c>
      <c r="J513">
        <v>-4.03</v>
      </c>
      <c r="K513">
        <v>252</v>
      </c>
      <c r="L513">
        <v>112</v>
      </c>
      <c r="M513">
        <v>140</v>
      </c>
      <c r="N513">
        <v>22.25</v>
      </c>
      <c r="O513">
        <v>-7.93</v>
      </c>
      <c r="P513">
        <v>0</v>
      </c>
      <c r="Q513">
        <v>1.18</v>
      </c>
      <c r="R513">
        <v>0.55000000000000004</v>
      </c>
      <c r="S513">
        <v>-51</v>
      </c>
      <c r="T513">
        <v>588</v>
      </c>
      <c r="U513">
        <v>1252</v>
      </c>
      <c r="V513">
        <v>1</v>
      </c>
      <c r="W513">
        <v>170.57</v>
      </c>
      <c r="X513" s="10">
        <v>0.7905205200022507</v>
      </c>
      <c r="Y513" s="9">
        <v>2795</v>
      </c>
      <c r="Z513" s="9">
        <v>707</v>
      </c>
      <c r="AA513" s="9">
        <v>2270</v>
      </c>
      <c r="AB513">
        <v>0.74856321839080464</v>
      </c>
      <c r="AC513" s="11">
        <v>37.975937760489025</v>
      </c>
      <c r="AD513" s="9">
        <v>623.53389830508468</v>
      </c>
      <c r="AE513" s="8">
        <v>2.1095890410958904</v>
      </c>
    </row>
    <row r="514" spans="1:31" x14ac:dyDescent="0.35">
      <c r="A514" s="6" t="s">
        <v>535</v>
      </c>
      <c r="B514" s="7">
        <v>1</v>
      </c>
      <c r="C514" s="7">
        <v>1</v>
      </c>
      <c r="D514" s="7">
        <v>12</v>
      </c>
      <c r="E514" s="7">
        <v>4</v>
      </c>
      <c r="F514">
        <v>523</v>
      </c>
      <c r="G514">
        <v>-30</v>
      </c>
      <c r="H514">
        <v>-5.75</v>
      </c>
      <c r="I514">
        <v>-40</v>
      </c>
      <c r="J514">
        <v>-7.69</v>
      </c>
      <c r="K514">
        <v>548</v>
      </c>
      <c r="L514">
        <v>344</v>
      </c>
      <c r="M514">
        <v>205</v>
      </c>
      <c r="N514">
        <v>7.33</v>
      </c>
      <c r="O514">
        <v>-19.72</v>
      </c>
      <c r="P514">
        <v>0</v>
      </c>
      <c r="Q514">
        <v>1.55</v>
      </c>
      <c r="R514">
        <v>0.54</v>
      </c>
      <c r="S514">
        <v>-110</v>
      </c>
      <c r="T514">
        <v>498</v>
      </c>
      <c r="U514">
        <v>1437</v>
      </c>
      <c r="V514">
        <v>-11</v>
      </c>
      <c r="W514">
        <v>-48.32</v>
      </c>
      <c r="X514" s="10">
        <v>0.75324893115653757</v>
      </c>
      <c r="Y514" s="9">
        <v>1230</v>
      </c>
      <c r="Z514" s="9">
        <v>770</v>
      </c>
      <c r="AA514" s="9">
        <v>1165</v>
      </c>
      <c r="AB514">
        <v>0.85869565217391308</v>
      </c>
      <c r="AC514" s="11">
        <v>7.7691858849680449</v>
      </c>
      <c r="AD514" s="9">
        <v>785.72316384180795</v>
      </c>
      <c r="AE514" s="8">
        <v>0.48030495552731894</v>
      </c>
    </row>
    <row r="515" spans="1:31" x14ac:dyDescent="0.35">
      <c r="A515" s="6" t="s">
        <v>536</v>
      </c>
      <c r="B515" s="7">
        <v>1</v>
      </c>
      <c r="C515" s="7">
        <v>13</v>
      </c>
      <c r="D515" s="7">
        <v>2</v>
      </c>
      <c r="E515" s="7">
        <v>2</v>
      </c>
      <c r="F515">
        <v>412</v>
      </c>
      <c r="G515">
        <v>1</v>
      </c>
      <c r="H515">
        <v>0.24</v>
      </c>
      <c r="I515">
        <v>26</v>
      </c>
      <c r="J515">
        <v>6.25</v>
      </c>
      <c r="K515">
        <v>295</v>
      </c>
      <c r="L515">
        <v>267</v>
      </c>
      <c r="M515">
        <v>28</v>
      </c>
      <c r="N515">
        <v>3783.39</v>
      </c>
      <c r="O515">
        <v>0</v>
      </c>
      <c r="P515">
        <v>3.55</v>
      </c>
      <c r="Q515">
        <v>4.3899999999999997</v>
      </c>
      <c r="R515">
        <v>0.22</v>
      </c>
      <c r="S515">
        <v>151</v>
      </c>
      <c r="T515">
        <v>122</v>
      </c>
      <c r="U515">
        <v>2421</v>
      </c>
      <c r="V515">
        <v>5</v>
      </c>
      <c r="W515">
        <v>23.21</v>
      </c>
      <c r="X515" s="10">
        <v>0.84289068051299587</v>
      </c>
      <c r="Y515" s="9">
        <v>1100</v>
      </c>
      <c r="Z515" s="9">
        <v>525</v>
      </c>
      <c r="AA515" s="9">
        <v>1100</v>
      </c>
      <c r="AB515">
        <v>1</v>
      </c>
      <c r="AC515" s="11">
        <v>7.5427896637954985</v>
      </c>
      <c r="AD515" s="9">
        <v>489.29491525423731</v>
      </c>
      <c r="AE515" s="8">
        <v>1.0912547528517109</v>
      </c>
    </row>
    <row r="516" spans="1:31" x14ac:dyDescent="0.35">
      <c r="A516" s="6" t="s">
        <v>537</v>
      </c>
      <c r="B516" s="7">
        <v>2</v>
      </c>
      <c r="C516" s="7">
        <v>11</v>
      </c>
      <c r="D516" s="7">
        <v>3</v>
      </c>
      <c r="E516" s="7">
        <v>2</v>
      </c>
      <c r="F516">
        <v>1377</v>
      </c>
      <c r="G516">
        <v>34</v>
      </c>
      <c r="H516">
        <v>2.44</v>
      </c>
      <c r="I516">
        <v>20</v>
      </c>
      <c r="J516">
        <v>1.43</v>
      </c>
      <c r="K516">
        <v>1009</v>
      </c>
      <c r="L516">
        <v>631</v>
      </c>
      <c r="M516">
        <v>378</v>
      </c>
      <c r="N516">
        <v>523.09</v>
      </c>
      <c r="O516">
        <v>5.34</v>
      </c>
      <c r="P516">
        <v>12.81</v>
      </c>
      <c r="Q516">
        <v>0.72</v>
      </c>
      <c r="R516">
        <v>0.18</v>
      </c>
      <c r="S516">
        <v>162</v>
      </c>
      <c r="T516">
        <v>2885</v>
      </c>
      <c r="U516">
        <v>11339</v>
      </c>
      <c r="V516">
        <v>91</v>
      </c>
      <c r="W516">
        <v>6.82</v>
      </c>
      <c r="X516" s="10">
        <v>0.45613710026915222</v>
      </c>
      <c r="Y516" s="9">
        <v>2570</v>
      </c>
      <c r="Z516" s="9">
        <v>2025</v>
      </c>
      <c r="AA516" s="9">
        <v>2540</v>
      </c>
      <c r="AB516">
        <v>0.94495412844036697</v>
      </c>
      <c r="AC516" s="11">
        <v>5.0401500416782428</v>
      </c>
      <c r="AD516" s="9">
        <v>2168.8587570621471</v>
      </c>
      <c r="AE516" s="8">
        <v>0.25432098765432098</v>
      </c>
    </row>
    <row r="517" spans="1:31" x14ac:dyDescent="0.35">
      <c r="A517" s="6" t="s">
        <v>538</v>
      </c>
      <c r="B517" s="7">
        <v>9</v>
      </c>
      <c r="C517" s="7">
        <v>3</v>
      </c>
      <c r="D517" s="7">
        <v>6</v>
      </c>
      <c r="E517" s="7">
        <v>0</v>
      </c>
      <c r="F517">
        <v>529</v>
      </c>
      <c r="G517">
        <v>86</v>
      </c>
      <c r="H517">
        <v>16.21</v>
      </c>
      <c r="I517">
        <v>29</v>
      </c>
      <c r="J517">
        <v>5.4</v>
      </c>
      <c r="K517">
        <v>607</v>
      </c>
      <c r="L517">
        <v>173</v>
      </c>
      <c r="M517">
        <v>434</v>
      </c>
      <c r="N517">
        <v>815.39</v>
      </c>
      <c r="O517">
        <v>6.71</v>
      </c>
      <c r="P517">
        <v>13.59</v>
      </c>
      <c r="Q517">
        <v>1.42</v>
      </c>
      <c r="R517">
        <v>0.73</v>
      </c>
      <c r="S517">
        <v>295</v>
      </c>
      <c r="T517">
        <v>2830</v>
      </c>
      <c r="U517">
        <v>5469</v>
      </c>
      <c r="V517">
        <v>127</v>
      </c>
      <c r="W517">
        <v>3.65</v>
      </c>
      <c r="X517" s="10">
        <v>0.14090717403962283</v>
      </c>
      <c r="Y517" s="9">
        <v>4340</v>
      </c>
      <c r="Z517" s="9">
        <v>3700</v>
      </c>
      <c r="AA517" s="9">
        <v>3965</v>
      </c>
      <c r="AB517">
        <v>0.4140625</v>
      </c>
      <c r="AC517" s="11">
        <v>3.3441233676021116</v>
      </c>
      <c r="AD517" s="9">
        <v>3894.2542372881358</v>
      </c>
      <c r="AE517" s="8">
        <v>3.2552083333333336E-2</v>
      </c>
    </row>
    <row r="518" spans="1:31" x14ac:dyDescent="0.35">
      <c r="A518" s="6" t="s">
        <v>539</v>
      </c>
      <c r="B518" s="7">
        <v>9</v>
      </c>
      <c r="C518" s="7">
        <v>2</v>
      </c>
      <c r="D518" s="7">
        <v>6</v>
      </c>
      <c r="E518" s="7">
        <v>1</v>
      </c>
      <c r="F518">
        <v>193</v>
      </c>
      <c r="G518">
        <v>46</v>
      </c>
      <c r="H518">
        <v>23.95</v>
      </c>
      <c r="I518">
        <v>43</v>
      </c>
      <c r="J518">
        <v>22.36</v>
      </c>
      <c r="K518">
        <v>607</v>
      </c>
      <c r="L518">
        <v>53</v>
      </c>
      <c r="M518">
        <v>554</v>
      </c>
      <c r="N518">
        <v>1611.54</v>
      </c>
      <c r="O518">
        <v>10.54</v>
      </c>
      <c r="P518">
        <v>13.59</v>
      </c>
      <c r="Q518">
        <v>1.47</v>
      </c>
      <c r="R518">
        <v>3.04</v>
      </c>
      <c r="S518">
        <v>872</v>
      </c>
      <c r="T518">
        <v>8048</v>
      </c>
      <c r="U518">
        <v>3899</v>
      </c>
      <c r="V518">
        <v>68</v>
      </c>
      <c r="W518">
        <v>11.48</v>
      </c>
      <c r="X518" s="10">
        <v>1.4971958714658257E-3</v>
      </c>
      <c r="Y518" s="9">
        <v>11750</v>
      </c>
      <c r="Z518" s="9">
        <v>9230</v>
      </c>
      <c r="AA518" s="9">
        <v>10750</v>
      </c>
      <c r="AB518">
        <v>0.60317460317460314</v>
      </c>
      <c r="AC518" s="11">
        <v>1.0627952208946934</v>
      </c>
      <c r="AD518" s="9">
        <v>10705.418079096045</v>
      </c>
      <c r="AE518" s="8">
        <v>0.1485042735042735</v>
      </c>
    </row>
    <row r="519" spans="1:31" x14ac:dyDescent="0.35">
      <c r="A519" s="6" t="s">
        <v>540</v>
      </c>
      <c r="B519" s="7">
        <v>7</v>
      </c>
      <c r="C519" s="7">
        <v>2</v>
      </c>
      <c r="D519" s="7">
        <v>6</v>
      </c>
      <c r="E519" s="7">
        <v>3</v>
      </c>
      <c r="F519">
        <v>924</v>
      </c>
      <c r="G519">
        <v>88</v>
      </c>
      <c r="H519">
        <v>9.5399999999999991</v>
      </c>
      <c r="I519">
        <v>25</v>
      </c>
      <c r="J519">
        <v>2.72</v>
      </c>
      <c r="K519">
        <v>1813</v>
      </c>
      <c r="L519">
        <v>852</v>
      </c>
      <c r="M519">
        <v>962</v>
      </c>
      <c r="N519">
        <v>872.34</v>
      </c>
      <c r="O519">
        <v>2.7</v>
      </c>
      <c r="P519">
        <v>64.290000000000006</v>
      </c>
      <c r="Q519">
        <v>1.86</v>
      </c>
      <c r="R519">
        <v>1.75</v>
      </c>
      <c r="S519">
        <v>126</v>
      </c>
      <c r="T519">
        <v>4358</v>
      </c>
      <c r="U519">
        <v>4625</v>
      </c>
      <c r="V519">
        <v>94</v>
      </c>
      <c r="W519">
        <v>18.079999999999998</v>
      </c>
      <c r="X519" s="10">
        <v>7.3442242687293147E-3</v>
      </c>
      <c r="Y519" s="9">
        <v>10900</v>
      </c>
      <c r="Z519" s="9">
        <v>8100</v>
      </c>
      <c r="AA519" s="9">
        <v>9740</v>
      </c>
      <c r="AB519">
        <v>0.58571428571428574</v>
      </c>
      <c r="AC519" s="11">
        <v>-2.3484301194776327</v>
      </c>
      <c r="AD519" s="9">
        <v>9846.2937853107342</v>
      </c>
      <c r="AE519" s="8">
        <v>0.18635809987819732</v>
      </c>
    </row>
    <row r="520" spans="1:31" x14ac:dyDescent="0.35">
      <c r="A520" s="6" t="s">
        <v>541</v>
      </c>
      <c r="B520" s="7">
        <v>3</v>
      </c>
      <c r="C520" s="7">
        <v>7</v>
      </c>
      <c r="D520" s="7">
        <v>4</v>
      </c>
      <c r="E520" s="7">
        <v>4</v>
      </c>
      <c r="F520">
        <v>265</v>
      </c>
      <c r="G520">
        <v>6</v>
      </c>
      <c r="H520">
        <v>2.13</v>
      </c>
      <c r="I520">
        <v>5</v>
      </c>
      <c r="J520">
        <v>1.93</v>
      </c>
      <c r="K520">
        <v>116</v>
      </c>
      <c r="L520">
        <v>53</v>
      </c>
      <c r="M520">
        <v>63</v>
      </c>
      <c r="N520">
        <v>126.41</v>
      </c>
      <c r="O520">
        <v>8.58</v>
      </c>
      <c r="P520">
        <v>30.77</v>
      </c>
      <c r="Q520">
        <v>3.16</v>
      </c>
      <c r="R520">
        <v>0.59</v>
      </c>
      <c r="S520">
        <v>84</v>
      </c>
      <c r="T520">
        <v>817</v>
      </c>
      <c r="U520">
        <v>4352</v>
      </c>
      <c r="V520">
        <v>7</v>
      </c>
      <c r="W520">
        <v>23.36</v>
      </c>
      <c r="X520" s="10">
        <v>0.12843539157745729</v>
      </c>
      <c r="Y520" s="9">
        <v>3500</v>
      </c>
      <c r="Z520" s="9">
        <v>2545</v>
      </c>
      <c r="AA520" s="9">
        <v>2980</v>
      </c>
      <c r="AB520">
        <v>0.45549738219895286</v>
      </c>
      <c r="AC520" s="11">
        <v>4.423450958599612</v>
      </c>
      <c r="AD520" s="9">
        <v>2954.2514124293784</v>
      </c>
      <c r="AE520" s="8">
        <v>0.16862745098039217</v>
      </c>
    </row>
    <row r="521" spans="1:31" x14ac:dyDescent="0.35">
      <c r="A521" s="6" t="s">
        <v>542</v>
      </c>
      <c r="B521" s="7">
        <v>10</v>
      </c>
      <c r="C521" s="7">
        <v>0</v>
      </c>
      <c r="D521" s="7">
        <v>5</v>
      </c>
      <c r="E521" s="7">
        <v>3</v>
      </c>
      <c r="F521">
        <v>1549</v>
      </c>
      <c r="G521">
        <v>24</v>
      </c>
      <c r="H521">
        <v>1.54</v>
      </c>
      <c r="I521">
        <v>3</v>
      </c>
      <c r="J521">
        <v>0.22</v>
      </c>
      <c r="K521">
        <v>2283</v>
      </c>
      <c r="L521">
        <v>913</v>
      </c>
      <c r="M521">
        <v>1370</v>
      </c>
      <c r="N521">
        <v>1259.3599999999999</v>
      </c>
      <c r="O521">
        <v>0.24</v>
      </c>
      <c r="P521">
        <v>341.05</v>
      </c>
      <c r="Q521">
        <v>0.95</v>
      </c>
      <c r="R521">
        <v>0.74</v>
      </c>
      <c r="S521">
        <v>19</v>
      </c>
      <c r="T521">
        <v>6794</v>
      </c>
      <c r="U521">
        <v>8769</v>
      </c>
      <c r="V521">
        <v>54</v>
      </c>
      <c r="W521">
        <v>29.25</v>
      </c>
      <c r="X521" s="10">
        <v>0.28269150319030945</v>
      </c>
      <c r="Y521" s="9">
        <v>8130</v>
      </c>
      <c r="Z521" s="9">
        <v>6200</v>
      </c>
      <c r="AA521" s="9">
        <v>6800</v>
      </c>
      <c r="AB521">
        <v>0.31088082901554404</v>
      </c>
      <c r="AC521" s="11">
        <v>-11.869963878855238</v>
      </c>
      <c r="AD521" s="9">
        <v>7607.7005649717521</v>
      </c>
      <c r="AE521" s="8">
        <v>9.6774193548387094E-2</v>
      </c>
    </row>
    <row r="522" spans="1:31" x14ac:dyDescent="0.35">
      <c r="A522" s="6" t="s">
        <v>543</v>
      </c>
      <c r="B522" s="7">
        <v>5</v>
      </c>
      <c r="C522" s="7">
        <v>0</v>
      </c>
      <c r="D522" s="7">
        <v>3</v>
      </c>
      <c r="E522" s="7">
        <v>10</v>
      </c>
      <c r="F522">
        <v>2389</v>
      </c>
      <c r="G522">
        <v>205</v>
      </c>
      <c r="H522">
        <v>8.56</v>
      </c>
      <c r="I522">
        <v>73</v>
      </c>
      <c r="J522">
        <v>3.04</v>
      </c>
      <c r="K522">
        <v>6633</v>
      </c>
      <c r="L522">
        <v>2054</v>
      </c>
      <c r="M522">
        <v>4578</v>
      </c>
      <c r="N522">
        <v>1981.72</v>
      </c>
      <c r="O522">
        <v>1.59</v>
      </c>
      <c r="P522">
        <v>71.13</v>
      </c>
      <c r="Q522">
        <v>1.22</v>
      </c>
      <c r="R522">
        <v>2.16</v>
      </c>
      <c r="S522">
        <v>168</v>
      </c>
      <c r="T522">
        <v>9833</v>
      </c>
      <c r="U522">
        <v>5522</v>
      </c>
      <c r="V522">
        <v>252</v>
      </c>
      <c r="W522">
        <v>22.84</v>
      </c>
      <c r="X522" s="10">
        <v>0.19079238451180994</v>
      </c>
      <c r="Y522" s="9">
        <v>16100</v>
      </c>
      <c r="Z522" s="9">
        <v>11950</v>
      </c>
      <c r="AA522" s="9">
        <v>15500</v>
      </c>
      <c r="AB522">
        <v>0.85542168674698793</v>
      </c>
      <c r="AC522" s="11">
        <v>21.771325368157818</v>
      </c>
      <c r="AD522" s="9">
        <v>13975.141242937852</v>
      </c>
      <c r="AE522" s="8">
        <v>0.29707112970711297</v>
      </c>
    </row>
    <row r="523" spans="1:31" x14ac:dyDescent="0.35">
      <c r="A523" s="6" t="s">
        <v>544</v>
      </c>
      <c r="B523" s="7">
        <v>15</v>
      </c>
      <c r="C523" s="7">
        <v>1</v>
      </c>
      <c r="D523" s="7">
        <v>0</v>
      </c>
      <c r="E523" s="7">
        <v>2</v>
      </c>
      <c r="F523">
        <v>1285</v>
      </c>
      <c r="G523">
        <v>95</v>
      </c>
      <c r="H523">
        <v>7.39</v>
      </c>
      <c r="I523">
        <v>87</v>
      </c>
      <c r="J523">
        <v>6.8</v>
      </c>
      <c r="K523">
        <v>2450</v>
      </c>
      <c r="L523">
        <v>1310</v>
      </c>
      <c r="M523">
        <v>1141</v>
      </c>
      <c r="N523">
        <v>558.05999999999995</v>
      </c>
      <c r="O523">
        <v>7.79</v>
      </c>
      <c r="P523">
        <v>27.98</v>
      </c>
      <c r="Q523">
        <v>2.31</v>
      </c>
      <c r="R523">
        <v>1.9</v>
      </c>
      <c r="S523">
        <v>253</v>
      </c>
      <c r="T523">
        <v>3063</v>
      </c>
      <c r="U523">
        <v>3721</v>
      </c>
      <c r="V523">
        <v>169</v>
      </c>
      <c r="W523">
        <v>18.93</v>
      </c>
      <c r="X523" s="10">
        <v>0.58538994414851786</v>
      </c>
      <c r="Y523" s="9">
        <v>14050</v>
      </c>
      <c r="Z523" s="9">
        <v>7000</v>
      </c>
      <c r="AA523" s="9">
        <v>11900</v>
      </c>
      <c r="AB523">
        <v>0.69503546099290781</v>
      </c>
      <c r="AC523" s="11">
        <v>72.576549041400384</v>
      </c>
      <c r="AD523" s="9">
        <v>9173.9152542372885</v>
      </c>
      <c r="AE523" s="8">
        <v>0.676056338028169</v>
      </c>
    </row>
    <row r="524" spans="1:31" x14ac:dyDescent="0.35">
      <c r="A524" s="6" t="s">
        <v>545</v>
      </c>
      <c r="B524" s="7">
        <v>12</v>
      </c>
      <c r="C524" s="7">
        <v>1</v>
      </c>
      <c r="D524" s="7">
        <v>5</v>
      </c>
      <c r="E524" s="7">
        <v>0</v>
      </c>
      <c r="F524">
        <v>200</v>
      </c>
      <c r="G524">
        <v>20</v>
      </c>
      <c r="H524">
        <v>10</v>
      </c>
      <c r="I524">
        <v>31</v>
      </c>
      <c r="J524">
        <v>15.73</v>
      </c>
      <c r="K524">
        <v>349</v>
      </c>
      <c r="L524">
        <v>144</v>
      </c>
      <c r="M524">
        <v>206</v>
      </c>
      <c r="N524">
        <v>184.34</v>
      </c>
      <c r="O524">
        <v>17.649999999999999</v>
      </c>
      <c r="P524">
        <v>14.58</v>
      </c>
      <c r="Q524">
        <v>2.4900000000000002</v>
      </c>
      <c r="R524">
        <v>2.29</v>
      </c>
      <c r="S524">
        <v>212</v>
      </c>
      <c r="T524">
        <v>1242</v>
      </c>
      <c r="U524">
        <v>1349</v>
      </c>
      <c r="V524">
        <v>25</v>
      </c>
      <c r="W524">
        <v>20.149999999999999</v>
      </c>
      <c r="X524" s="10">
        <v>0.25214687500493366</v>
      </c>
      <c r="Y524" s="9">
        <v>4170</v>
      </c>
      <c r="Z524" s="9">
        <v>2840</v>
      </c>
      <c r="AA524" s="9">
        <v>4125</v>
      </c>
      <c r="AB524">
        <v>0.96616541353383456</v>
      </c>
      <c r="AC524" s="11">
        <v>10.237288135593221</v>
      </c>
      <c r="AD524" s="9">
        <v>2897.0960451977403</v>
      </c>
      <c r="AE524" s="8">
        <v>0.375</v>
      </c>
    </row>
    <row r="525" spans="1:31" x14ac:dyDescent="0.35">
      <c r="A525" s="6" t="s">
        <v>546</v>
      </c>
      <c r="B525" s="7">
        <v>9</v>
      </c>
      <c r="C525" s="7">
        <v>3</v>
      </c>
      <c r="D525" s="7">
        <v>2</v>
      </c>
      <c r="E525" s="7">
        <v>4</v>
      </c>
      <c r="F525">
        <v>520</v>
      </c>
      <c r="G525">
        <v>68</v>
      </c>
      <c r="H525">
        <v>13.06</v>
      </c>
      <c r="I525">
        <v>58</v>
      </c>
      <c r="J525">
        <v>11.15</v>
      </c>
      <c r="K525">
        <v>1202</v>
      </c>
      <c r="L525">
        <v>571</v>
      </c>
      <c r="M525">
        <v>631</v>
      </c>
      <c r="N525">
        <v>961.78</v>
      </c>
      <c r="O525">
        <v>10.02</v>
      </c>
      <c r="P525">
        <v>25.05</v>
      </c>
      <c r="Q525">
        <v>2.9</v>
      </c>
      <c r="R525">
        <v>2.79</v>
      </c>
      <c r="S525">
        <v>523</v>
      </c>
      <c r="T525">
        <v>4513</v>
      </c>
      <c r="U525">
        <v>4690</v>
      </c>
      <c r="V525">
        <v>87</v>
      </c>
      <c r="W525">
        <v>19.57</v>
      </c>
      <c r="X525" s="10">
        <v>0.91686160982042697</v>
      </c>
      <c r="Y525" s="9">
        <v>22100</v>
      </c>
      <c r="Z525" s="9">
        <v>13000</v>
      </c>
      <c r="AA525" s="9">
        <v>21300</v>
      </c>
      <c r="AB525">
        <v>0.91208791208791207</v>
      </c>
      <c r="AC525" s="11">
        <v>137.38121700472354</v>
      </c>
      <c r="AD525" s="9">
        <v>12257.372881355932</v>
      </c>
      <c r="AE525" s="8">
        <v>0.63846153846153841</v>
      </c>
    </row>
    <row r="526" spans="1:31" x14ac:dyDescent="0.35">
      <c r="A526" s="6" t="s">
        <v>547</v>
      </c>
      <c r="B526" s="7">
        <v>2</v>
      </c>
      <c r="C526" s="7">
        <v>12</v>
      </c>
      <c r="D526" s="7">
        <v>1</v>
      </c>
      <c r="E526" s="7">
        <v>3</v>
      </c>
      <c r="F526">
        <v>182</v>
      </c>
      <c r="G526">
        <v>6</v>
      </c>
      <c r="H526">
        <v>3.37</v>
      </c>
      <c r="I526">
        <v>3</v>
      </c>
      <c r="J526">
        <v>1.8</v>
      </c>
      <c r="K526">
        <v>741</v>
      </c>
      <c r="L526">
        <v>326</v>
      </c>
      <c r="M526">
        <v>415</v>
      </c>
      <c r="N526">
        <v>771.18</v>
      </c>
      <c r="O526">
        <v>1.06</v>
      </c>
      <c r="P526">
        <v>64.260000000000005</v>
      </c>
      <c r="Q526">
        <v>0.8</v>
      </c>
      <c r="R526">
        <v>1.18</v>
      </c>
      <c r="S526">
        <v>47</v>
      </c>
      <c r="T526">
        <v>3783</v>
      </c>
      <c r="U526">
        <v>2563</v>
      </c>
      <c r="V526">
        <v>23</v>
      </c>
      <c r="W526">
        <v>24.95</v>
      </c>
      <c r="X526" s="10">
        <v>0.10286543061622455</v>
      </c>
      <c r="Y526" s="9">
        <v>3635</v>
      </c>
      <c r="Z526" s="9">
        <v>2695</v>
      </c>
      <c r="AA526" s="9">
        <v>2770</v>
      </c>
      <c r="AB526">
        <v>7.9787234042553196E-2</v>
      </c>
      <c r="AC526" s="11">
        <v>-4.9024729091414283</v>
      </c>
      <c r="AD526" s="9">
        <v>3390.0254237288136</v>
      </c>
      <c r="AE526" s="8">
        <v>-7.0469798657718116E-2</v>
      </c>
    </row>
    <row r="527" spans="1:31" x14ac:dyDescent="0.35">
      <c r="A527" s="6" t="s">
        <v>548</v>
      </c>
      <c r="B527" s="7">
        <v>4</v>
      </c>
      <c r="C527" s="7">
        <v>10</v>
      </c>
      <c r="D527" s="7">
        <v>2</v>
      </c>
      <c r="E527" s="7">
        <v>2</v>
      </c>
      <c r="F527">
        <v>4878</v>
      </c>
      <c r="G527">
        <v>1825</v>
      </c>
      <c r="H527">
        <v>37.42</v>
      </c>
      <c r="I527">
        <v>1603</v>
      </c>
      <c r="J527">
        <v>32.86</v>
      </c>
      <c r="K527">
        <v>27558</v>
      </c>
      <c r="L527">
        <v>2950</v>
      </c>
      <c r="M527">
        <v>24608</v>
      </c>
      <c r="N527">
        <v>8436.75</v>
      </c>
      <c r="O527">
        <v>12.15</v>
      </c>
      <c r="P527">
        <v>35.69</v>
      </c>
      <c r="Q527">
        <v>8.9</v>
      </c>
      <c r="R527">
        <v>12.55</v>
      </c>
      <c r="S527">
        <v>3463</v>
      </c>
      <c r="T527">
        <v>13893</v>
      </c>
      <c r="U527">
        <v>9847</v>
      </c>
      <c r="V527">
        <v>2049</v>
      </c>
      <c r="W527">
        <v>34.81</v>
      </c>
      <c r="X527" s="10">
        <v>0.56516178695263242</v>
      </c>
      <c r="Y527" s="9">
        <v>157400</v>
      </c>
      <c r="Z527" s="9">
        <v>112500</v>
      </c>
      <c r="AA527" s="9">
        <v>113300</v>
      </c>
      <c r="AB527">
        <v>1.7817371937639197E-2</v>
      </c>
      <c r="AC527" s="11">
        <v>-593.07863295359823</v>
      </c>
      <c r="AD527" s="9">
        <v>155393.89830508473</v>
      </c>
      <c r="AE527" s="8">
        <v>-7.9610073111291632E-2</v>
      </c>
    </row>
    <row r="528" spans="1:31" x14ac:dyDescent="0.35">
      <c r="A528" s="6" t="s">
        <v>549</v>
      </c>
      <c r="B528" s="7">
        <v>2</v>
      </c>
      <c r="C528" s="7">
        <v>3</v>
      </c>
      <c r="D528" s="7">
        <v>8</v>
      </c>
      <c r="E528" s="7">
        <v>5</v>
      </c>
      <c r="F528">
        <v>2735</v>
      </c>
      <c r="G528">
        <v>24</v>
      </c>
      <c r="H528">
        <v>0.88</v>
      </c>
      <c r="I528">
        <v>-18</v>
      </c>
      <c r="J528">
        <v>-0.66</v>
      </c>
      <c r="K528">
        <v>2794</v>
      </c>
      <c r="L528">
        <v>2063</v>
      </c>
      <c r="M528">
        <v>731</v>
      </c>
      <c r="N528">
        <v>166.93</v>
      </c>
      <c r="O528">
        <v>-2.4</v>
      </c>
      <c r="P528">
        <v>0</v>
      </c>
      <c r="Q528">
        <v>1.1200000000000001</v>
      </c>
      <c r="R528">
        <v>0.3</v>
      </c>
      <c r="S528">
        <v>-33</v>
      </c>
      <c r="T528">
        <v>1328</v>
      </c>
      <c r="U528">
        <v>4997</v>
      </c>
      <c r="V528">
        <v>67</v>
      </c>
      <c r="W528">
        <v>26.63</v>
      </c>
      <c r="X528" s="10">
        <v>0.86174475778269299</v>
      </c>
      <c r="Y528" s="9">
        <v>1700</v>
      </c>
      <c r="Z528" s="9">
        <v>1480</v>
      </c>
      <c r="AA528" s="9">
        <v>1640</v>
      </c>
      <c r="AB528">
        <v>0.72727272727272729</v>
      </c>
      <c r="AC528" s="11">
        <v>3.6769936093359266</v>
      </c>
      <c r="AD528" s="9">
        <v>1476.6016949152543</v>
      </c>
      <c r="AE528" s="8">
        <v>0.10067114093959731</v>
      </c>
    </row>
    <row r="529" spans="1:31" x14ac:dyDescent="0.35">
      <c r="A529" s="6" t="s">
        <v>550</v>
      </c>
      <c r="B529" s="7">
        <v>7</v>
      </c>
      <c r="C529" s="7">
        <v>0</v>
      </c>
      <c r="D529" s="7">
        <v>8</v>
      </c>
      <c r="E529" s="7">
        <v>3</v>
      </c>
      <c r="F529">
        <v>7448</v>
      </c>
      <c r="G529">
        <v>382</v>
      </c>
      <c r="H529">
        <v>5.13</v>
      </c>
      <c r="I529">
        <v>509</v>
      </c>
      <c r="J529">
        <v>6.83</v>
      </c>
      <c r="K529">
        <v>8201</v>
      </c>
      <c r="L529">
        <v>1609</v>
      </c>
      <c r="M529">
        <v>6592</v>
      </c>
      <c r="N529">
        <v>1294.7</v>
      </c>
      <c r="O529">
        <v>7.7</v>
      </c>
      <c r="P529">
        <v>12.59</v>
      </c>
      <c r="Q529">
        <v>1.2</v>
      </c>
      <c r="R529">
        <v>0.9</v>
      </c>
      <c r="S529">
        <v>559</v>
      </c>
      <c r="T529">
        <v>5846</v>
      </c>
      <c r="U529">
        <v>7801</v>
      </c>
      <c r="V529">
        <v>722</v>
      </c>
      <c r="W529">
        <v>9.4</v>
      </c>
      <c r="X529" s="10">
        <v>0.13473366703024045</v>
      </c>
      <c r="Y529" s="9">
        <v>7230</v>
      </c>
      <c r="Z529" s="9">
        <v>6800</v>
      </c>
      <c r="AA529" s="9">
        <v>6880</v>
      </c>
      <c r="AB529">
        <v>0.18604651162790697</v>
      </c>
      <c r="AC529" s="11">
        <v>-1.5815504306751877</v>
      </c>
      <c r="AD529" s="9">
        <v>6975.9039548022602</v>
      </c>
      <c r="AE529" s="8">
        <v>-3.0985915492957747E-2</v>
      </c>
    </row>
    <row r="530" spans="1:31" x14ac:dyDescent="0.35">
      <c r="A530" s="6" t="s">
        <v>551</v>
      </c>
      <c r="B530" s="7">
        <v>0</v>
      </c>
      <c r="C530" s="7">
        <v>0</v>
      </c>
      <c r="D530" s="7">
        <v>0</v>
      </c>
      <c r="E530" s="7">
        <v>18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 s="10">
        <v>6.3360323188153059E-3</v>
      </c>
      <c r="Y530" s="9">
        <v>4410</v>
      </c>
      <c r="Z530" s="9">
        <v>4165</v>
      </c>
      <c r="AA530" s="9">
        <v>4335</v>
      </c>
      <c r="AB530">
        <v>0.69387755102040816</v>
      </c>
      <c r="AC530" s="11">
        <v>0.29702695193109196</v>
      </c>
      <c r="AD530" s="9">
        <v>4283.7740112994343</v>
      </c>
      <c r="AE530" s="8">
        <v>2.8469750889679714E-2</v>
      </c>
    </row>
    <row r="531" spans="1:31" x14ac:dyDescent="0.35">
      <c r="A531" s="6" t="s">
        <v>552</v>
      </c>
      <c r="B531" s="7">
        <v>5</v>
      </c>
      <c r="C531" s="7">
        <v>6</v>
      </c>
      <c r="D531" s="7">
        <v>1</v>
      </c>
      <c r="E531" s="7">
        <v>6</v>
      </c>
      <c r="F531">
        <v>352</v>
      </c>
      <c r="G531">
        <v>21</v>
      </c>
      <c r="H531">
        <v>5.95</v>
      </c>
      <c r="I531">
        <v>33</v>
      </c>
      <c r="J531">
        <v>9.36</v>
      </c>
      <c r="K531">
        <v>1044</v>
      </c>
      <c r="L531">
        <v>50</v>
      </c>
      <c r="M531">
        <v>994</v>
      </c>
      <c r="N531">
        <v>103.02</v>
      </c>
      <c r="O531">
        <v>3.35</v>
      </c>
      <c r="P531">
        <v>16.12</v>
      </c>
      <c r="Q531">
        <v>0.56000000000000005</v>
      </c>
      <c r="R531">
        <v>1.51</v>
      </c>
      <c r="S531">
        <v>340</v>
      </c>
      <c r="T531">
        <v>9860</v>
      </c>
      <c r="U531">
        <v>3632</v>
      </c>
      <c r="V531">
        <v>49</v>
      </c>
      <c r="W531">
        <v>11.21</v>
      </c>
      <c r="X531" s="10">
        <v>0.73153436683045514</v>
      </c>
      <c r="Y531" s="9">
        <v>6010</v>
      </c>
      <c r="Z531" s="9">
        <v>5400</v>
      </c>
      <c r="AA531" s="9">
        <v>5980</v>
      </c>
      <c r="AB531">
        <v>0.95081967213114749</v>
      </c>
      <c r="AC531" s="11">
        <v>9.9441511530980851</v>
      </c>
      <c r="AD531" s="9">
        <v>5328.5367231638411</v>
      </c>
      <c r="AE531" s="8">
        <v>9.1240875912408759E-2</v>
      </c>
    </row>
    <row r="532" spans="1:31" x14ac:dyDescent="0.35">
      <c r="A532" s="6" t="s">
        <v>553</v>
      </c>
      <c r="B532" s="7">
        <v>2</v>
      </c>
      <c r="C532" s="7">
        <v>2</v>
      </c>
      <c r="D532" s="7">
        <v>5</v>
      </c>
      <c r="E532" s="7">
        <v>9</v>
      </c>
      <c r="F532">
        <v>1118</v>
      </c>
      <c r="G532">
        <v>6</v>
      </c>
      <c r="H532">
        <v>0.55000000000000004</v>
      </c>
      <c r="I532">
        <v>21</v>
      </c>
      <c r="J532">
        <v>1.91</v>
      </c>
      <c r="K532">
        <v>4836</v>
      </c>
      <c r="L532">
        <v>1166</v>
      </c>
      <c r="M532">
        <v>3670</v>
      </c>
      <c r="N532">
        <v>658.86</v>
      </c>
      <c r="O532">
        <v>0.74</v>
      </c>
      <c r="P532">
        <v>45.49</v>
      </c>
      <c r="Q532">
        <v>0.46</v>
      </c>
      <c r="R532">
        <v>0.87</v>
      </c>
      <c r="S532">
        <v>344</v>
      </c>
      <c r="T532">
        <v>33839</v>
      </c>
      <c r="U532">
        <v>17959</v>
      </c>
      <c r="V532">
        <v>101</v>
      </c>
      <c r="W532">
        <v>16.760000000000002</v>
      </c>
      <c r="X532" s="10">
        <v>0.90279224246683387</v>
      </c>
      <c r="Y532" s="9">
        <v>17400</v>
      </c>
      <c r="Z532" s="9">
        <v>14950</v>
      </c>
      <c r="AA532" s="9">
        <v>17400</v>
      </c>
      <c r="AB532">
        <v>1</v>
      </c>
      <c r="AC532" s="11">
        <v>34.659627674353992</v>
      </c>
      <c r="AD532" s="9">
        <v>15041.214689265536</v>
      </c>
      <c r="AE532" s="8">
        <v>0.11897106109324759</v>
      </c>
    </row>
    <row r="533" spans="1:31" x14ac:dyDescent="0.35">
      <c r="A533" s="6" t="s">
        <v>554</v>
      </c>
      <c r="B533" s="7">
        <v>3</v>
      </c>
      <c r="C533" s="7">
        <v>2</v>
      </c>
      <c r="D533" s="7">
        <v>11</v>
      </c>
      <c r="E533" s="7">
        <v>2</v>
      </c>
      <c r="F533">
        <v>5216</v>
      </c>
      <c r="G533">
        <v>126</v>
      </c>
      <c r="H533">
        <v>2.42</v>
      </c>
      <c r="I533">
        <v>176</v>
      </c>
      <c r="J533">
        <v>3.37</v>
      </c>
      <c r="K533">
        <v>5090</v>
      </c>
      <c r="L533">
        <v>721</v>
      </c>
      <c r="M533">
        <v>4370</v>
      </c>
      <c r="N533">
        <v>3762.69</v>
      </c>
      <c r="O533">
        <v>4.12</v>
      </c>
      <c r="P533">
        <v>14.54</v>
      </c>
      <c r="Q533">
        <v>0.64</v>
      </c>
      <c r="R533">
        <v>0.52</v>
      </c>
      <c r="S533">
        <v>839</v>
      </c>
      <c r="T533">
        <v>19092</v>
      </c>
      <c r="U533">
        <v>23338</v>
      </c>
      <c r="V533">
        <v>471</v>
      </c>
      <c r="W533">
        <v>5.66</v>
      </c>
      <c r="X533" s="10">
        <v>0.22098653400405019</v>
      </c>
      <c r="Y533" s="9">
        <v>14500</v>
      </c>
      <c r="Z533" s="9">
        <v>12050</v>
      </c>
      <c r="AA533" s="9">
        <v>13600</v>
      </c>
      <c r="AB533">
        <v>0.63265306122448983</v>
      </c>
      <c r="AC533" s="11">
        <v>16.492081133648234</v>
      </c>
      <c r="AD533" s="9">
        <v>12784.491525423729</v>
      </c>
      <c r="AE533" s="8">
        <v>0.12863070539419086</v>
      </c>
    </row>
    <row r="534" spans="1:31" x14ac:dyDescent="0.35">
      <c r="A534" s="6" t="s">
        <v>555</v>
      </c>
      <c r="B534" s="7">
        <v>0</v>
      </c>
      <c r="C534" s="7">
        <v>0</v>
      </c>
      <c r="D534" s="7">
        <v>0</v>
      </c>
      <c r="E534" s="7">
        <v>18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 s="10">
        <v>0.78597339402145228</v>
      </c>
      <c r="Y534" s="9">
        <v>7550</v>
      </c>
      <c r="Z534" s="9">
        <v>7030</v>
      </c>
      <c r="AA534" s="9">
        <v>7540</v>
      </c>
      <c r="AB534">
        <v>0.98076923076923073</v>
      </c>
      <c r="AC534" s="11">
        <v>7.5987774381772715</v>
      </c>
      <c r="AD534" s="9">
        <v>6998.2372881355932</v>
      </c>
      <c r="AE534" s="8">
        <v>7.254623044096728E-2</v>
      </c>
    </row>
    <row r="535" spans="1:31" x14ac:dyDescent="0.35">
      <c r="A535" s="6" t="s">
        <v>556</v>
      </c>
      <c r="B535" s="7">
        <v>0</v>
      </c>
      <c r="C535" s="7">
        <v>14</v>
      </c>
      <c r="D535" s="7">
        <v>2</v>
      </c>
      <c r="E535" s="7">
        <v>2</v>
      </c>
      <c r="F535">
        <v>6909</v>
      </c>
      <c r="G535">
        <v>242</v>
      </c>
      <c r="H535">
        <v>3.51</v>
      </c>
      <c r="I535">
        <v>302</v>
      </c>
      <c r="J535">
        <v>4.37</v>
      </c>
      <c r="K535">
        <v>5473</v>
      </c>
      <c r="L535">
        <v>1093</v>
      </c>
      <c r="M535">
        <v>4380</v>
      </c>
      <c r="N535">
        <v>1876.14</v>
      </c>
      <c r="O535">
        <v>7.01</v>
      </c>
      <c r="P535">
        <v>12.39</v>
      </c>
      <c r="Q535">
        <v>1.02</v>
      </c>
      <c r="R535">
        <v>0.54</v>
      </c>
      <c r="S535">
        <v>725</v>
      </c>
      <c r="T535">
        <v>8847</v>
      </c>
      <c r="U535">
        <v>16591</v>
      </c>
      <c r="V535">
        <v>861</v>
      </c>
      <c r="W535">
        <v>5.09</v>
      </c>
      <c r="X535" s="10">
        <v>0.78418744568024579</v>
      </c>
      <c r="Y535" s="9">
        <v>9810</v>
      </c>
      <c r="Z535" s="9">
        <v>8610</v>
      </c>
      <c r="AA535" s="9">
        <v>9730</v>
      </c>
      <c r="AB535">
        <v>0.93333333333333335</v>
      </c>
      <c r="AC535" s="11">
        <v>17.053903862183937</v>
      </c>
      <c r="AD535" s="9">
        <v>8751.6892655367246</v>
      </c>
      <c r="AE535" s="8">
        <v>6.9230769230769235E-2</v>
      </c>
    </row>
    <row r="536" spans="1:31" x14ac:dyDescent="0.35">
      <c r="A536" s="6" t="s">
        <v>557</v>
      </c>
      <c r="B536" s="7">
        <v>13</v>
      </c>
      <c r="C536" s="7">
        <v>0</v>
      </c>
      <c r="D536" s="7">
        <v>3</v>
      </c>
      <c r="E536" s="7">
        <v>2</v>
      </c>
      <c r="F536">
        <v>5381</v>
      </c>
      <c r="G536">
        <v>12</v>
      </c>
      <c r="H536">
        <v>0.23</v>
      </c>
      <c r="I536">
        <v>53</v>
      </c>
      <c r="J536">
        <v>0.99</v>
      </c>
      <c r="K536">
        <v>3513</v>
      </c>
      <c r="L536">
        <v>2564</v>
      </c>
      <c r="M536">
        <v>950</v>
      </c>
      <c r="N536">
        <v>606.91</v>
      </c>
      <c r="O536">
        <v>5.75</v>
      </c>
      <c r="P536">
        <v>20.9</v>
      </c>
      <c r="Q536">
        <v>1.62</v>
      </c>
      <c r="R536">
        <v>0.21</v>
      </c>
      <c r="S536">
        <v>199</v>
      </c>
      <c r="T536">
        <v>2564</v>
      </c>
      <c r="U536">
        <v>20076</v>
      </c>
      <c r="V536">
        <v>235</v>
      </c>
      <c r="W536">
        <v>9.17</v>
      </c>
      <c r="X536" s="10">
        <v>0.68581820600598842</v>
      </c>
      <c r="Y536" s="9">
        <v>5750</v>
      </c>
      <c r="Z536" s="9">
        <v>4160</v>
      </c>
      <c r="AA536" s="9">
        <v>5160</v>
      </c>
      <c r="AB536">
        <v>0.62893081761006286</v>
      </c>
      <c r="AC536" s="11">
        <v>24.509724923589893</v>
      </c>
      <c r="AD536" s="9">
        <v>3998.870056497175</v>
      </c>
      <c r="AE536" s="8">
        <v>0.22711058263971462</v>
      </c>
    </row>
    <row r="537" spans="1:31" x14ac:dyDescent="0.35">
      <c r="A537" s="6" t="s">
        <v>558</v>
      </c>
      <c r="B537" s="7">
        <v>7</v>
      </c>
      <c r="C537" s="7">
        <v>10</v>
      </c>
      <c r="D537" s="7">
        <v>1</v>
      </c>
      <c r="E537" s="7">
        <v>0</v>
      </c>
      <c r="F537">
        <v>5052</v>
      </c>
      <c r="G537">
        <v>62</v>
      </c>
      <c r="H537">
        <v>1.24</v>
      </c>
      <c r="I537">
        <v>40</v>
      </c>
      <c r="J537">
        <v>0.79</v>
      </c>
      <c r="K537">
        <v>6038</v>
      </c>
      <c r="L537">
        <v>3953</v>
      </c>
      <c r="M537">
        <v>2085</v>
      </c>
      <c r="N537">
        <v>803.38</v>
      </c>
      <c r="O537">
        <v>1.94</v>
      </c>
      <c r="P537">
        <v>51.04</v>
      </c>
      <c r="Q537">
        <v>1.21</v>
      </c>
      <c r="R537">
        <v>0.4</v>
      </c>
      <c r="S537">
        <v>193</v>
      </c>
      <c r="T537">
        <v>8132</v>
      </c>
      <c r="U537">
        <v>24371</v>
      </c>
      <c r="V537">
        <v>276</v>
      </c>
      <c r="W537">
        <v>15.26</v>
      </c>
      <c r="X537" s="10">
        <v>0.13622646495380353</v>
      </c>
      <c r="Y537" s="9">
        <v>10950</v>
      </c>
      <c r="Z537" s="9">
        <v>9700</v>
      </c>
      <c r="AA537" s="9">
        <v>10000</v>
      </c>
      <c r="AB537">
        <v>0.24</v>
      </c>
      <c r="AC537" s="11">
        <v>7.8541261461517085</v>
      </c>
      <c r="AD537" s="9">
        <v>9951.2824858757067</v>
      </c>
      <c r="AE537" s="8">
        <v>2.8806584362139918E-2</v>
      </c>
    </row>
    <row r="538" spans="1:31" x14ac:dyDescent="0.35">
      <c r="A538" s="6" t="s">
        <v>559</v>
      </c>
      <c r="B538" s="7">
        <v>5</v>
      </c>
      <c r="C538" s="7">
        <v>7</v>
      </c>
      <c r="D538" s="7">
        <v>6</v>
      </c>
      <c r="E538" s="7">
        <v>0</v>
      </c>
      <c r="F538">
        <v>605</v>
      </c>
      <c r="G538">
        <v>11</v>
      </c>
      <c r="H538">
        <v>1.86</v>
      </c>
      <c r="I538">
        <v>3</v>
      </c>
      <c r="J538">
        <v>0.53</v>
      </c>
      <c r="K538">
        <v>569</v>
      </c>
      <c r="L538">
        <v>392</v>
      </c>
      <c r="M538">
        <v>177</v>
      </c>
      <c r="N538">
        <v>638.99</v>
      </c>
      <c r="O538">
        <v>1.81</v>
      </c>
      <c r="P538">
        <v>36.020000000000003</v>
      </c>
      <c r="Q538">
        <v>0.68</v>
      </c>
      <c r="R538">
        <v>0.19</v>
      </c>
      <c r="S538">
        <v>669</v>
      </c>
      <c r="T538">
        <v>35440</v>
      </c>
      <c r="U538">
        <v>126090</v>
      </c>
      <c r="V538">
        <v>35</v>
      </c>
      <c r="W538">
        <v>9.2799999999999994</v>
      </c>
      <c r="X538" s="10">
        <v>0.50633314637587246</v>
      </c>
      <c r="Y538" s="9">
        <v>40950</v>
      </c>
      <c r="Z538" s="9">
        <v>23700</v>
      </c>
      <c r="AA538" s="9">
        <v>32800</v>
      </c>
      <c r="AB538">
        <v>0.52753623188405796</v>
      </c>
      <c r="AC538" s="11">
        <v>192.5743262017227</v>
      </c>
      <c r="AD538" s="9">
        <v>24357.316384180791</v>
      </c>
      <c r="AE538" s="8">
        <v>0.37526205450733752</v>
      </c>
    </row>
    <row r="539" spans="1:31" x14ac:dyDescent="0.35">
      <c r="A539" s="6" t="s">
        <v>560</v>
      </c>
      <c r="B539" s="7">
        <v>8</v>
      </c>
      <c r="C539" s="7">
        <v>1</v>
      </c>
      <c r="D539" s="7">
        <v>5</v>
      </c>
      <c r="E539" s="7">
        <v>4</v>
      </c>
      <c r="F539">
        <v>1275</v>
      </c>
      <c r="G539">
        <v>3</v>
      </c>
      <c r="H539">
        <v>0.2</v>
      </c>
      <c r="I539">
        <v>1</v>
      </c>
      <c r="J539">
        <v>0.11</v>
      </c>
      <c r="K539">
        <v>1445</v>
      </c>
      <c r="L539">
        <v>941</v>
      </c>
      <c r="M539">
        <v>504</v>
      </c>
      <c r="N539">
        <v>1021.43</v>
      </c>
      <c r="O539">
        <v>0.28000000000000003</v>
      </c>
      <c r="P539">
        <v>118.15</v>
      </c>
      <c r="Q539">
        <v>0.33</v>
      </c>
      <c r="R539">
        <v>0.13</v>
      </c>
      <c r="S539">
        <v>157</v>
      </c>
      <c r="T539">
        <v>56072</v>
      </c>
      <c r="U539">
        <v>141877</v>
      </c>
      <c r="V539">
        <v>36</v>
      </c>
      <c r="W539">
        <v>17.62</v>
      </c>
      <c r="X539" s="10">
        <v>0.90746233141585708</v>
      </c>
      <c r="Y539" s="9">
        <v>27400</v>
      </c>
      <c r="Z539" s="9">
        <v>18050</v>
      </c>
      <c r="AA539" s="9">
        <v>26100</v>
      </c>
      <c r="AB539">
        <v>0.86096256684491979</v>
      </c>
      <c r="AC539" s="11">
        <v>169.78883023061965</v>
      </c>
      <c r="AD539" s="9">
        <v>17753.107344632768</v>
      </c>
      <c r="AE539" s="8">
        <v>0.40700808625336926</v>
      </c>
    </row>
    <row r="540" spans="1:31" x14ac:dyDescent="0.35">
      <c r="A540" s="6" t="s">
        <v>561</v>
      </c>
      <c r="B540" s="7">
        <v>3</v>
      </c>
      <c r="C540" s="7">
        <v>3</v>
      </c>
      <c r="D540" s="7">
        <v>10</v>
      </c>
      <c r="E540" s="7">
        <v>2</v>
      </c>
      <c r="F540">
        <v>1096</v>
      </c>
      <c r="G540">
        <v>9</v>
      </c>
      <c r="H540">
        <v>0.79</v>
      </c>
      <c r="I540">
        <v>4</v>
      </c>
      <c r="J540">
        <v>0.39</v>
      </c>
      <c r="K540">
        <v>892</v>
      </c>
      <c r="L540">
        <v>321</v>
      </c>
      <c r="M540">
        <v>570</v>
      </c>
      <c r="N540">
        <v>1040.8900000000001</v>
      </c>
      <c r="O540">
        <v>0.74</v>
      </c>
      <c r="P540">
        <v>74.88</v>
      </c>
      <c r="Q540">
        <v>0.56999999999999995</v>
      </c>
      <c r="R540">
        <v>0.28999999999999998</v>
      </c>
      <c r="S540">
        <v>43</v>
      </c>
      <c r="T540">
        <v>5616</v>
      </c>
      <c r="U540">
        <v>10964</v>
      </c>
      <c r="V540">
        <v>14</v>
      </c>
      <c r="W540">
        <v>31.77</v>
      </c>
      <c r="X540" s="10">
        <v>0.41928102956029811</v>
      </c>
      <c r="Y540" s="9">
        <v>4060</v>
      </c>
      <c r="Z540" s="9">
        <v>3165</v>
      </c>
      <c r="AA540" s="9">
        <v>3745</v>
      </c>
      <c r="AB540">
        <v>0.64804469273743015</v>
      </c>
      <c r="AC540" s="11">
        <v>9.492775771047512</v>
      </c>
      <c r="AD540" s="9">
        <v>3342.8870056497176</v>
      </c>
      <c r="AE540" s="8">
        <v>0.15230769230769231</v>
      </c>
    </row>
    <row r="541" spans="1:31" x14ac:dyDescent="0.35">
      <c r="A541" s="6" t="s">
        <v>562</v>
      </c>
      <c r="B541" s="7">
        <v>9</v>
      </c>
      <c r="C541" s="7">
        <v>5</v>
      </c>
      <c r="D541" s="7">
        <v>2</v>
      </c>
      <c r="E541" s="7">
        <v>2</v>
      </c>
      <c r="F541">
        <v>142</v>
      </c>
      <c r="G541">
        <v>-23</v>
      </c>
      <c r="H541">
        <v>-16.16</v>
      </c>
      <c r="I541">
        <v>65</v>
      </c>
      <c r="J541">
        <v>45.96</v>
      </c>
      <c r="K541">
        <v>1362</v>
      </c>
      <c r="L541">
        <v>185</v>
      </c>
      <c r="M541">
        <v>1178</v>
      </c>
      <c r="N541">
        <v>2269.48</v>
      </c>
      <c r="O541">
        <v>8.31</v>
      </c>
      <c r="P541">
        <v>4.01</v>
      </c>
      <c r="Q541">
        <v>0.36</v>
      </c>
      <c r="R541">
        <v>1.84</v>
      </c>
      <c r="S541">
        <v>1015</v>
      </c>
      <c r="T541">
        <v>11193</v>
      </c>
      <c r="U541">
        <v>2207</v>
      </c>
      <c r="V541">
        <v>-15</v>
      </c>
      <c r="W541">
        <v>-28.86</v>
      </c>
      <c r="X541" s="10">
        <v>0.74068230973821492</v>
      </c>
      <c r="Y541" s="9">
        <v>5400</v>
      </c>
      <c r="Z541" s="9">
        <v>3930</v>
      </c>
      <c r="AA541" s="9">
        <v>5370</v>
      </c>
      <c r="AB541">
        <v>0.97959183673469385</v>
      </c>
      <c r="AC541" s="11">
        <v>20.394415115309808</v>
      </c>
      <c r="AD541" s="9">
        <v>3762.2203389830511</v>
      </c>
      <c r="AE541" s="8">
        <v>0.31941031941031939</v>
      </c>
    </row>
    <row r="542" spans="1:31" x14ac:dyDescent="0.35">
      <c r="A542" s="6" t="s">
        <v>563</v>
      </c>
      <c r="B542" s="7">
        <v>8</v>
      </c>
      <c r="C542" s="7">
        <v>4</v>
      </c>
      <c r="D542" s="7">
        <v>4</v>
      </c>
      <c r="E542" s="7">
        <v>2</v>
      </c>
      <c r="F542">
        <v>1569</v>
      </c>
      <c r="G542">
        <v>75</v>
      </c>
      <c r="H542">
        <v>4.76</v>
      </c>
      <c r="I542">
        <v>52</v>
      </c>
      <c r="J542">
        <v>3.35</v>
      </c>
      <c r="K542">
        <v>1353</v>
      </c>
      <c r="L542">
        <v>693</v>
      </c>
      <c r="M542">
        <v>660</v>
      </c>
      <c r="N542">
        <v>729.45</v>
      </c>
      <c r="O542">
        <v>11</v>
      </c>
      <c r="P542">
        <v>11.5</v>
      </c>
      <c r="Q542">
        <v>1.25</v>
      </c>
      <c r="R542">
        <v>0.38</v>
      </c>
      <c r="S542">
        <v>440</v>
      </c>
      <c r="T542">
        <v>4042</v>
      </c>
      <c r="U542">
        <v>13151</v>
      </c>
      <c r="V542">
        <v>150</v>
      </c>
      <c r="W542">
        <v>6.94</v>
      </c>
      <c r="X542" s="10">
        <v>0.57173429886379579</v>
      </c>
      <c r="Y542" s="9">
        <v>8000</v>
      </c>
      <c r="Z542" s="9">
        <v>5330</v>
      </c>
      <c r="AA542" s="9">
        <v>7440</v>
      </c>
      <c r="AB542">
        <v>0.79026217228464424</v>
      </c>
      <c r="AC542" s="11">
        <v>33.288135593220339</v>
      </c>
      <c r="AD542" s="9">
        <v>5974.3785310734465</v>
      </c>
      <c r="AE542" s="8">
        <v>0.39587242026266417</v>
      </c>
    </row>
    <row r="543" spans="1:31" x14ac:dyDescent="0.35">
      <c r="A543" s="6" t="s">
        <v>564</v>
      </c>
      <c r="B543" s="7">
        <v>16</v>
      </c>
      <c r="C543" s="7">
        <v>0</v>
      </c>
      <c r="D543" s="7">
        <v>1</v>
      </c>
      <c r="E543" s="7">
        <v>1</v>
      </c>
      <c r="F543">
        <v>1419</v>
      </c>
      <c r="G543">
        <v>134</v>
      </c>
      <c r="H543">
        <v>9.4600000000000009</v>
      </c>
      <c r="I543">
        <v>86</v>
      </c>
      <c r="J543">
        <v>6.1</v>
      </c>
      <c r="K543">
        <v>2617</v>
      </c>
      <c r="L543">
        <v>1118</v>
      </c>
      <c r="M543">
        <v>1499</v>
      </c>
      <c r="N543">
        <v>888.52</v>
      </c>
      <c r="O543">
        <v>5.9</v>
      </c>
      <c r="P543">
        <v>6.22</v>
      </c>
      <c r="Q543">
        <v>0.37</v>
      </c>
      <c r="R543">
        <v>0.38</v>
      </c>
      <c r="S543">
        <v>574</v>
      </c>
      <c r="T543">
        <v>9780</v>
      </c>
      <c r="U543">
        <v>9418</v>
      </c>
      <c r="V543">
        <v>165</v>
      </c>
      <c r="W543">
        <v>6.57</v>
      </c>
      <c r="X543" s="10">
        <v>0.79207683456723155</v>
      </c>
      <c r="Y543" s="9">
        <v>13450</v>
      </c>
      <c r="Z543" s="9">
        <v>3525</v>
      </c>
      <c r="AA543" s="9">
        <v>13350</v>
      </c>
      <c r="AB543">
        <v>0.98992443324937029</v>
      </c>
      <c r="AC543" s="11">
        <v>146.12614615170881</v>
      </c>
      <c r="AD543" s="9">
        <v>1527.8192090395487</v>
      </c>
      <c r="AE543" s="8">
        <v>2.7872340425531914</v>
      </c>
    </row>
    <row r="544" spans="1:31" x14ac:dyDescent="0.35">
      <c r="A544" s="6" t="s">
        <v>565</v>
      </c>
      <c r="B544" s="7">
        <v>1</v>
      </c>
      <c r="C544" s="7">
        <v>2</v>
      </c>
      <c r="D544" s="7">
        <v>6</v>
      </c>
      <c r="E544" s="7">
        <v>9</v>
      </c>
      <c r="F544">
        <v>78454</v>
      </c>
      <c r="G544">
        <v>1545</v>
      </c>
      <c r="H544">
        <v>1.97</v>
      </c>
      <c r="I544">
        <v>-4721</v>
      </c>
      <c r="J544">
        <v>-6.02</v>
      </c>
      <c r="K544">
        <v>100541</v>
      </c>
      <c r="L544">
        <v>55821</v>
      </c>
      <c r="M544">
        <v>44720</v>
      </c>
      <c r="N544">
        <v>1946.68</v>
      </c>
      <c r="O544">
        <v>-10.02</v>
      </c>
      <c r="P544">
        <v>0</v>
      </c>
      <c r="Q544">
        <v>0.56999999999999995</v>
      </c>
      <c r="R544">
        <v>0.32</v>
      </c>
      <c r="S544">
        <v>-12236</v>
      </c>
      <c r="T544">
        <v>114955</v>
      </c>
      <c r="U544">
        <v>203249</v>
      </c>
      <c r="V544">
        <v>1957</v>
      </c>
      <c r="W544">
        <v>14.51</v>
      </c>
      <c r="X544" s="10">
        <v>0.30239475701842883</v>
      </c>
      <c r="Y544" s="9">
        <v>68600</v>
      </c>
      <c r="Z544" s="9">
        <v>53400</v>
      </c>
      <c r="AA544" s="9">
        <v>61400</v>
      </c>
      <c r="AB544">
        <v>0.52631578947368418</v>
      </c>
      <c r="AC544" s="11">
        <v>155.16810225062517</v>
      </c>
      <c r="AD544" s="9">
        <v>56115.706214689271</v>
      </c>
      <c r="AE544" s="8">
        <v>-6.402439024390244E-2</v>
      </c>
    </row>
    <row r="545" spans="1:31" x14ac:dyDescent="0.35">
      <c r="A545" s="6" t="s">
        <v>566</v>
      </c>
      <c r="B545" s="7">
        <v>0</v>
      </c>
      <c r="C545" s="7">
        <v>0</v>
      </c>
      <c r="D545" s="7">
        <v>0</v>
      </c>
      <c r="E545" s="7">
        <v>18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 s="10">
        <v>0.16186191768086602</v>
      </c>
      <c r="Y545" s="9">
        <v>27600</v>
      </c>
      <c r="Z545" s="9">
        <v>22000</v>
      </c>
      <c r="AA545" s="9">
        <v>23400</v>
      </c>
      <c r="AB545">
        <v>0.25</v>
      </c>
      <c r="AC545" s="11">
        <v>33.295359822172827</v>
      </c>
      <c r="AD545" s="9">
        <v>23219.491525423728</v>
      </c>
      <c r="AE545" s="8">
        <v>-5.2631578947368418E-2</v>
      </c>
    </row>
    <row r="546" spans="1:31" x14ac:dyDescent="0.35">
      <c r="A546" s="6" t="s">
        <v>567</v>
      </c>
      <c r="B546" s="7">
        <v>7</v>
      </c>
      <c r="C546" s="7">
        <v>4</v>
      </c>
      <c r="D546" s="7">
        <v>0</v>
      </c>
      <c r="E546" s="7">
        <v>7</v>
      </c>
      <c r="F546">
        <v>429</v>
      </c>
      <c r="G546">
        <v>33</v>
      </c>
      <c r="H546">
        <v>7.73</v>
      </c>
      <c r="I546">
        <v>49</v>
      </c>
      <c r="J546">
        <v>11.49</v>
      </c>
      <c r="K546">
        <v>1083</v>
      </c>
      <c r="L546">
        <v>156</v>
      </c>
      <c r="M546">
        <v>927</v>
      </c>
      <c r="N546">
        <v>1961.01</v>
      </c>
      <c r="O546">
        <v>7.29</v>
      </c>
      <c r="P546">
        <v>6.81</v>
      </c>
      <c r="Q546">
        <v>0.48</v>
      </c>
      <c r="R546">
        <v>0.78</v>
      </c>
      <c r="S546">
        <v>731</v>
      </c>
      <c r="T546">
        <v>10288</v>
      </c>
      <c r="U546">
        <v>6363</v>
      </c>
      <c r="V546">
        <v>66</v>
      </c>
      <c r="W546">
        <v>6.84</v>
      </c>
      <c r="X546" s="10">
        <v>0.71257692594928512</v>
      </c>
      <c r="Y546" s="9">
        <v>5220</v>
      </c>
      <c r="Z546" s="9">
        <v>3985</v>
      </c>
      <c r="AA546" s="9">
        <v>5220</v>
      </c>
      <c r="AB546">
        <v>1</v>
      </c>
      <c r="AC546" s="11">
        <v>14.514309530425118</v>
      </c>
      <c r="AD546" s="9">
        <v>4003.8135593220341</v>
      </c>
      <c r="AE546" s="8">
        <v>0.17303370786516853</v>
      </c>
    </row>
    <row r="547" spans="1:31" x14ac:dyDescent="0.35">
      <c r="A547" s="6" t="s">
        <v>568</v>
      </c>
      <c r="B547" s="7">
        <v>7</v>
      </c>
      <c r="C547" s="7">
        <v>3</v>
      </c>
      <c r="D547" s="7">
        <v>8</v>
      </c>
      <c r="E547" s="7">
        <v>0</v>
      </c>
      <c r="F547">
        <v>1517</v>
      </c>
      <c r="G547">
        <v>40</v>
      </c>
      <c r="H547">
        <v>2.62</v>
      </c>
      <c r="I547">
        <v>22</v>
      </c>
      <c r="J547">
        <v>1.45</v>
      </c>
      <c r="K547">
        <v>2560</v>
      </c>
      <c r="L547">
        <v>1168</v>
      </c>
      <c r="M547">
        <v>1392</v>
      </c>
      <c r="N547">
        <v>747.33</v>
      </c>
      <c r="O547">
        <v>1.58</v>
      </c>
      <c r="P547">
        <v>29.72</v>
      </c>
      <c r="Q547">
        <v>0.48</v>
      </c>
      <c r="R547">
        <v>0.43</v>
      </c>
      <c r="S547">
        <v>145</v>
      </c>
      <c r="T547">
        <v>9035</v>
      </c>
      <c r="U547">
        <v>9962</v>
      </c>
      <c r="V547">
        <v>73</v>
      </c>
      <c r="W547">
        <v>20.48</v>
      </c>
      <c r="X547" s="10">
        <v>0.72749737372272005</v>
      </c>
      <c r="Y547" s="9">
        <v>8800</v>
      </c>
      <c r="Z547" s="9">
        <v>4180</v>
      </c>
      <c r="AA547" s="9">
        <v>8800</v>
      </c>
      <c r="AB547">
        <v>1</v>
      </c>
      <c r="AC547" s="11">
        <v>48.264378994165043</v>
      </c>
      <c r="AD547" s="9">
        <v>3604.1864406779659</v>
      </c>
      <c r="AE547" s="8">
        <v>1.0465116279069768</v>
      </c>
    </row>
    <row r="548" spans="1:31" x14ac:dyDescent="0.35">
      <c r="A548" s="6" t="s">
        <v>569</v>
      </c>
      <c r="B548" s="7">
        <v>12</v>
      </c>
      <c r="C548" s="7">
        <v>3</v>
      </c>
      <c r="D548" s="7">
        <v>3</v>
      </c>
      <c r="E548" s="7">
        <v>0</v>
      </c>
      <c r="F548">
        <v>244</v>
      </c>
      <c r="G548">
        <v>10</v>
      </c>
      <c r="H548">
        <v>4.25</v>
      </c>
      <c r="I548">
        <v>56</v>
      </c>
      <c r="J548">
        <v>22.91</v>
      </c>
      <c r="K548">
        <v>877</v>
      </c>
      <c r="L548">
        <v>20</v>
      </c>
      <c r="M548">
        <v>857</v>
      </c>
      <c r="N548">
        <v>89.19</v>
      </c>
      <c r="O548">
        <v>6.74</v>
      </c>
      <c r="P548">
        <v>16.03</v>
      </c>
      <c r="Q548">
        <v>1.1100000000000001</v>
      </c>
      <c r="R548">
        <v>3.66</v>
      </c>
      <c r="S548">
        <v>58</v>
      </c>
      <c r="T548">
        <v>840</v>
      </c>
      <c r="U548">
        <v>254</v>
      </c>
      <c r="V548">
        <v>18</v>
      </c>
      <c r="W548">
        <v>50.69</v>
      </c>
      <c r="X548" s="10">
        <v>0.68099244226021383</v>
      </c>
      <c r="Y548" s="9">
        <v>1510</v>
      </c>
      <c r="Z548" s="9">
        <v>915</v>
      </c>
      <c r="AA548" s="9">
        <v>1400</v>
      </c>
      <c r="AB548">
        <v>0.81512605042016806</v>
      </c>
      <c r="AC548" s="11">
        <v>6.5734370658516266</v>
      </c>
      <c r="AD548" s="9">
        <v>869.87683615819196</v>
      </c>
      <c r="AE548" s="8">
        <v>0.41414141414141414</v>
      </c>
    </row>
    <row r="549" spans="1:31" x14ac:dyDescent="0.35">
      <c r="A549" s="6" t="s">
        <v>570</v>
      </c>
      <c r="B549" s="7">
        <v>12</v>
      </c>
      <c r="C549" s="7">
        <v>4</v>
      </c>
      <c r="D549" s="7">
        <v>2</v>
      </c>
      <c r="E549" s="7">
        <v>0</v>
      </c>
      <c r="F549">
        <v>477</v>
      </c>
      <c r="G549">
        <v>47</v>
      </c>
      <c r="H549">
        <v>9.8800000000000008</v>
      </c>
      <c r="I549">
        <v>39</v>
      </c>
      <c r="J549">
        <v>8.09</v>
      </c>
      <c r="K549">
        <v>487</v>
      </c>
      <c r="L549">
        <v>54</v>
      </c>
      <c r="M549">
        <v>433</v>
      </c>
      <c r="N549">
        <v>681.55</v>
      </c>
      <c r="O549">
        <v>9.25</v>
      </c>
      <c r="P549">
        <v>25.6</v>
      </c>
      <c r="Q549">
        <v>2.29</v>
      </c>
      <c r="R549">
        <v>2.0699999999999998</v>
      </c>
      <c r="S549">
        <v>348</v>
      </c>
      <c r="T549">
        <v>3887</v>
      </c>
      <c r="U549">
        <v>4302</v>
      </c>
      <c r="V549">
        <v>53</v>
      </c>
      <c r="W549">
        <v>18.510000000000002</v>
      </c>
      <c r="X549" s="10">
        <v>0.48492450306426821</v>
      </c>
      <c r="Y549" s="9">
        <v>16250</v>
      </c>
      <c r="Z549" s="9">
        <v>8660</v>
      </c>
      <c r="AA549" s="9">
        <v>15650</v>
      </c>
      <c r="AB549">
        <v>0.92094861660079053</v>
      </c>
      <c r="AC549" s="11">
        <v>62.888302306196181</v>
      </c>
      <c r="AD549" s="9">
        <v>9728.7401129943501</v>
      </c>
      <c r="AE549" s="8">
        <v>0.80715935334872979</v>
      </c>
    </row>
    <row r="550" spans="1:31" x14ac:dyDescent="0.35">
      <c r="A550" s="6" t="s">
        <v>571</v>
      </c>
      <c r="B550" s="7">
        <v>10</v>
      </c>
      <c r="C550" s="7">
        <v>0</v>
      </c>
      <c r="D550" s="7">
        <v>8</v>
      </c>
      <c r="E550" s="7">
        <v>0</v>
      </c>
      <c r="F550">
        <v>16011</v>
      </c>
      <c r="G550">
        <v>1209</v>
      </c>
      <c r="H550">
        <v>7.55</v>
      </c>
      <c r="I550">
        <v>735</v>
      </c>
      <c r="J550">
        <v>4.59</v>
      </c>
      <c r="K550">
        <v>13753</v>
      </c>
      <c r="L550">
        <v>6600</v>
      </c>
      <c r="M550">
        <v>7153</v>
      </c>
      <c r="N550">
        <v>1886.04</v>
      </c>
      <c r="O550">
        <v>10.69</v>
      </c>
      <c r="P550">
        <v>16.489999999999998</v>
      </c>
      <c r="Q550">
        <v>1.72</v>
      </c>
      <c r="R550">
        <v>0.75</v>
      </c>
      <c r="S550">
        <v>2026</v>
      </c>
      <c r="T550">
        <v>19470</v>
      </c>
      <c r="U550">
        <v>44453</v>
      </c>
      <c r="V550">
        <v>1586</v>
      </c>
      <c r="W550">
        <v>8.1199999999999992</v>
      </c>
      <c r="X550" s="10">
        <v>0.79200676532504033</v>
      </c>
      <c r="Y550" s="9">
        <v>43250</v>
      </c>
      <c r="Z550" s="9">
        <v>32000</v>
      </c>
      <c r="AA550" s="9">
        <v>42200</v>
      </c>
      <c r="AB550">
        <v>0.90666666666666662</v>
      </c>
      <c r="AC550" s="11">
        <v>160.42372881355934</v>
      </c>
      <c r="AD550" s="9">
        <v>32686.242937853105</v>
      </c>
      <c r="AE550" s="8">
        <v>0.21789321789321789</v>
      </c>
    </row>
    <row r="551" spans="1:31" x14ac:dyDescent="0.35">
      <c r="A551" s="6" t="s">
        <v>572</v>
      </c>
      <c r="B551" s="7">
        <v>0</v>
      </c>
      <c r="C551" s="7">
        <v>0</v>
      </c>
      <c r="D551" s="7">
        <v>0</v>
      </c>
      <c r="E551" s="7">
        <v>18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 s="10">
        <v>0.6107816328998239</v>
      </c>
      <c r="Y551" s="9">
        <v>40950</v>
      </c>
      <c r="Z551" s="9">
        <v>28950</v>
      </c>
      <c r="AA551" s="9">
        <v>39100</v>
      </c>
      <c r="AB551">
        <v>0.84583333333333333</v>
      </c>
      <c r="AC551" s="11">
        <v>116.5893303695471</v>
      </c>
      <c r="AD551" s="9">
        <v>30219.858757062149</v>
      </c>
      <c r="AE551" s="8">
        <v>0.19571865443425077</v>
      </c>
    </row>
    <row r="552" spans="1:31" x14ac:dyDescent="0.35">
      <c r="A552" s="6" t="s">
        <v>573</v>
      </c>
      <c r="B552" s="7">
        <v>0</v>
      </c>
      <c r="C552" s="7">
        <v>0</v>
      </c>
      <c r="D552" s="7">
        <v>0</v>
      </c>
      <c r="E552" s="7">
        <v>18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 s="10">
        <v>0.80833042719646708</v>
      </c>
      <c r="Y552" s="9">
        <v>17300</v>
      </c>
      <c r="Z552" s="9">
        <v>11850</v>
      </c>
      <c r="AA552" s="9">
        <v>17300</v>
      </c>
      <c r="AB552">
        <v>1</v>
      </c>
      <c r="AC552" s="11">
        <v>75.45707140872463</v>
      </c>
      <c r="AD552" s="9">
        <v>12145.225988700564</v>
      </c>
      <c r="AE552" s="8">
        <v>0.32567049808429116</v>
      </c>
    </row>
    <row r="553" spans="1:31" x14ac:dyDescent="0.35">
      <c r="A553" s="6" t="s">
        <v>574</v>
      </c>
      <c r="B553" s="7">
        <v>9</v>
      </c>
      <c r="C553" s="7">
        <v>5</v>
      </c>
      <c r="D553" s="7">
        <v>3</v>
      </c>
      <c r="E553" s="7">
        <v>1</v>
      </c>
      <c r="F553">
        <v>204</v>
      </c>
      <c r="G553">
        <v>155</v>
      </c>
      <c r="H553">
        <v>76.13</v>
      </c>
      <c r="I553">
        <v>178</v>
      </c>
      <c r="J553">
        <v>87.19</v>
      </c>
      <c r="K553">
        <v>4001</v>
      </c>
      <c r="L553">
        <v>204</v>
      </c>
      <c r="M553">
        <v>3797</v>
      </c>
      <c r="N553">
        <v>922.84</v>
      </c>
      <c r="O553">
        <v>4.76</v>
      </c>
      <c r="P553">
        <v>34.57</v>
      </c>
      <c r="Q553">
        <v>1.66</v>
      </c>
      <c r="R553">
        <v>30.6</v>
      </c>
      <c r="S553">
        <v>486</v>
      </c>
      <c r="T553">
        <v>10139</v>
      </c>
      <c r="U553">
        <v>549</v>
      </c>
      <c r="V553">
        <v>157</v>
      </c>
      <c r="W553">
        <v>39.19</v>
      </c>
      <c r="X553" s="10">
        <v>0.65070325945138308</v>
      </c>
      <c r="Y553" s="9">
        <v>25050</v>
      </c>
      <c r="Z553" s="9">
        <v>16800</v>
      </c>
      <c r="AA553" s="9">
        <v>24500</v>
      </c>
      <c r="AB553">
        <v>0.93333333333333335</v>
      </c>
      <c r="AC553" s="11">
        <v>105.54320644623508</v>
      </c>
      <c r="AD553" s="9">
        <v>15689.265536723162</v>
      </c>
      <c r="AE553" s="8">
        <v>0.42028985507246375</v>
      </c>
    </row>
    <row r="554" spans="1:31" x14ac:dyDescent="0.35">
      <c r="A554" s="6" t="s">
        <v>575</v>
      </c>
      <c r="B554" s="7">
        <v>0</v>
      </c>
      <c r="C554" s="7">
        <v>0</v>
      </c>
      <c r="D554" s="7">
        <v>0</v>
      </c>
      <c r="E554" s="7">
        <v>18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 s="10">
        <v>0.78112097710089268</v>
      </c>
      <c r="Y554" s="9">
        <v>10100</v>
      </c>
      <c r="Z554" s="9">
        <v>7070</v>
      </c>
      <c r="AA554" s="9">
        <v>10100</v>
      </c>
      <c r="AB554">
        <v>1</v>
      </c>
      <c r="AC554" s="11">
        <v>35.641011392053358</v>
      </c>
      <c r="AD554" s="9">
        <v>6842.6158192090397</v>
      </c>
      <c r="AE554" s="8">
        <v>0.37042062415196741</v>
      </c>
    </row>
    <row r="555" spans="1:31" x14ac:dyDescent="0.35">
      <c r="A555" s="6" t="s">
        <v>576</v>
      </c>
      <c r="B555" s="7">
        <v>6</v>
      </c>
      <c r="C555" s="7">
        <v>8</v>
      </c>
      <c r="D555" s="7">
        <v>3</v>
      </c>
      <c r="E555" s="7">
        <v>1</v>
      </c>
      <c r="F555">
        <v>253</v>
      </c>
      <c r="G555">
        <v>24</v>
      </c>
      <c r="H555">
        <v>9.4</v>
      </c>
      <c r="I555">
        <v>20</v>
      </c>
      <c r="J555">
        <v>8.07</v>
      </c>
      <c r="K555">
        <v>278</v>
      </c>
      <c r="L555">
        <v>67</v>
      </c>
      <c r="M555">
        <v>211</v>
      </c>
      <c r="N555">
        <v>1012.51</v>
      </c>
      <c r="O555">
        <v>10</v>
      </c>
      <c r="P555">
        <v>9.1</v>
      </c>
      <c r="Q555">
        <v>0.91</v>
      </c>
      <c r="R555">
        <v>0.73</v>
      </c>
      <c r="S555">
        <v>5375</v>
      </c>
      <c r="T555">
        <v>53632</v>
      </c>
      <c r="U555">
        <v>66573</v>
      </c>
      <c r="V555">
        <v>37</v>
      </c>
      <c r="W555">
        <v>5.1100000000000003</v>
      </c>
      <c r="X555" s="10">
        <v>0.63251575636718105</v>
      </c>
      <c r="Y555" s="9">
        <v>87700</v>
      </c>
      <c r="Z555" s="9">
        <v>47650</v>
      </c>
      <c r="AA555" s="9">
        <v>68700</v>
      </c>
      <c r="AB555">
        <v>0.52559300873907611</v>
      </c>
      <c r="AC555" s="11">
        <v>515.80716865796057</v>
      </c>
      <c r="AD555" s="9">
        <v>46439.548022598865</v>
      </c>
      <c r="AE555" s="8">
        <v>0.39634146341463417</v>
      </c>
    </row>
    <row r="556" spans="1:31" x14ac:dyDescent="0.35">
      <c r="A556" s="6" t="s">
        <v>577</v>
      </c>
      <c r="B556" s="7">
        <v>1</v>
      </c>
      <c r="C556" s="7">
        <v>8</v>
      </c>
      <c r="D556" s="7">
        <v>0</v>
      </c>
      <c r="E556" s="7">
        <v>9</v>
      </c>
      <c r="F556">
        <v>8392</v>
      </c>
      <c r="G556">
        <v>-135</v>
      </c>
      <c r="H556">
        <v>-1.61</v>
      </c>
      <c r="I556">
        <v>-1653</v>
      </c>
      <c r="J556">
        <v>-19.7</v>
      </c>
      <c r="K556">
        <v>20249</v>
      </c>
      <c r="L556">
        <v>17427</v>
      </c>
      <c r="M556">
        <v>2822</v>
      </c>
      <c r="N556">
        <v>97.34</v>
      </c>
      <c r="O556">
        <v>-60.42</v>
      </c>
      <c r="P556">
        <v>0</v>
      </c>
      <c r="Q556">
        <v>0.56000000000000005</v>
      </c>
      <c r="R556">
        <v>0.12</v>
      </c>
      <c r="S556">
        <v>-7704</v>
      </c>
      <c r="T556">
        <v>8177</v>
      </c>
      <c r="U556">
        <v>39109</v>
      </c>
      <c r="V556">
        <v>125</v>
      </c>
      <c r="W556">
        <v>123.72</v>
      </c>
      <c r="X556" s="10">
        <v>0.84329348840369278</v>
      </c>
      <c r="Y556" s="9">
        <v>10700</v>
      </c>
      <c r="Z556" s="9">
        <v>5930</v>
      </c>
      <c r="AA556" s="9">
        <v>5980</v>
      </c>
      <c r="AB556">
        <v>1.0482180293501049E-2</v>
      </c>
      <c r="AC556" s="11">
        <v>-78.768824673520427</v>
      </c>
      <c r="AD556" s="9">
        <v>10174.949152542373</v>
      </c>
      <c r="AE556" s="8">
        <v>-0.44112149532710282</v>
      </c>
    </row>
    <row r="557" spans="1:31" x14ac:dyDescent="0.35">
      <c r="A557" s="6" t="s">
        <v>578</v>
      </c>
      <c r="B557" s="7">
        <v>8</v>
      </c>
      <c r="C557" s="7">
        <v>8</v>
      </c>
      <c r="D557" s="7">
        <v>0</v>
      </c>
      <c r="E557" s="7">
        <v>2</v>
      </c>
      <c r="F557">
        <v>10669</v>
      </c>
      <c r="G557">
        <v>137</v>
      </c>
      <c r="H557">
        <v>1.28</v>
      </c>
      <c r="I557">
        <v>127</v>
      </c>
      <c r="J557">
        <v>1.19</v>
      </c>
      <c r="K557">
        <v>6838</v>
      </c>
      <c r="L557">
        <v>4051</v>
      </c>
      <c r="M557">
        <v>2788</v>
      </c>
      <c r="N557">
        <v>913.69</v>
      </c>
      <c r="O557">
        <v>4.59</v>
      </c>
      <c r="P557">
        <v>13.02</v>
      </c>
      <c r="Q557">
        <v>0.6</v>
      </c>
      <c r="R557">
        <v>0.15</v>
      </c>
      <c r="S557">
        <v>461</v>
      </c>
      <c r="T557">
        <v>10007</v>
      </c>
      <c r="U557">
        <v>38797</v>
      </c>
      <c r="V557">
        <v>385</v>
      </c>
      <c r="W557">
        <v>5.07</v>
      </c>
      <c r="X557" s="10">
        <v>0.19730330838612983</v>
      </c>
      <c r="Y557" s="9">
        <v>6130</v>
      </c>
      <c r="Z557" s="9">
        <v>5490</v>
      </c>
      <c r="AA557" s="9">
        <v>5990</v>
      </c>
      <c r="AB557">
        <v>0.78125</v>
      </c>
      <c r="AC557" s="11">
        <v>3.3548207835509856</v>
      </c>
      <c r="AD557" s="9">
        <v>5623.0112994350284</v>
      </c>
      <c r="AE557" s="8">
        <v>-2.2838499184339316E-2</v>
      </c>
    </row>
    <row r="558" spans="1:31" x14ac:dyDescent="0.35">
      <c r="A558" s="6" t="s">
        <v>579</v>
      </c>
      <c r="B558" s="7">
        <v>1</v>
      </c>
      <c r="C558" s="7">
        <v>14</v>
      </c>
      <c r="D558" s="7">
        <v>3</v>
      </c>
      <c r="E558" s="7">
        <v>0</v>
      </c>
      <c r="F558">
        <v>3873</v>
      </c>
      <c r="G558">
        <v>87</v>
      </c>
      <c r="H558">
        <v>2.25</v>
      </c>
      <c r="I558">
        <v>30</v>
      </c>
      <c r="J558">
        <v>0.77</v>
      </c>
      <c r="K558">
        <v>1023</v>
      </c>
      <c r="L558">
        <v>770</v>
      </c>
      <c r="M558">
        <v>253</v>
      </c>
      <c r="N558">
        <v>-26.52</v>
      </c>
      <c r="O558">
        <v>12.37</v>
      </c>
      <c r="P558">
        <v>18.600000000000001</v>
      </c>
      <c r="Q558">
        <v>3.52</v>
      </c>
      <c r="R558">
        <v>0.14000000000000001</v>
      </c>
      <c r="S558">
        <v>43</v>
      </c>
      <c r="T558">
        <v>227</v>
      </c>
      <c r="U558">
        <v>5632</v>
      </c>
      <c r="V558">
        <v>150</v>
      </c>
      <c r="W558">
        <v>6.85</v>
      </c>
      <c r="X558" s="10">
        <v>0.7130966367486824</v>
      </c>
      <c r="Y558" s="9">
        <v>1080</v>
      </c>
      <c r="Z558" s="9">
        <v>788</v>
      </c>
      <c r="AA558" s="9">
        <v>925</v>
      </c>
      <c r="AB558">
        <v>0.46917808219178081</v>
      </c>
      <c r="AC558" s="11">
        <v>4.1492636843567654</v>
      </c>
      <c r="AD558" s="9">
        <v>776.51412429378536</v>
      </c>
      <c r="AE558" s="8">
        <v>0.15193026151930261</v>
      </c>
    </row>
    <row r="559" spans="1:31" x14ac:dyDescent="0.35">
      <c r="A559" s="6" t="s">
        <v>580</v>
      </c>
      <c r="B559" s="7">
        <v>6</v>
      </c>
      <c r="C559" s="7">
        <v>9</v>
      </c>
      <c r="D559" s="7">
        <v>1</v>
      </c>
      <c r="E559" s="7">
        <v>2</v>
      </c>
      <c r="F559">
        <v>96</v>
      </c>
      <c r="G559">
        <v>38</v>
      </c>
      <c r="H559">
        <v>39.590000000000003</v>
      </c>
      <c r="I559">
        <v>33</v>
      </c>
      <c r="J559">
        <v>34.65</v>
      </c>
      <c r="K559">
        <v>535</v>
      </c>
      <c r="L559">
        <v>16</v>
      </c>
      <c r="M559">
        <v>519</v>
      </c>
      <c r="N559">
        <v>159.41999999999999</v>
      </c>
      <c r="O559">
        <v>6.9</v>
      </c>
      <c r="P559">
        <v>17.29</v>
      </c>
      <c r="Q559">
        <v>1.1100000000000001</v>
      </c>
      <c r="R559">
        <v>5.98</v>
      </c>
      <c r="S559">
        <v>83</v>
      </c>
      <c r="T559">
        <v>1294</v>
      </c>
      <c r="U559">
        <v>240</v>
      </c>
      <c r="V559">
        <v>0</v>
      </c>
      <c r="W559">
        <v>0</v>
      </c>
      <c r="X559" s="10">
        <v>0.17269290266045054</v>
      </c>
      <c r="Y559" s="9">
        <v>1850</v>
      </c>
      <c r="Z559" s="9">
        <v>1435</v>
      </c>
      <c r="AA559" s="9">
        <v>1770</v>
      </c>
      <c r="AB559">
        <v>0.80722891566265065</v>
      </c>
      <c r="AC559" s="11">
        <v>2.234787440955821</v>
      </c>
      <c r="AD559" s="9">
        <v>1613.3389830508474</v>
      </c>
      <c r="AE559" s="8">
        <v>0.20819112627986347</v>
      </c>
    </row>
    <row r="560" spans="1:31" x14ac:dyDescent="0.35">
      <c r="A560" s="6" t="s">
        <v>581</v>
      </c>
      <c r="B560" s="7">
        <v>5</v>
      </c>
      <c r="C560" s="7">
        <v>5</v>
      </c>
      <c r="D560" s="7">
        <v>3</v>
      </c>
      <c r="E560" s="7">
        <v>5</v>
      </c>
      <c r="F560">
        <v>378</v>
      </c>
      <c r="G560">
        <v>41</v>
      </c>
      <c r="H560">
        <v>10.85</v>
      </c>
      <c r="I560">
        <v>34</v>
      </c>
      <c r="J560">
        <v>9</v>
      </c>
      <c r="K560">
        <v>506</v>
      </c>
      <c r="L560">
        <v>190</v>
      </c>
      <c r="M560">
        <v>316</v>
      </c>
      <c r="N560">
        <v>1123.52</v>
      </c>
      <c r="O560">
        <v>11.35</v>
      </c>
      <c r="P560">
        <v>5.12</v>
      </c>
      <c r="Q560">
        <v>0.59</v>
      </c>
      <c r="R560">
        <v>0.46</v>
      </c>
      <c r="S560">
        <v>677</v>
      </c>
      <c r="T560">
        <v>5842</v>
      </c>
      <c r="U560">
        <v>7523</v>
      </c>
      <c r="V560">
        <v>57</v>
      </c>
      <c r="W560">
        <v>3.7</v>
      </c>
      <c r="X560" s="10">
        <v>0.65383711817110635</v>
      </c>
      <c r="Y560" s="9">
        <v>6870</v>
      </c>
      <c r="Z560" s="9">
        <v>3370</v>
      </c>
      <c r="AA560" s="9">
        <v>4985</v>
      </c>
      <c r="AB560">
        <v>0.46142857142857141</v>
      </c>
      <c r="AC560" s="11">
        <v>45.192970269519307</v>
      </c>
      <c r="AD560" s="9">
        <v>2992.6977401129943</v>
      </c>
      <c r="AE560" s="8">
        <v>0.42022792022792022</v>
      </c>
    </row>
    <row r="561" spans="1:31" x14ac:dyDescent="0.35">
      <c r="A561" s="6" t="s">
        <v>582</v>
      </c>
      <c r="B561" s="7">
        <v>2</v>
      </c>
      <c r="C561" s="7">
        <v>6</v>
      </c>
      <c r="D561" s="7">
        <v>1</v>
      </c>
      <c r="E561" s="7">
        <v>9</v>
      </c>
      <c r="F561">
        <v>310</v>
      </c>
      <c r="G561">
        <v>-21</v>
      </c>
      <c r="H561">
        <v>-6.89</v>
      </c>
      <c r="I561">
        <v>-237</v>
      </c>
      <c r="J561">
        <v>-76.25</v>
      </c>
      <c r="K561">
        <v>4349</v>
      </c>
      <c r="L561">
        <v>640</v>
      </c>
      <c r="M561">
        <v>3710</v>
      </c>
      <c r="N561">
        <v>4208.5200000000004</v>
      </c>
      <c r="O561">
        <v>-6.18</v>
      </c>
      <c r="P561">
        <v>0</v>
      </c>
      <c r="Q561">
        <v>0.16</v>
      </c>
      <c r="R561">
        <v>1.46</v>
      </c>
      <c r="S561">
        <v>-16958</v>
      </c>
      <c r="T561">
        <v>199945</v>
      </c>
      <c r="U561">
        <v>22239</v>
      </c>
      <c r="V561">
        <v>-18</v>
      </c>
      <c r="W561">
        <v>-32.49</v>
      </c>
      <c r="X561" s="10">
        <v>0.78963396712023459</v>
      </c>
      <c r="Y561" s="9">
        <v>60900</v>
      </c>
      <c r="Z561" s="9">
        <v>30650</v>
      </c>
      <c r="AA561" s="9">
        <v>50800</v>
      </c>
      <c r="AB561">
        <v>0.66611570247933882</v>
      </c>
      <c r="AC561" s="11">
        <v>544.12336760211167</v>
      </c>
      <c r="AD561" s="9">
        <v>26239.237288135595</v>
      </c>
      <c r="AE561" s="8">
        <v>0.53474320241691842</v>
      </c>
    </row>
    <row r="562" spans="1:31" x14ac:dyDescent="0.35">
      <c r="A562" s="6" t="s">
        <v>583</v>
      </c>
      <c r="B562" s="7">
        <v>2</v>
      </c>
      <c r="C562" s="7">
        <v>3</v>
      </c>
      <c r="D562" s="7">
        <v>13</v>
      </c>
      <c r="E562" s="7">
        <v>0</v>
      </c>
      <c r="F562">
        <v>332</v>
      </c>
      <c r="G562">
        <v>71</v>
      </c>
      <c r="H562">
        <v>21.54</v>
      </c>
      <c r="I562">
        <v>35</v>
      </c>
      <c r="J562">
        <v>10.66</v>
      </c>
      <c r="K562">
        <v>4122</v>
      </c>
      <c r="L562">
        <v>1717</v>
      </c>
      <c r="M562">
        <v>2405</v>
      </c>
      <c r="N562">
        <v>1394.96</v>
      </c>
      <c r="O562">
        <v>1.47</v>
      </c>
      <c r="P562">
        <v>48.64</v>
      </c>
      <c r="Q562">
        <v>0.72</v>
      </c>
      <c r="R562">
        <v>5.19</v>
      </c>
      <c r="S562">
        <v>220</v>
      </c>
      <c r="T562">
        <v>14876</v>
      </c>
      <c r="U562">
        <v>2061</v>
      </c>
      <c r="V562">
        <v>77</v>
      </c>
      <c r="W562">
        <v>30.79</v>
      </c>
      <c r="X562" s="10">
        <v>6.8718036162714047E-2</v>
      </c>
      <c r="Y562" s="9">
        <v>11350</v>
      </c>
      <c r="Z562" s="9">
        <v>9490</v>
      </c>
      <c r="AA562" s="9">
        <v>10550</v>
      </c>
      <c r="AB562">
        <v>0.56989247311827962</v>
      </c>
      <c r="AC562" s="11">
        <v>6.8952486801889412</v>
      </c>
      <c r="AD562" s="9">
        <v>10183.02824858757</v>
      </c>
      <c r="AE562" s="8">
        <v>-4.7169811320754715E-3</v>
      </c>
    </row>
    <row r="563" spans="1:31" x14ac:dyDescent="0.35">
      <c r="A563" s="6" t="s">
        <v>584</v>
      </c>
      <c r="B563" s="7">
        <v>3</v>
      </c>
      <c r="C563" s="7">
        <v>12</v>
      </c>
      <c r="D563" s="7">
        <v>1</v>
      </c>
      <c r="E563" s="7">
        <v>2</v>
      </c>
      <c r="F563">
        <v>1197</v>
      </c>
      <c r="G563">
        <v>33</v>
      </c>
      <c r="H563">
        <v>2.74</v>
      </c>
      <c r="I563">
        <v>26</v>
      </c>
      <c r="J563">
        <v>2.21</v>
      </c>
      <c r="K563">
        <v>660</v>
      </c>
      <c r="L563">
        <v>427</v>
      </c>
      <c r="M563">
        <v>233</v>
      </c>
      <c r="N563">
        <v>21.11</v>
      </c>
      <c r="O563">
        <v>16.07</v>
      </c>
      <c r="P563">
        <v>6.74</v>
      </c>
      <c r="Q563">
        <v>1.04</v>
      </c>
      <c r="R563">
        <v>0.15</v>
      </c>
      <c r="S563">
        <v>91</v>
      </c>
      <c r="T563">
        <v>592</v>
      </c>
      <c r="U563">
        <v>4153</v>
      </c>
      <c r="V563">
        <v>57</v>
      </c>
      <c r="W563">
        <v>4.1500000000000004</v>
      </c>
      <c r="X563" s="10">
        <v>0.80812611511513022</v>
      </c>
      <c r="Y563" s="9">
        <v>860</v>
      </c>
      <c r="Z563" s="9">
        <v>598</v>
      </c>
      <c r="AA563" s="9">
        <v>860</v>
      </c>
      <c r="AB563">
        <v>1</v>
      </c>
      <c r="AC563" s="11">
        <v>3.9318143928869129</v>
      </c>
      <c r="AD563" s="9">
        <v>597.0463276836158</v>
      </c>
      <c r="AE563" s="8">
        <v>0.43812709030100333</v>
      </c>
    </row>
    <row r="564" spans="1:31" x14ac:dyDescent="0.35">
      <c r="A564" s="6" t="s">
        <v>585</v>
      </c>
      <c r="B564" s="7">
        <v>2</v>
      </c>
      <c r="C564" s="7">
        <v>6</v>
      </c>
      <c r="D564" s="7">
        <v>5</v>
      </c>
      <c r="E564" s="7">
        <v>5</v>
      </c>
      <c r="F564">
        <v>20491</v>
      </c>
      <c r="G564">
        <v>47</v>
      </c>
      <c r="H564">
        <v>0.23</v>
      </c>
      <c r="I564">
        <v>45</v>
      </c>
      <c r="J564">
        <v>0.22</v>
      </c>
      <c r="K564">
        <v>158550</v>
      </c>
      <c r="L564">
        <v>142278</v>
      </c>
      <c r="M564">
        <v>16272</v>
      </c>
      <c r="N564">
        <v>311.92</v>
      </c>
      <c r="O564">
        <v>0.28000000000000003</v>
      </c>
      <c r="P564">
        <v>201.91</v>
      </c>
      <c r="Q564">
        <v>0.52</v>
      </c>
      <c r="R564">
        <v>0.36</v>
      </c>
      <c r="S564">
        <v>47</v>
      </c>
      <c r="T564">
        <v>18427</v>
      </c>
      <c r="U564">
        <v>26052</v>
      </c>
      <c r="V564">
        <v>0</v>
      </c>
      <c r="W564">
        <v>0</v>
      </c>
      <c r="X564" s="10">
        <v>0.72557884877457213</v>
      </c>
      <c r="Y564" s="9">
        <v>11750</v>
      </c>
      <c r="Z564" s="9">
        <v>8750</v>
      </c>
      <c r="AA564" s="9">
        <v>11500</v>
      </c>
      <c r="AB564">
        <v>0.91666666666666663</v>
      </c>
      <c r="AC564" s="11">
        <v>38.771603223117523</v>
      </c>
      <c r="AD564" s="9">
        <v>8966.2994350282497</v>
      </c>
      <c r="AE564" s="8">
        <v>0.19542619542619544</v>
      </c>
    </row>
    <row r="565" spans="1:31" x14ac:dyDescent="0.35">
      <c r="A565" s="6" t="s">
        <v>586</v>
      </c>
      <c r="B565" s="7">
        <v>0</v>
      </c>
      <c r="C565" s="7">
        <v>0</v>
      </c>
      <c r="D565" s="7">
        <v>0</v>
      </c>
      <c r="E565" s="7">
        <v>18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 s="10">
        <v>0.86376003692465764</v>
      </c>
      <c r="Y565" s="9">
        <v>6610</v>
      </c>
      <c r="Z565" s="9">
        <v>5470</v>
      </c>
      <c r="AA565" s="9">
        <v>6580</v>
      </c>
      <c r="AB565">
        <v>0.97368421052631582</v>
      </c>
      <c r="AC565" s="11">
        <v>19.43095304251181</v>
      </c>
      <c r="AD565" s="9">
        <v>5469.6892655367228</v>
      </c>
      <c r="AE565" s="8">
        <v>0.13840830449826991</v>
      </c>
    </row>
    <row r="566" spans="1:31" x14ac:dyDescent="0.35">
      <c r="A566" s="6" t="s">
        <v>587</v>
      </c>
      <c r="B566" s="7">
        <v>0</v>
      </c>
      <c r="C566" s="7">
        <v>0</v>
      </c>
      <c r="D566" s="7">
        <v>0</v>
      </c>
      <c r="E566" s="7">
        <v>18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 s="10">
        <v>0.89094338546303875</v>
      </c>
      <c r="Y566" s="9">
        <v>7070</v>
      </c>
      <c r="Z566" s="9">
        <v>6000</v>
      </c>
      <c r="AA566" s="9">
        <v>7060</v>
      </c>
      <c r="AB566">
        <v>0.99065420560747663</v>
      </c>
      <c r="AC566" s="11">
        <v>18.193109196999167</v>
      </c>
      <c r="AD566" s="9">
        <v>5928.9435028248581</v>
      </c>
      <c r="AE566" s="8">
        <v>0.12420382165605096</v>
      </c>
    </row>
    <row r="567" spans="1:31" x14ac:dyDescent="0.35">
      <c r="A567" s="6" t="s">
        <v>588</v>
      </c>
      <c r="B567" s="7">
        <v>9</v>
      </c>
      <c r="C567" s="7">
        <v>0</v>
      </c>
      <c r="D567" s="7">
        <v>4</v>
      </c>
      <c r="E567" s="7">
        <v>5</v>
      </c>
      <c r="F567">
        <v>648</v>
      </c>
      <c r="G567">
        <v>49</v>
      </c>
      <c r="H567">
        <v>7.55</v>
      </c>
      <c r="I567">
        <v>42</v>
      </c>
      <c r="J567">
        <v>6.54</v>
      </c>
      <c r="K567">
        <v>838</v>
      </c>
      <c r="L567">
        <v>186</v>
      </c>
      <c r="M567">
        <v>652</v>
      </c>
      <c r="N567">
        <v>821.18</v>
      </c>
      <c r="O567">
        <v>6.75</v>
      </c>
      <c r="P567">
        <v>22.83</v>
      </c>
      <c r="Q567">
        <v>1.71</v>
      </c>
      <c r="R567">
        <v>1.49</v>
      </c>
      <c r="S567">
        <v>60</v>
      </c>
      <c r="T567">
        <v>802</v>
      </c>
      <c r="U567">
        <v>917</v>
      </c>
      <c r="V567">
        <v>67</v>
      </c>
      <c r="W567">
        <v>14.42</v>
      </c>
      <c r="X567" s="10">
        <v>0.44585710619900815</v>
      </c>
      <c r="Y567" s="9">
        <v>1570</v>
      </c>
      <c r="Z567" s="9">
        <v>1370</v>
      </c>
      <c r="AA567" s="9">
        <v>1570</v>
      </c>
      <c r="AB567">
        <v>1</v>
      </c>
      <c r="AC567" s="11">
        <v>1.6378160600166716</v>
      </c>
      <c r="AD567" s="9">
        <v>1407.9632768361582</v>
      </c>
      <c r="AE567" s="8">
        <v>0.12949640287769784</v>
      </c>
    </row>
    <row r="568" spans="1:31" x14ac:dyDescent="0.35">
      <c r="A568" s="6" t="s">
        <v>589</v>
      </c>
      <c r="B568" s="7">
        <v>1</v>
      </c>
      <c r="C568" s="7">
        <v>1</v>
      </c>
      <c r="D568" s="7">
        <v>11</v>
      </c>
      <c r="E568" s="7">
        <v>5</v>
      </c>
      <c r="F568">
        <v>893</v>
      </c>
      <c r="G568">
        <v>-80</v>
      </c>
      <c r="H568">
        <v>-8.99</v>
      </c>
      <c r="I568">
        <v>-122</v>
      </c>
      <c r="J568">
        <v>-13.62</v>
      </c>
      <c r="K568">
        <v>1003</v>
      </c>
      <c r="L568">
        <v>927</v>
      </c>
      <c r="M568">
        <v>76</v>
      </c>
      <c r="N568">
        <v>-75.349999999999994</v>
      </c>
      <c r="O568">
        <v>-117.47</v>
      </c>
      <c r="P568">
        <v>0</v>
      </c>
      <c r="Q568">
        <v>5.22</v>
      </c>
      <c r="R568">
        <v>0.33</v>
      </c>
      <c r="S568">
        <v>-264</v>
      </c>
      <c r="T568">
        <v>123</v>
      </c>
      <c r="U568">
        <v>1933</v>
      </c>
      <c r="V568">
        <v>-62</v>
      </c>
      <c r="W568">
        <v>-17.420000000000002</v>
      </c>
      <c r="X568" s="10">
        <v>0.3723923654400173</v>
      </c>
      <c r="Y568" s="9">
        <v>606</v>
      </c>
      <c r="Z568" s="9">
        <v>373</v>
      </c>
      <c r="AA568" s="9">
        <v>516</v>
      </c>
      <c r="AB568">
        <v>0.61373390557939911</v>
      </c>
      <c r="AC568" s="11">
        <v>-2.6165879410947483</v>
      </c>
      <c r="AD568" s="9">
        <v>576.35593220338978</v>
      </c>
      <c r="AE568" s="8">
        <v>-3.5514018691588788E-2</v>
      </c>
    </row>
    <row r="569" spans="1:31" x14ac:dyDescent="0.35">
      <c r="A569" s="6" t="s">
        <v>590</v>
      </c>
      <c r="B569" s="7">
        <v>7</v>
      </c>
      <c r="C569" s="7">
        <v>1</v>
      </c>
      <c r="D569" s="7">
        <v>8</v>
      </c>
      <c r="E569" s="7">
        <v>2</v>
      </c>
      <c r="F569">
        <v>788</v>
      </c>
      <c r="G569">
        <v>72</v>
      </c>
      <c r="H569">
        <v>9.14</v>
      </c>
      <c r="I569">
        <v>73</v>
      </c>
      <c r="J569">
        <v>9.2799999999999994</v>
      </c>
      <c r="K569">
        <v>1586</v>
      </c>
      <c r="L569">
        <v>311</v>
      </c>
      <c r="M569">
        <v>1275</v>
      </c>
      <c r="N569">
        <v>2598.91</v>
      </c>
      <c r="O569">
        <v>7.87</v>
      </c>
      <c r="P569">
        <v>13.72</v>
      </c>
      <c r="Q569">
        <v>1.1000000000000001</v>
      </c>
      <c r="R569">
        <v>1.27</v>
      </c>
      <c r="S569">
        <v>1035</v>
      </c>
      <c r="T569">
        <v>12855</v>
      </c>
      <c r="U569">
        <v>11151</v>
      </c>
      <c r="V569">
        <v>113</v>
      </c>
      <c r="W569">
        <v>11.93</v>
      </c>
      <c r="X569" s="10">
        <v>9.1382758276628964E-2</v>
      </c>
      <c r="Y569" s="9">
        <v>13500</v>
      </c>
      <c r="Z569" s="9">
        <v>12400</v>
      </c>
      <c r="AA569" s="9">
        <v>12850</v>
      </c>
      <c r="AB569">
        <v>0.40909090909090912</v>
      </c>
      <c r="AC569" s="11">
        <v>3.9927757710475134</v>
      </c>
      <c r="AD569" s="9">
        <v>12814.887005649716</v>
      </c>
      <c r="AE569" s="8">
        <v>-1.1538461538461539E-2</v>
      </c>
    </row>
    <row r="570" spans="1:31" x14ac:dyDescent="0.35">
      <c r="A570" s="6" t="s">
        <v>591</v>
      </c>
      <c r="B570" s="7">
        <v>3</v>
      </c>
      <c r="C570" s="7">
        <v>9</v>
      </c>
      <c r="D570" s="7">
        <v>4</v>
      </c>
      <c r="E570" s="7">
        <v>2</v>
      </c>
      <c r="F570">
        <v>1104</v>
      </c>
      <c r="G570">
        <v>77</v>
      </c>
      <c r="H570">
        <v>7</v>
      </c>
      <c r="I570">
        <v>58</v>
      </c>
      <c r="J570">
        <v>5.27</v>
      </c>
      <c r="K570">
        <v>1424</v>
      </c>
      <c r="L570">
        <v>558</v>
      </c>
      <c r="M570">
        <v>866</v>
      </c>
      <c r="N570">
        <v>578.59</v>
      </c>
      <c r="O570">
        <v>6.91</v>
      </c>
      <c r="P570">
        <v>5.69</v>
      </c>
      <c r="Q570">
        <v>0.48</v>
      </c>
      <c r="R570">
        <v>0.3</v>
      </c>
      <c r="S570">
        <v>2655</v>
      </c>
      <c r="T570">
        <v>31592</v>
      </c>
      <c r="U570">
        <v>50426</v>
      </c>
      <c r="V570">
        <v>132</v>
      </c>
      <c r="W570">
        <v>5.83</v>
      </c>
      <c r="X570" s="10">
        <v>0.76734382192676276</v>
      </c>
      <c r="Y570" s="9">
        <v>18200</v>
      </c>
      <c r="Z570" s="9">
        <v>13600</v>
      </c>
      <c r="AA570" s="9">
        <v>18200</v>
      </c>
      <c r="AB570">
        <v>1</v>
      </c>
      <c r="AC570" s="11">
        <v>59.323423173103627</v>
      </c>
      <c r="AD570" s="9">
        <v>13459.802259887005</v>
      </c>
      <c r="AE570" s="8">
        <v>0.20930232558139536</v>
      </c>
    </row>
    <row r="571" spans="1:31" x14ac:dyDescent="0.35">
      <c r="A571" s="6" t="s">
        <v>592</v>
      </c>
      <c r="B571" s="7">
        <v>4</v>
      </c>
      <c r="C571" s="7">
        <v>7</v>
      </c>
      <c r="D571" s="7">
        <v>2</v>
      </c>
      <c r="E571" s="7">
        <v>5</v>
      </c>
      <c r="F571">
        <v>2466</v>
      </c>
      <c r="G571">
        <v>113</v>
      </c>
      <c r="H571">
        <v>4.5999999999999996</v>
      </c>
      <c r="I571">
        <v>60</v>
      </c>
      <c r="J571">
        <v>2.4500000000000002</v>
      </c>
      <c r="K571">
        <v>2011</v>
      </c>
      <c r="L571">
        <v>755</v>
      </c>
      <c r="M571">
        <v>1256</v>
      </c>
      <c r="N571">
        <v>164.51</v>
      </c>
      <c r="O571">
        <v>4.92</v>
      </c>
      <c r="P571">
        <v>14.25</v>
      </c>
      <c r="Q571">
        <v>0.69</v>
      </c>
      <c r="R571">
        <v>0.35</v>
      </c>
      <c r="S571">
        <v>64</v>
      </c>
      <c r="T571">
        <v>1317</v>
      </c>
      <c r="U571">
        <v>2596</v>
      </c>
      <c r="V571">
        <v>186</v>
      </c>
      <c r="W571">
        <v>7.02</v>
      </c>
      <c r="X571" s="10">
        <v>0.68691235521957628</v>
      </c>
      <c r="Y571" s="9">
        <v>1135</v>
      </c>
      <c r="Z571" s="9">
        <v>890</v>
      </c>
      <c r="AA571" s="9">
        <v>1015</v>
      </c>
      <c r="AB571">
        <v>0.51020408163265307</v>
      </c>
      <c r="AC571" s="11">
        <v>3.2463462072798004</v>
      </c>
      <c r="AD571" s="9">
        <v>889.3197740112995</v>
      </c>
      <c r="AE571" s="8">
        <v>0.11784140969162996</v>
      </c>
    </row>
    <row r="572" spans="1:31" x14ac:dyDescent="0.35">
      <c r="A572" s="6" t="s">
        <v>593</v>
      </c>
      <c r="B572" s="7">
        <v>0</v>
      </c>
      <c r="C572" s="7">
        <v>0</v>
      </c>
      <c r="D572" s="7">
        <v>0</v>
      </c>
      <c r="E572" s="7">
        <v>18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 s="10">
        <v>0.13057890747583087</v>
      </c>
      <c r="Y572" s="9">
        <v>10330</v>
      </c>
      <c r="Z572" s="9">
        <v>8740</v>
      </c>
      <c r="AA572" s="9">
        <v>10330</v>
      </c>
      <c r="AB572">
        <v>1</v>
      </c>
      <c r="AC572" s="11">
        <v>5.5225062517365933</v>
      </c>
      <c r="AD572" s="9">
        <v>9343.8135593220341</v>
      </c>
      <c r="AE572" s="8">
        <v>7.7163712200208553E-2</v>
      </c>
    </row>
    <row r="573" spans="1:31" x14ac:dyDescent="0.35">
      <c r="A573" s="6" t="s">
        <v>594</v>
      </c>
      <c r="B573" s="7">
        <v>4</v>
      </c>
      <c r="C573" s="7">
        <v>12</v>
      </c>
      <c r="D573" s="7">
        <v>0</v>
      </c>
      <c r="E573" s="7">
        <v>2</v>
      </c>
      <c r="F573">
        <v>98531</v>
      </c>
      <c r="G573">
        <v>4155</v>
      </c>
      <c r="H573">
        <v>4.22</v>
      </c>
      <c r="I573">
        <v>1073</v>
      </c>
      <c r="J573">
        <v>1.0900000000000001</v>
      </c>
      <c r="K573">
        <v>98898</v>
      </c>
      <c r="L573">
        <v>72406</v>
      </c>
      <c r="M573">
        <v>26492</v>
      </c>
      <c r="N573">
        <v>32.380000000000003</v>
      </c>
      <c r="O573">
        <v>4.07</v>
      </c>
      <c r="P573">
        <v>22.57</v>
      </c>
      <c r="Q573">
        <v>0.96</v>
      </c>
      <c r="R573">
        <v>0.25</v>
      </c>
      <c r="S573">
        <v>261</v>
      </c>
      <c r="T573">
        <v>6165</v>
      </c>
      <c r="U573">
        <v>23980</v>
      </c>
      <c r="V573">
        <v>4595</v>
      </c>
      <c r="W573">
        <v>9.77</v>
      </c>
      <c r="X573" s="10">
        <v>0.80848259614457663</v>
      </c>
      <c r="Y573" s="9">
        <v>8210</v>
      </c>
      <c r="Z573" s="9">
        <v>5150</v>
      </c>
      <c r="AA573" s="9">
        <v>7550</v>
      </c>
      <c r="AB573">
        <v>0.78431372549019607</v>
      </c>
      <c r="AC573" s="11">
        <v>54.358432898027232</v>
      </c>
      <c r="AD573" s="9">
        <v>5085.0677966101694</v>
      </c>
      <c r="AE573" s="8">
        <v>0.28401360544217685</v>
      </c>
    </row>
    <row r="574" spans="1:31" x14ac:dyDescent="0.35">
      <c r="A574" s="6" t="s">
        <v>595</v>
      </c>
      <c r="B574" s="7">
        <v>6</v>
      </c>
      <c r="C574" s="7">
        <v>4</v>
      </c>
      <c r="D574" s="7">
        <v>4</v>
      </c>
      <c r="E574" s="7">
        <v>4</v>
      </c>
      <c r="F574">
        <v>195</v>
      </c>
      <c r="G574">
        <v>5</v>
      </c>
      <c r="H574">
        <v>2.41</v>
      </c>
      <c r="I574">
        <v>-7</v>
      </c>
      <c r="J574">
        <v>-3.51</v>
      </c>
      <c r="K574">
        <v>450</v>
      </c>
      <c r="L574">
        <v>300</v>
      </c>
      <c r="M574">
        <v>149</v>
      </c>
      <c r="N574">
        <v>-21.13</v>
      </c>
      <c r="O574">
        <v>-6.04</v>
      </c>
      <c r="P574">
        <v>0</v>
      </c>
      <c r="Q574">
        <v>2.77</v>
      </c>
      <c r="R574">
        <v>1.38</v>
      </c>
      <c r="S574">
        <v>-24</v>
      </c>
      <c r="T574">
        <v>342</v>
      </c>
      <c r="U574">
        <v>687</v>
      </c>
      <c r="V574">
        <v>24</v>
      </c>
      <c r="W574">
        <v>24.07</v>
      </c>
      <c r="X574" s="10">
        <v>0.56806358049035244</v>
      </c>
      <c r="Y574" s="9">
        <v>1075</v>
      </c>
      <c r="Z574" s="9">
        <v>872</v>
      </c>
      <c r="AA574" s="9">
        <v>1015</v>
      </c>
      <c r="AB574">
        <v>0.70443349753694584</v>
      </c>
      <c r="AC574" s="11">
        <v>2.0913587107529867</v>
      </c>
      <c r="AD574" s="9">
        <v>886.1468926553672</v>
      </c>
      <c r="AE574" s="8">
        <v>0.158675799086758</v>
      </c>
    </row>
    <row r="575" spans="1:31" x14ac:dyDescent="0.35">
      <c r="A575" s="6" t="s">
        <v>596</v>
      </c>
      <c r="B575" s="7">
        <v>0</v>
      </c>
      <c r="C575" s="7">
        <v>6</v>
      </c>
      <c r="D575" s="7">
        <v>0</v>
      </c>
      <c r="E575" s="7">
        <v>12</v>
      </c>
      <c r="F575">
        <v>0</v>
      </c>
      <c r="G575">
        <v>-2</v>
      </c>
      <c r="H575">
        <v>0</v>
      </c>
      <c r="I575">
        <v>-1</v>
      </c>
      <c r="J575">
        <v>0</v>
      </c>
      <c r="K575">
        <v>118</v>
      </c>
      <c r="L575">
        <v>8</v>
      </c>
      <c r="M575">
        <v>110</v>
      </c>
      <c r="N575">
        <v>1805.95</v>
      </c>
      <c r="O575">
        <v>-1.3</v>
      </c>
      <c r="P575">
        <v>0</v>
      </c>
      <c r="Q575">
        <v>1.06</v>
      </c>
      <c r="R575">
        <v>0</v>
      </c>
      <c r="S575">
        <v>-53</v>
      </c>
      <c r="T575">
        <v>1906</v>
      </c>
      <c r="U575">
        <v>0</v>
      </c>
      <c r="V575">
        <v>-2</v>
      </c>
      <c r="W575">
        <v>-68.180000000000007</v>
      </c>
      <c r="X575" s="10">
        <v>0.9083441345372949</v>
      </c>
      <c r="Y575" s="9">
        <v>3660</v>
      </c>
      <c r="Z575" s="9">
        <v>2000</v>
      </c>
      <c r="AA575" s="9">
        <v>3660</v>
      </c>
      <c r="AB575">
        <v>1</v>
      </c>
      <c r="AC575" s="11">
        <v>24.045151430953041</v>
      </c>
      <c r="AD575" s="9">
        <v>1910.3728813559323</v>
      </c>
      <c r="AE575" s="8">
        <v>0.83</v>
      </c>
    </row>
    <row r="576" spans="1:31" x14ac:dyDescent="0.35">
      <c r="A576" s="6" t="s">
        <v>597</v>
      </c>
      <c r="B576" s="7">
        <v>7</v>
      </c>
      <c r="C576" s="7">
        <v>7</v>
      </c>
      <c r="D576" s="7">
        <v>4</v>
      </c>
      <c r="E576" s="7">
        <v>0</v>
      </c>
      <c r="F576">
        <v>199381</v>
      </c>
      <c r="G576">
        <v>3469</v>
      </c>
      <c r="H576">
        <v>1.74</v>
      </c>
      <c r="I576">
        <v>1734</v>
      </c>
      <c r="J576">
        <v>0.87</v>
      </c>
      <c r="K576">
        <v>86311</v>
      </c>
      <c r="L576">
        <v>62872</v>
      </c>
      <c r="M576">
        <v>23439</v>
      </c>
      <c r="N576">
        <v>311.66000000000003</v>
      </c>
      <c r="O576">
        <v>7.61</v>
      </c>
      <c r="P576">
        <v>20.65</v>
      </c>
      <c r="Q576">
        <v>4.8499999999999996</v>
      </c>
      <c r="R576">
        <v>0.18</v>
      </c>
      <c r="S576">
        <v>1523</v>
      </c>
      <c r="T576">
        <v>6486</v>
      </c>
      <c r="U576">
        <v>175086</v>
      </c>
      <c r="V576">
        <v>4472</v>
      </c>
      <c r="W576">
        <v>17.78</v>
      </c>
      <c r="X576" s="10">
        <v>0.26113857067709195</v>
      </c>
      <c r="Y576" s="9">
        <v>31700</v>
      </c>
      <c r="Z576" s="9">
        <v>27000</v>
      </c>
      <c r="AA576" s="9">
        <v>27250</v>
      </c>
      <c r="AB576">
        <v>5.3191489361702128E-2</v>
      </c>
      <c r="AC576" s="11">
        <v>-33.232842456237847</v>
      </c>
      <c r="AD576" s="9">
        <v>29852.768361581922</v>
      </c>
      <c r="AE576" s="8">
        <v>-0.14037854889589904</v>
      </c>
    </row>
    <row r="577" spans="1:31" x14ac:dyDescent="0.35">
      <c r="A577" s="6" t="s">
        <v>598</v>
      </c>
      <c r="B577" s="7">
        <v>7</v>
      </c>
      <c r="C577" s="7">
        <v>3</v>
      </c>
      <c r="D577" s="7">
        <v>7</v>
      </c>
      <c r="E577" s="7">
        <v>1</v>
      </c>
      <c r="F577">
        <v>151595</v>
      </c>
      <c r="G577">
        <v>4543</v>
      </c>
      <c r="H577">
        <v>3</v>
      </c>
      <c r="I577">
        <v>720</v>
      </c>
      <c r="J577">
        <v>0.47</v>
      </c>
      <c r="K577">
        <v>182152</v>
      </c>
      <c r="L577">
        <v>134161</v>
      </c>
      <c r="M577">
        <v>47991</v>
      </c>
      <c r="N577">
        <v>402.01</v>
      </c>
      <c r="O577">
        <v>1.51</v>
      </c>
      <c r="P577">
        <v>48.95</v>
      </c>
      <c r="Q577">
        <v>0.76</v>
      </c>
      <c r="R577">
        <v>0.23</v>
      </c>
      <c r="S577">
        <v>381</v>
      </c>
      <c r="T577">
        <v>24500</v>
      </c>
      <c r="U577">
        <v>80189</v>
      </c>
      <c r="V577">
        <v>6061</v>
      </c>
      <c r="W577">
        <v>16.13</v>
      </c>
      <c r="X577" s="10">
        <v>0.16543043156416318</v>
      </c>
      <c r="Y577" s="9">
        <v>21600</v>
      </c>
      <c r="Z577" s="9">
        <v>16500</v>
      </c>
      <c r="AA577" s="9">
        <v>18300</v>
      </c>
      <c r="AB577">
        <v>0.35294117647058826</v>
      </c>
      <c r="AC577" s="11">
        <v>26.465684912475695</v>
      </c>
      <c r="AD577" s="9">
        <v>18051.129943502823</v>
      </c>
      <c r="AE577" s="8">
        <v>-2.9177718832891247E-2</v>
      </c>
    </row>
    <row r="578" spans="1:31" x14ac:dyDescent="0.35">
      <c r="A578" s="6" t="s">
        <v>599</v>
      </c>
      <c r="B578" s="7">
        <v>2</v>
      </c>
      <c r="C578" s="7">
        <v>13</v>
      </c>
      <c r="D578" s="7">
        <v>1</v>
      </c>
      <c r="E578" s="7">
        <v>2</v>
      </c>
      <c r="F578">
        <v>38140</v>
      </c>
      <c r="G578">
        <v>2553</v>
      </c>
      <c r="H578">
        <v>6.69</v>
      </c>
      <c r="I578">
        <v>1928</v>
      </c>
      <c r="J578">
        <v>5.0599999999999996</v>
      </c>
      <c r="K578">
        <v>304371</v>
      </c>
      <c r="L578">
        <v>262982</v>
      </c>
      <c r="M578">
        <v>41389</v>
      </c>
      <c r="N578">
        <v>149.77000000000001</v>
      </c>
      <c r="O578">
        <v>4.79</v>
      </c>
      <c r="P578">
        <v>16.440000000000001</v>
      </c>
      <c r="Q578">
        <v>0.82</v>
      </c>
      <c r="R578">
        <v>0.87</v>
      </c>
      <c r="S578">
        <v>598</v>
      </c>
      <c r="T578">
        <v>11969</v>
      </c>
      <c r="U578">
        <v>11332</v>
      </c>
      <c r="V578">
        <v>0</v>
      </c>
      <c r="W578">
        <v>0</v>
      </c>
      <c r="X578" s="10">
        <v>0.74692116477691595</v>
      </c>
      <c r="Y578" s="9">
        <v>12450</v>
      </c>
      <c r="Z578" s="9">
        <v>9400</v>
      </c>
      <c r="AA578" s="9">
        <v>12300</v>
      </c>
      <c r="AB578">
        <v>0.95081967213114749</v>
      </c>
      <c r="AC578" s="11">
        <v>39.120866907474294</v>
      </c>
      <c r="AD578" s="9">
        <v>9296.146892655368</v>
      </c>
      <c r="AE578" s="8">
        <v>0.21782178217821782</v>
      </c>
    </row>
    <row r="579" spans="1:31" x14ac:dyDescent="0.35">
      <c r="A579" s="6" t="s">
        <v>600</v>
      </c>
      <c r="B579" s="7">
        <v>0</v>
      </c>
      <c r="C579" s="7">
        <v>0</v>
      </c>
      <c r="D579" s="7">
        <v>0</v>
      </c>
      <c r="E579" s="7">
        <v>18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 s="10">
        <v>0.78153706268917134</v>
      </c>
      <c r="Y579" s="9">
        <v>6750</v>
      </c>
      <c r="Z579" s="9">
        <v>5010</v>
      </c>
      <c r="AA579" s="9">
        <v>6650</v>
      </c>
      <c r="AB579">
        <v>0.94252873563218387</v>
      </c>
      <c r="AC579" s="11">
        <v>24.50263962211725</v>
      </c>
      <c r="AD579" s="9">
        <v>4796.5028248587569</v>
      </c>
      <c r="AE579" s="8">
        <v>0.24765478424015008</v>
      </c>
    </row>
    <row r="580" spans="1:31" x14ac:dyDescent="0.35">
      <c r="A580" s="6" t="s">
        <v>601</v>
      </c>
      <c r="B580" s="7">
        <v>7</v>
      </c>
      <c r="C580" s="7">
        <v>10</v>
      </c>
      <c r="D580" s="7">
        <v>1</v>
      </c>
      <c r="E580" s="7">
        <v>0</v>
      </c>
      <c r="F580">
        <v>461</v>
      </c>
      <c r="G580">
        <v>118</v>
      </c>
      <c r="H580">
        <v>25.7</v>
      </c>
      <c r="I580">
        <v>114</v>
      </c>
      <c r="J580">
        <v>24.67</v>
      </c>
      <c r="K580">
        <v>3160</v>
      </c>
      <c r="L580">
        <v>169</v>
      </c>
      <c r="M580">
        <v>2991</v>
      </c>
      <c r="N580">
        <v>1093.7</v>
      </c>
      <c r="O580">
        <v>3.84</v>
      </c>
      <c r="P580">
        <v>33.85</v>
      </c>
      <c r="Q580">
        <v>1.78</v>
      </c>
      <c r="R580">
        <v>8.35</v>
      </c>
      <c r="S580">
        <v>1334</v>
      </c>
      <c r="T580">
        <v>25366</v>
      </c>
      <c r="U580">
        <v>5409</v>
      </c>
      <c r="V580">
        <v>124</v>
      </c>
      <c r="W580">
        <v>42.41</v>
      </c>
      <c r="X580" s="10">
        <v>0.21587984062237181</v>
      </c>
      <c r="Y580" s="9">
        <v>48500</v>
      </c>
      <c r="Z580" s="9">
        <v>42050</v>
      </c>
      <c r="AA580" s="9">
        <v>47250</v>
      </c>
      <c r="AB580">
        <v>0.80620155038759689</v>
      </c>
      <c r="AC580" s="11">
        <v>42.042233953876078</v>
      </c>
      <c r="AD580" s="9">
        <v>43739.378531073446</v>
      </c>
      <c r="AE580" s="8">
        <v>4.6511627906976744E-2</v>
      </c>
    </row>
    <row r="581" spans="1:31" x14ac:dyDescent="0.35">
      <c r="A581" s="6" t="s">
        <v>602</v>
      </c>
      <c r="B581" s="7">
        <v>7</v>
      </c>
      <c r="C581" s="7">
        <v>2</v>
      </c>
      <c r="D581" s="7">
        <v>9</v>
      </c>
      <c r="E581" s="7">
        <v>0</v>
      </c>
      <c r="F581">
        <v>7272</v>
      </c>
      <c r="G581">
        <v>537</v>
      </c>
      <c r="H581">
        <v>7.38</v>
      </c>
      <c r="I581">
        <v>318</v>
      </c>
      <c r="J581">
        <v>4.37</v>
      </c>
      <c r="K581">
        <v>6782</v>
      </c>
      <c r="L581">
        <v>2292</v>
      </c>
      <c r="M581">
        <v>4489</v>
      </c>
      <c r="N581">
        <v>1604.95</v>
      </c>
      <c r="O581">
        <v>7.18</v>
      </c>
      <c r="P581">
        <v>21.82</v>
      </c>
      <c r="Q581">
        <v>1.86</v>
      </c>
      <c r="R581">
        <v>0.95</v>
      </c>
      <c r="S581">
        <v>3080</v>
      </c>
      <c r="T581">
        <v>36044</v>
      </c>
      <c r="U581">
        <v>70461</v>
      </c>
      <c r="V581">
        <v>704</v>
      </c>
      <c r="W581">
        <v>11.06</v>
      </c>
      <c r="X581" s="10">
        <v>0.52564332925530477</v>
      </c>
      <c r="Y581" s="9">
        <v>70400</v>
      </c>
      <c r="Z581" s="9">
        <v>56000</v>
      </c>
      <c r="AA581" s="9">
        <v>60200</v>
      </c>
      <c r="AB581">
        <v>0.29166666666666669</v>
      </c>
      <c r="AC581" s="11">
        <v>-170.77799388719083</v>
      </c>
      <c r="AD581" s="9">
        <v>67017.062146892655</v>
      </c>
      <c r="AE581" s="8">
        <v>-0.14488636363636365</v>
      </c>
    </row>
    <row r="582" spans="1:31" x14ac:dyDescent="0.35">
      <c r="A582" s="6" t="s">
        <v>603</v>
      </c>
      <c r="B582" s="7">
        <v>1</v>
      </c>
      <c r="C582" s="7">
        <v>1</v>
      </c>
      <c r="D582" s="7">
        <v>10</v>
      </c>
      <c r="E582" s="7">
        <v>6</v>
      </c>
      <c r="F582">
        <v>7769</v>
      </c>
      <c r="G582">
        <v>152</v>
      </c>
      <c r="H582">
        <v>1.95</v>
      </c>
      <c r="I582">
        <v>97</v>
      </c>
      <c r="J582">
        <v>1.25</v>
      </c>
      <c r="K582">
        <v>7693</v>
      </c>
      <c r="L582">
        <v>4107</v>
      </c>
      <c r="M582">
        <v>3586</v>
      </c>
      <c r="N582">
        <v>1056.6500000000001</v>
      </c>
      <c r="O582">
        <v>2.71</v>
      </c>
      <c r="P582">
        <v>38.22</v>
      </c>
      <c r="Q582">
        <v>1.07</v>
      </c>
      <c r="R582">
        <v>0.48</v>
      </c>
      <c r="S582">
        <v>157</v>
      </c>
      <c r="T582">
        <v>5609</v>
      </c>
      <c r="U582">
        <v>12530</v>
      </c>
      <c r="V582">
        <v>309</v>
      </c>
      <c r="W582">
        <v>18.25</v>
      </c>
      <c r="X582" s="10">
        <v>0.29753567038345202</v>
      </c>
      <c r="Y582" s="9">
        <v>6430</v>
      </c>
      <c r="Z582" s="9">
        <v>5510</v>
      </c>
      <c r="AA582" s="9">
        <v>6430</v>
      </c>
      <c r="AB582">
        <v>1</v>
      </c>
      <c r="AC582" s="11">
        <v>5.7402056126701853</v>
      </c>
      <c r="AD582" s="9">
        <v>5842.0903954802261</v>
      </c>
      <c r="AE582" s="8">
        <v>4.0453074433656956E-2</v>
      </c>
    </row>
    <row r="583" spans="1:31" x14ac:dyDescent="0.35">
      <c r="A583" s="6" t="s">
        <v>604</v>
      </c>
      <c r="B583" s="7">
        <v>0</v>
      </c>
      <c r="C583" s="7">
        <v>10</v>
      </c>
      <c r="D583" s="7">
        <v>1</v>
      </c>
      <c r="E583" s="7">
        <v>7</v>
      </c>
      <c r="F583">
        <v>220</v>
      </c>
      <c r="G583">
        <v>-37</v>
      </c>
      <c r="H583">
        <v>-16.86</v>
      </c>
      <c r="I583">
        <v>-40</v>
      </c>
      <c r="J583">
        <v>-18.41</v>
      </c>
      <c r="K583">
        <v>634</v>
      </c>
      <c r="L583">
        <v>211</v>
      </c>
      <c r="M583">
        <v>422</v>
      </c>
      <c r="N583">
        <v>805.79</v>
      </c>
      <c r="O583">
        <v>-9.5299999999999994</v>
      </c>
      <c r="P583">
        <v>0</v>
      </c>
      <c r="Q583">
        <v>1.58</v>
      </c>
      <c r="R583">
        <v>2.57</v>
      </c>
      <c r="S583">
        <v>-459</v>
      </c>
      <c r="T583">
        <v>4048</v>
      </c>
      <c r="U583">
        <v>2494</v>
      </c>
      <c r="V583">
        <v>6</v>
      </c>
      <c r="W583">
        <v>103.79</v>
      </c>
      <c r="X583" s="10">
        <v>0.13843844942614561</v>
      </c>
      <c r="Y583" s="9">
        <v>8420</v>
      </c>
      <c r="Z583" s="9">
        <v>6280</v>
      </c>
      <c r="AA583" s="9">
        <v>8270</v>
      </c>
      <c r="AB583">
        <v>0.92990654205607481</v>
      </c>
      <c r="AC583" s="11">
        <v>10.719088635732145</v>
      </c>
      <c r="AD583" s="9">
        <v>6792.7344632768363</v>
      </c>
      <c r="AE583" s="8">
        <v>0.31687898089171973</v>
      </c>
    </row>
    <row r="584" spans="1:31" x14ac:dyDescent="0.35">
      <c r="A584" s="6" t="s">
        <v>605</v>
      </c>
      <c r="B584" s="7">
        <v>8</v>
      </c>
      <c r="C584" s="7">
        <v>2</v>
      </c>
      <c r="D584" s="7">
        <v>0</v>
      </c>
      <c r="E584" s="7">
        <v>8</v>
      </c>
      <c r="F584">
        <v>5268</v>
      </c>
      <c r="G584">
        <v>52</v>
      </c>
      <c r="H584">
        <v>0.98</v>
      </c>
      <c r="I584">
        <v>226</v>
      </c>
      <c r="J584">
        <v>4.3</v>
      </c>
      <c r="K584">
        <v>2972</v>
      </c>
      <c r="L584">
        <v>1224</v>
      </c>
      <c r="M584">
        <v>1749</v>
      </c>
      <c r="N584">
        <v>1819.97</v>
      </c>
      <c r="O584">
        <v>13.67</v>
      </c>
      <c r="P584">
        <v>7.13</v>
      </c>
      <c r="Q584">
        <v>0.92</v>
      </c>
      <c r="R584">
        <v>0.31</v>
      </c>
      <c r="S584">
        <v>1243</v>
      </c>
      <c r="T584">
        <v>9598</v>
      </c>
      <c r="U584">
        <v>28919</v>
      </c>
      <c r="V584">
        <v>248</v>
      </c>
      <c r="W584">
        <v>6.52</v>
      </c>
      <c r="X584" s="10">
        <v>0.65437056527273174</v>
      </c>
      <c r="Y584" s="9">
        <v>9550</v>
      </c>
      <c r="Z584" s="9">
        <v>7860</v>
      </c>
      <c r="AA584" s="9">
        <v>7860</v>
      </c>
      <c r="AB584">
        <v>0</v>
      </c>
      <c r="AC584" s="11">
        <v>-26.974159488746878</v>
      </c>
      <c r="AD584" s="9">
        <v>9556.0451977401135</v>
      </c>
      <c r="AE584" s="8">
        <v>-0.11685393258426967</v>
      </c>
    </row>
    <row r="585" spans="1:31" x14ac:dyDescent="0.35">
      <c r="A585" s="6" t="s">
        <v>606</v>
      </c>
      <c r="B585" s="7">
        <v>5</v>
      </c>
      <c r="C585" s="7">
        <v>2</v>
      </c>
      <c r="D585" s="7">
        <v>2</v>
      </c>
      <c r="E585" s="7">
        <v>9</v>
      </c>
      <c r="F585">
        <v>4048</v>
      </c>
      <c r="G585">
        <v>20</v>
      </c>
      <c r="H585">
        <v>0.49</v>
      </c>
      <c r="I585">
        <v>3</v>
      </c>
      <c r="J585">
        <v>0.08</v>
      </c>
      <c r="K585">
        <v>1905</v>
      </c>
      <c r="L585">
        <v>1178</v>
      </c>
      <c r="M585">
        <v>727</v>
      </c>
      <c r="N585">
        <v>105.54</v>
      </c>
      <c r="O585">
        <v>0.42</v>
      </c>
      <c r="P585">
        <v>147.80000000000001</v>
      </c>
      <c r="Q585">
        <v>0.73</v>
      </c>
      <c r="R585">
        <v>0.13</v>
      </c>
      <c r="S585">
        <v>5</v>
      </c>
      <c r="T585">
        <v>1012</v>
      </c>
      <c r="U585">
        <v>5723</v>
      </c>
      <c r="V585">
        <v>38</v>
      </c>
      <c r="W585">
        <v>25.57</v>
      </c>
      <c r="X585" s="10">
        <v>0.67338656344926173</v>
      </c>
      <c r="Y585" s="9">
        <v>934</v>
      </c>
      <c r="Z585" s="9">
        <v>723</v>
      </c>
      <c r="AA585" s="9">
        <v>882</v>
      </c>
      <c r="AB585">
        <v>0.75355450236966826</v>
      </c>
      <c r="AC585" s="11">
        <v>2.4996387885523759</v>
      </c>
      <c r="AD585" s="9">
        <v>770.09435028248595</v>
      </c>
      <c r="AE585" s="8">
        <v>0.21991701244813278</v>
      </c>
    </row>
    <row r="586" spans="1:31" x14ac:dyDescent="0.35">
      <c r="A586" s="6" t="s">
        <v>607</v>
      </c>
      <c r="B586" s="7">
        <v>0</v>
      </c>
      <c r="C586" s="7">
        <v>0</v>
      </c>
      <c r="D586" s="7">
        <v>0</v>
      </c>
      <c r="E586" s="7">
        <v>18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 s="10">
        <v>0.4706587293767332</v>
      </c>
      <c r="Y586" s="9">
        <v>1235</v>
      </c>
      <c r="Z586" s="9">
        <v>752</v>
      </c>
      <c r="AA586" s="9">
        <v>904</v>
      </c>
      <c r="AB586">
        <v>0.31469979296066253</v>
      </c>
      <c r="AC586" s="11">
        <v>4.2291747707696574</v>
      </c>
      <c r="AD586" s="9">
        <v>754.04350282485871</v>
      </c>
      <c r="AE586" s="8">
        <v>0.17098445595854922</v>
      </c>
    </row>
    <row r="587" spans="1:31" x14ac:dyDescent="0.35">
      <c r="A587" s="6" t="s">
        <v>608</v>
      </c>
      <c r="B587" s="7">
        <v>15</v>
      </c>
      <c r="C587" s="7">
        <v>2</v>
      </c>
      <c r="D587" s="7">
        <v>1</v>
      </c>
      <c r="E587" s="7">
        <v>0</v>
      </c>
      <c r="F587">
        <v>1783</v>
      </c>
      <c r="G587">
        <v>183</v>
      </c>
      <c r="H587">
        <v>10.28</v>
      </c>
      <c r="I587">
        <v>159</v>
      </c>
      <c r="J587">
        <v>8.92</v>
      </c>
      <c r="K587">
        <v>1797</v>
      </c>
      <c r="L587">
        <v>453</v>
      </c>
      <c r="M587">
        <v>1344</v>
      </c>
      <c r="N587">
        <v>1550.21</v>
      </c>
      <c r="O587">
        <v>12.36</v>
      </c>
      <c r="P587">
        <v>14.9</v>
      </c>
      <c r="Q587">
        <v>1.84</v>
      </c>
      <c r="R587">
        <v>1.33</v>
      </c>
      <c r="S587">
        <v>980</v>
      </c>
      <c r="T587">
        <v>7923</v>
      </c>
      <c r="U587">
        <v>10999</v>
      </c>
      <c r="V587">
        <v>225</v>
      </c>
      <c r="W587">
        <v>10.64</v>
      </c>
      <c r="X587" s="10">
        <v>0.64838068351265177</v>
      </c>
      <c r="Y587" s="9">
        <v>18650</v>
      </c>
      <c r="Z587" s="9">
        <v>13850</v>
      </c>
      <c r="AA587" s="9">
        <v>18400</v>
      </c>
      <c r="AB587">
        <v>0.94791666666666663</v>
      </c>
      <c r="AC587" s="11">
        <v>53.475965545985005</v>
      </c>
      <c r="AD587" s="9">
        <v>15480.649717514125</v>
      </c>
      <c r="AE587" s="8">
        <v>0.32851985559566788</v>
      </c>
    </row>
    <row r="588" spans="1:31" x14ac:dyDescent="0.35">
      <c r="A588" s="6" t="s">
        <v>609</v>
      </c>
      <c r="B588" s="7">
        <v>5</v>
      </c>
      <c r="C588" s="7">
        <v>11</v>
      </c>
      <c r="D588" s="7">
        <v>0</v>
      </c>
      <c r="E588" s="7">
        <v>2</v>
      </c>
      <c r="F588">
        <v>1294</v>
      </c>
      <c r="G588">
        <v>132</v>
      </c>
      <c r="H588">
        <v>10.17</v>
      </c>
      <c r="I588">
        <v>59</v>
      </c>
      <c r="J588">
        <v>4.5599999999999996</v>
      </c>
      <c r="K588">
        <v>1098</v>
      </c>
      <c r="L588">
        <v>646</v>
      </c>
      <c r="M588">
        <v>452</v>
      </c>
      <c r="N588">
        <v>169.85</v>
      </c>
      <c r="O588">
        <v>14.59</v>
      </c>
      <c r="P588">
        <v>11.93</v>
      </c>
      <c r="Q588">
        <v>1.6</v>
      </c>
      <c r="R588">
        <v>0.54</v>
      </c>
      <c r="S588">
        <v>184</v>
      </c>
      <c r="T588">
        <v>1373</v>
      </c>
      <c r="U588">
        <v>4041</v>
      </c>
      <c r="V588">
        <v>154</v>
      </c>
      <c r="W588">
        <v>7.61</v>
      </c>
      <c r="X588" s="10">
        <v>0.24370192872101537</v>
      </c>
      <c r="Y588" s="9">
        <v>2495</v>
      </c>
      <c r="Z588" s="9">
        <v>2035</v>
      </c>
      <c r="AA588" s="9">
        <v>2350</v>
      </c>
      <c r="AB588">
        <v>0.68478260869565222</v>
      </c>
      <c r="AC588" s="11">
        <v>3.700333425951654</v>
      </c>
      <c r="AD588" s="9">
        <v>2169.056497175141</v>
      </c>
      <c r="AE588" s="8">
        <v>5.3811659192825115E-2</v>
      </c>
    </row>
    <row r="589" spans="1:31" x14ac:dyDescent="0.35">
      <c r="A589" s="6" t="s">
        <v>610</v>
      </c>
      <c r="B589" s="7">
        <v>2</v>
      </c>
      <c r="C589" s="7">
        <v>4</v>
      </c>
      <c r="D589" s="7">
        <v>8</v>
      </c>
      <c r="E589" s="7">
        <v>4</v>
      </c>
      <c r="F589">
        <v>3366</v>
      </c>
      <c r="G589">
        <v>-7</v>
      </c>
      <c r="H589">
        <v>-0.2</v>
      </c>
      <c r="I589">
        <v>-15</v>
      </c>
      <c r="J589">
        <v>-0.46</v>
      </c>
      <c r="K589">
        <v>1622</v>
      </c>
      <c r="L589">
        <v>606</v>
      </c>
      <c r="M589">
        <v>1016</v>
      </c>
      <c r="N589">
        <v>130.68</v>
      </c>
      <c r="O589">
        <v>-1.54</v>
      </c>
      <c r="P589">
        <v>0</v>
      </c>
      <c r="Q589">
        <v>1.2</v>
      </c>
      <c r="R589">
        <v>0.32</v>
      </c>
      <c r="S589">
        <v>-17</v>
      </c>
      <c r="T589">
        <v>1026</v>
      </c>
      <c r="U589">
        <v>3820</v>
      </c>
      <c r="V589">
        <v>90</v>
      </c>
      <c r="W589">
        <v>14.11</v>
      </c>
      <c r="X589" s="10">
        <v>0.71008805186208579</v>
      </c>
      <c r="Y589" s="9">
        <v>1415</v>
      </c>
      <c r="Z589" s="9">
        <v>1205</v>
      </c>
      <c r="AA589" s="9">
        <v>1330</v>
      </c>
      <c r="AB589">
        <v>0.59523809523809523</v>
      </c>
      <c r="AC589" s="11">
        <v>2.7297860516810224</v>
      </c>
      <c r="AD589" s="9">
        <v>1218.4915254237287</v>
      </c>
      <c r="AE589" s="8">
        <v>8.1300813008130079E-2</v>
      </c>
    </row>
    <row r="590" spans="1:31" x14ac:dyDescent="0.35">
      <c r="A590" s="6" t="s">
        <v>611</v>
      </c>
      <c r="B590" s="7">
        <v>7</v>
      </c>
      <c r="C590" s="7">
        <v>4</v>
      </c>
      <c r="D590" s="7">
        <v>4</v>
      </c>
      <c r="E590" s="7">
        <v>3</v>
      </c>
      <c r="F590">
        <v>5637</v>
      </c>
      <c r="G590">
        <v>63</v>
      </c>
      <c r="H590">
        <v>1.1299999999999999</v>
      </c>
      <c r="I590">
        <v>14</v>
      </c>
      <c r="J590">
        <v>0.26</v>
      </c>
      <c r="K590">
        <v>3775</v>
      </c>
      <c r="L590">
        <v>2825</v>
      </c>
      <c r="M590">
        <v>950</v>
      </c>
      <c r="N590">
        <v>119.43</v>
      </c>
      <c r="O590">
        <v>1.56</v>
      </c>
      <c r="P590">
        <v>95</v>
      </c>
      <c r="Q590">
        <v>1.76</v>
      </c>
      <c r="R590">
        <v>0.24</v>
      </c>
      <c r="S590">
        <v>17</v>
      </c>
      <c r="T590">
        <v>918</v>
      </c>
      <c r="U590">
        <v>6610</v>
      </c>
      <c r="V590">
        <v>127</v>
      </c>
      <c r="W590">
        <v>21.74</v>
      </c>
      <c r="X590" s="10">
        <v>0.1856280729678326</v>
      </c>
      <c r="Y590" s="9">
        <v>2050</v>
      </c>
      <c r="Z590" s="9">
        <v>1465</v>
      </c>
      <c r="AA590" s="9">
        <v>2050</v>
      </c>
      <c r="AB590">
        <v>1</v>
      </c>
      <c r="AC590" s="11">
        <v>3.3227285357043623</v>
      </c>
      <c r="AD590" s="9">
        <v>1544.906779661017</v>
      </c>
      <c r="AE590" s="8">
        <v>0.28125</v>
      </c>
    </row>
    <row r="591" spans="1:31" x14ac:dyDescent="0.35">
      <c r="A591" s="6" t="s">
        <v>612</v>
      </c>
      <c r="B591" s="7">
        <v>8</v>
      </c>
      <c r="C591" s="7">
        <v>1</v>
      </c>
      <c r="D591" s="7">
        <v>7</v>
      </c>
      <c r="E591" s="7">
        <v>2</v>
      </c>
      <c r="F591">
        <v>441</v>
      </c>
      <c r="G591">
        <v>50</v>
      </c>
      <c r="H591">
        <v>11.27</v>
      </c>
      <c r="I591">
        <v>46</v>
      </c>
      <c r="J591">
        <v>10.44</v>
      </c>
      <c r="K591">
        <v>933</v>
      </c>
      <c r="L591">
        <v>241</v>
      </c>
      <c r="M591">
        <v>691</v>
      </c>
      <c r="N591">
        <v>2286.1999999999998</v>
      </c>
      <c r="O591">
        <v>9.1</v>
      </c>
      <c r="P591">
        <v>9.11</v>
      </c>
      <c r="Q591">
        <v>0.82</v>
      </c>
      <c r="R591">
        <v>0.95</v>
      </c>
      <c r="S591">
        <v>1060</v>
      </c>
      <c r="T591">
        <v>11769</v>
      </c>
      <c r="U591">
        <v>10155</v>
      </c>
      <c r="V591">
        <v>77</v>
      </c>
      <c r="W591">
        <v>7.29</v>
      </c>
      <c r="X591" s="10">
        <v>0.89174968794763509</v>
      </c>
      <c r="Y591" s="9">
        <v>14800</v>
      </c>
      <c r="Z591" s="9">
        <v>9280</v>
      </c>
      <c r="AA591" s="9">
        <v>13800</v>
      </c>
      <c r="AB591">
        <v>0.8188405797101449</v>
      </c>
      <c r="AC591" s="11">
        <v>97.236176715754382</v>
      </c>
      <c r="AD591" s="9">
        <v>8152.796610169491</v>
      </c>
      <c r="AE591" s="8">
        <v>0.4375</v>
      </c>
    </row>
    <row r="592" spans="1:31" x14ac:dyDescent="0.35">
      <c r="A592" s="6" t="s">
        <v>613</v>
      </c>
      <c r="B592" s="7">
        <v>10</v>
      </c>
      <c r="C592" s="7">
        <v>2</v>
      </c>
      <c r="D592" s="7">
        <v>1</v>
      </c>
      <c r="E592" s="7">
        <v>5</v>
      </c>
      <c r="F592">
        <v>776</v>
      </c>
      <c r="G592">
        <v>26</v>
      </c>
      <c r="H592">
        <v>3.38</v>
      </c>
      <c r="I592">
        <v>15</v>
      </c>
      <c r="J592">
        <v>1.96</v>
      </c>
      <c r="K592">
        <v>799</v>
      </c>
      <c r="L592">
        <v>329</v>
      </c>
      <c r="M592">
        <v>470</v>
      </c>
      <c r="N592">
        <v>151.46</v>
      </c>
      <c r="O592">
        <v>3.28</v>
      </c>
      <c r="P592">
        <v>15.7</v>
      </c>
      <c r="Q592">
        <v>0.52</v>
      </c>
      <c r="R592">
        <v>0.31</v>
      </c>
      <c r="S592">
        <v>43</v>
      </c>
      <c r="T592">
        <v>1300</v>
      </c>
      <c r="U592">
        <v>2193</v>
      </c>
      <c r="V592">
        <v>35</v>
      </c>
      <c r="W592">
        <v>2.76</v>
      </c>
      <c r="X592" s="10">
        <v>0.78958221953111341</v>
      </c>
      <c r="Y592" s="9">
        <v>1375</v>
      </c>
      <c r="Z592" s="9">
        <v>664</v>
      </c>
      <c r="AA592" s="9">
        <v>1225</v>
      </c>
      <c r="AB592">
        <v>0.78902953586497893</v>
      </c>
      <c r="AC592" s="11">
        <v>10.615865518199501</v>
      </c>
      <c r="AD592" s="9">
        <v>621.06610169491523</v>
      </c>
      <c r="AE592" s="8">
        <v>0.80945347119645494</v>
      </c>
    </row>
    <row r="593" spans="1:31" x14ac:dyDescent="0.35">
      <c r="A593" s="6" t="s">
        <v>614</v>
      </c>
      <c r="B593" s="7">
        <v>1</v>
      </c>
      <c r="C593" s="7">
        <v>0</v>
      </c>
      <c r="D593" s="7">
        <v>6</v>
      </c>
      <c r="E593" s="7">
        <v>11</v>
      </c>
      <c r="F593">
        <v>496</v>
      </c>
      <c r="G593">
        <v>0</v>
      </c>
      <c r="H593">
        <v>-0.04</v>
      </c>
      <c r="I593">
        <v>-67</v>
      </c>
      <c r="J593">
        <v>-13.54</v>
      </c>
      <c r="K593">
        <v>1095</v>
      </c>
      <c r="L593">
        <v>690</v>
      </c>
      <c r="M593">
        <v>405</v>
      </c>
      <c r="N593">
        <v>893.18</v>
      </c>
      <c r="O593">
        <v>-15.35</v>
      </c>
      <c r="P593">
        <v>0</v>
      </c>
      <c r="Q593">
        <v>1.38</v>
      </c>
      <c r="R593">
        <v>0.86</v>
      </c>
      <c r="S593">
        <v>-803</v>
      </c>
      <c r="T593">
        <v>3682</v>
      </c>
      <c r="U593">
        <v>5928</v>
      </c>
      <c r="V593">
        <v>44</v>
      </c>
      <c r="W593">
        <v>22.43</v>
      </c>
      <c r="X593" s="10">
        <v>0.32922880444734853</v>
      </c>
      <c r="Y593" s="9">
        <v>6900</v>
      </c>
      <c r="Z593" s="9">
        <v>4950</v>
      </c>
      <c r="AA593" s="9">
        <v>6900</v>
      </c>
      <c r="AB593">
        <v>1</v>
      </c>
      <c r="AC593" s="11">
        <v>13.259794387329814</v>
      </c>
      <c r="AD593" s="9">
        <v>5050.2429378531078</v>
      </c>
      <c r="AE593" s="8">
        <v>0.36633663366336633</v>
      </c>
    </row>
    <row r="594" spans="1:31" x14ac:dyDescent="0.35">
      <c r="A594" s="6" t="s">
        <v>615</v>
      </c>
      <c r="B594" s="7">
        <v>6</v>
      </c>
      <c r="C594" s="7">
        <v>0</v>
      </c>
      <c r="D594" s="7">
        <v>1</v>
      </c>
      <c r="E594" s="7">
        <v>11</v>
      </c>
      <c r="F594">
        <v>540</v>
      </c>
      <c r="G594">
        <v>16</v>
      </c>
      <c r="H594">
        <v>2.92</v>
      </c>
      <c r="I594">
        <v>19</v>
      </c>
      <c r="J594">
        <v>3.59</v>
      </c>
      <c r="K594">
        <v>959</v>
      </c>
      <c r="L594">
        <v>142</v>
      </c>
      <c r="M594">
        <v>817</v>
      </c>
      <c r="N594">
        <v>1374.54</v>
      </c>
      <c r="O594">
        <v>2.4</v>
      </c>
      <c r="P594">
        <v>16.16</v>
      </c>
      <c r="Q594">
        <v>0.42</v>
      </c>
      <c r="R594">
        <v>0.57999999999999996</v>
      </c>
      <c r="S594">
        <v>177</v>
      </c>
      <c r="T594">
        <v>6849</v>
      </c>
      <c r="U594">
        <v>4918</v>
      </c>
      <c r="V594">
        <v>45</v>
      </c>
      <c r="W594">
        <v>7.42</v>
      </c>
      <c r="X594" s="10">
        <v>0.7572923732964687</v>
      </c>
      <c r="Y594" s="9">
        <v>3335</v>
      </c>
      <c r="Z594" s="9">
        <v>2780</v>
      </c>
      <c r="AA594" s="9">
        <v>3160</v>
      </c>
      <c r="AB594">
        <v>0.68468468468468469</v>
      </c>
      <c r="AC594" s="11">
        <v>9.020144484579049</v>
      </c>
      <c r="AD594" s="9">
        <v>2740.1355932203392</v>
      </c>
      <c r="AE594" s="8">
        <v>8.2191780821917804E-2</v>
      </c>
    </row>
    <row r="595" spans="1:31" x14ac:dyDescent="0.35">
      <c r="A595" s="6" t="s">
        <v>616</v>
      </c>
      <c r="B595" s="7">
        <v>2</v>
      </c>
      <c r="C595" s="7">
        <v>9</v>
      </c>
      <c r="D595" s="7">
        <v>1</v>
      </c>
      <c r="E595" s="7">
        <v>6</v>
      </c>
      <c r="F595">
        <v>7593</v>
      </c>
      <c r="G595">
        <v>145</v>
      </c>
      <c r="H595">
        <v>1.9</v>
      </c>
      <c r="I595">
        <v>-1</v>
      </c>
      <c r="J595">
        <v>-0.02</v>
      </c>
      <c r="K595">
        <v>5027</v>
      </c>
      <c r="L595">
        <v>3329</v>
      </c>
      <c r="M595">
        <v>1698</v>
      </c>
      <c r="N595">
        <v>293.55</v>
      </c>
      <c r="O595">
        <v>-7.0000000000000007E-2</v>
      </c>
      <c r="P595">
        <v>0</v>
      </c>
      <c r="Q595">
        <v>0.48</v>
      </c>
      <c r="R595">
        <v>0.09</v>
      </c>
      <c r="S595">
        <v>-2</v>
      </c>
      <c r="T595">
        <v>1833</v>
      </c>
      <c r="U595">
        <v>9612</v>
      </c>
      <c r="V595">
        <v>229</v>
      </c>
      <c r="W595">
        <v>14.97</v>
      </c>
      <c r="X595" s="10">
        <v>0.64813969997619203</v>
      </c>
      <c r="Y595" s="9">
        <v>1135</v>
      </c>
      <c r="Z595" s="9">
        <v>846</v>
      </c>
      <c r="AA595" s="9">
        <v>1080</v>
      </c>
      <c r="AB595">
        <v>0.80968858131487886</v>
      </c>
      <c r="AC595" s="11">
        <v>4.1769380383439847</v>
      </c>
      <c r="AD595" s="9">
        <v>821.90338983050844</v>
      </c>
      <c r="AE595" s="8">
        <v>0.22448979591836735</v>
      </c>
    </row>
    <row r="596" spans="1:31" x14ac:dyDescent="0.35">
      <c r="A596" s="6" t="s">
        <v>617</v>
      </c>
      <c r="B596" s="7">
        <v>6</v>
      </c>
      <c r="C596" s="7">
        <v>1</v>
      </c>
      <c r="D596" s="7">
        <v>3</v>
      </c>
      <c r="E596" s="7">
        <v>8</v>
      </c>
      <c r="F596">
        <v>1988</v>
      </c>
      <c r="G596">
        <v>181</v>
      </c>
      <c r="H596">
        <v>9.1199999999999992</v>
      </c>
      <c r="I596">
        <v>149</v>
      </c>
      <c r="J596">
        <v>7.51</v>
      </c>
      <c r="K596">
        <v>1413</v>
      </c>
      <c r="L596">
        <v>246</v>
      </c>
      <c r="M596">
        <v>1167</v>
      </c>
      <c r="N596">
        <v>1066.58</v>
      </c>
      <c r="O596">
        <v>13.52</v>
      </c>
      <c r="P596">
        <v>5.81</v>
      </c>
      <c r="Q596">
        <v>0.75</v>
      </c>
      <c r="R596">
        <v>0.44</v>
      </c>
      <c r="S596">
        <v>7461</v>
      </c>
      <c r="T596">
        <v>57896</v>
      </c>
      <c r="U596">
        <v>99403</v>
      </c>
      <c r="V596">
        <v>205</v>
      </c>
      <c r="W596">
        <v>4.24</v>
      </c>
      <c r="X596" s="10">
        <v>0.74686710089436537</v>
      </c>
      <c r="Y596" s="9">
        <v>53000</v>
      </c>
      <c r="Z596" s="9">
        <v>41000</v>
      </c>
      <c r="AA596" s="9">
        <v>51900</v>
      </c>
      <c r="AB596">
        <v>0.90833333333333333</v>
      </c>
      <c r="AC596" s="11">
        <v>206.55459849958319</v>
      </c>
      <c r="AD596" s="9">
        <v>39081.751412429374</v>
      </c>
      <c r="AE596" s="8">
        <v>0.16891891891891891</v>
      </c>
    </row>
    <row r="597" spans="1:31" x14ac:dyDescent="0.35">
      <c r="A597" s="6" t="s">
        <v>618</v>
      </c>
      <c r="B597" s="7">
        <v>1</v>
      </c>
      <c r="C597" s="7">
        <v>7</v>
      </c>
      <c r="D597" s="7">
        <v>10</v>
      </c>
      <c r="E597" s="7">
        <v>0</v>
      </c>
      <c r="F597">
        <v>628</v>
      </c>
      <c r="G597">
        <v>-18</v>
      </c>
      <c r="H597">
        <v>-2.92</v>
      </c>
      <c r="I597">
        <v>-142</v>
      </c>
      <c r="J597">
        <v>-22.6</v>
      </c>
      <c r="K597">
        <v>1258</v>
      </c>
      <c r="L597">
        <v>612</v>
      </c>
      <c r="M597">
        <v>646</v>
      </c>
      <c r="N597">
        <v>1105.96</v>
      </c>
      <c r="O597">
        <v>-19.48</v>
      </c>
      <c r="P597">
        <v>0</v>
      </c>
      <c r="Q597">
        <v>0.51</v>
      </c>
      <c r="R597">
        <v>0.45</v>
      </c>
      <c r="S597">
        <v>-1332</v>
      </c>
      <c r="T597">
        <v>5260</v>
      </c>
      <c r="U597">
        <v>5896</v>
      </c>
      <c r="V597">
        <v>9</v>
      </c>
      <c r="W597">
        <v>69.02</v>
      </c>
      <c r="X597" s="10">
        <v>2.6803963416961608E-2</v>
      </c>
      <c r="Y597" s="9">
        <v>2815</v>
      </c>
      <c r="Z597" s="9">
        <v>2420</v>
      </c>
      <c r="AA597" s="9">
        <v>2510</v>
      </c>
      <c r="AB597">
        <v>0.22784810126582278</v>
      </c>
      <c r="AC597" s="11">
        <v>0.88524590163934425</v>
      </c>
      <c r="AD597" s="9">
        <v>2554.5</v>
      </c>
      <c r="AE597" s="8">
        <v>-3.8314176245210725E-2</v>
      </c>
    </row>
    <row r="598" spans="1:31" x14ac:dyDescent="0.35">
      <c r="A598" s="6" t="s">
        <v>619</v>
      </c>
      <c r="B598" s="7">
        <v>4</v>
      </c>
      <c r="C598" s="7">
        <v>3</v>
      </c>
      <c r="D598" s="7">
        <v>3</v>
      </c>
      <c r="E598" s="7">
        <v>8</v>
      </c>
      <c r="F598">
        <v>1419</v>
      </c>
      <c r="G598">
        <v>44</v>
      </c>
      <c r="H598">
        <v>3.12</v>
      </c>
      <c r="I598">
        <v>21</v>
      </c>
      <c r="J598">
        <v>1.47</v>
      </c>
      <c r="K598">
        <v>2182</v>
      </c>
      <c r="L598">
        <v>1339</v>
      </c>
      <c r="M598">
        <v>843</v>
      </c>
      <c r="N598">
        <v>1304.18</v>
      </c>
      <c r="O598">
        <v>4.99</v>
      </c>
      <c r="P598">
        <v>0</v>
      </c>
      <c r="Q598">
        <v>0</v>
      </c>
      <c r="R598">
        <v>0</v>
      </c>
      <c r="S598">
        <v>348</v>
      </c>
      <c r="T598">
        <v>6981</v>
      </c>
      <c r="U598">
        <v>23648</v>
      </c>
      <c r="V598">
        <v>0</v>
      </c>
      <c r="W598">
        <v>0</v>
      </c>
      <c r="X598" s="10">
        <v>0.39123126629326149</v>
      </c>
      <c r="Y598" s="9">
        <v>3960</v>
      </c>
      <c r="Z598" s="9">
        <v>2770</v>
      </c>
      <c r="AA598" s="9">
        <v>3425</v>
      </c>
      <c r="AB598">
        <v>0.55042016806722693</v>
      </c>
      <c r="AC598" s="11">
        <v>11.312725757154766</v>
      </c>
      <c r="AD598" s="9">
        <v>3013.2118644067796</v>
      </c>
      <c r="AE598" s="8">
        <v>8.2148499210110582E-2</v>
      </c>
    </row>
    <row r="599" spans="1:31" x14ac:dyDescent="0.35">
      <c r="A599" s="6" t="s">
        <v>620</v>
      </c>
      <c r="B599" s="7">
        <v>2</v>
      </c>
      <c r="C599" s="7">
        <v>9</v>
      </c>
      <c r="D599" s="7">
        <v>1</v>
      </c>
      <c r="E599" s="7">
        <v>6</v>
      </c>
      <c r="F599">
        <v>366</v>
      </c>
      <c r="G599">
        <v>10</v>
      </c>
      <c r="H599">
        <v>2.66</v>
      </c>
      <c r="I599">
        <v>8</v>
      </c>
      <c r="J599">
        <v>2.2999999999999998</v>
      </c>
      <c r="K599">
        <v>397</v>
      </c>
      <c r="L599">
        <v>180</v>
      </c>
      <c r="M599">
        <v>216</v>
      </c>
      <c r="N599">
        <v>584.26</v>
      </c>
      <c r="O599">
        <v>4.18</v>
      </c>
      <c r="P599">
        <v>41.94</v>
      </c>
      <c r="Q599">
        <v>1.82</v>
      </c>
      <c r="R599">
        <v>0.97</v>
      </c>
      <c r="S599">
        <v>139</v>
      </c>
      <c r="T599">
        <v>3200</v>
      </c>
      <c r="U599">
        <v>6025</v>
      </c>
      <c r="V599">
        <v>23</v>
      </c>
      <c r="W599">
        <v>19.809999999999999</v>
      </c>
      <c r="X599" s="10">
        <v>0.62061882272877134</v>
      </c>
      <c r="Y599" s="9">
        <v>9050</v>
      </c>
      <c r="Z599" s="9">
        <v>5830</v>
      </c>
      <c r="AA599" s="9">
        <v>8390</v>
      </c>
      <c r="AB599">
        <v>0.79503105590062106</v>
      </c>
      <c r="AC599" s="11">
        <v>47.20755765490415</v>
      </c>
      <c r="AD599" s="9">
        <v>6005.8361581920908</v>
      </c>
      <c r="AE599" s="8">
        <v>0.43664383561643838</v>
      </c>
    </row>
    <row r="600" spans="1:31" x14ac:dyDescent="0.35">
      <c r="A600" s="6" t="s">
        <v>621</v>
      </c>
      <c r="B600" s="7">
        <v>0</v>
      </c>
      <c r="C600" s="7">
        <v>8</v>
      </c>
      <c r="D600" s="7">
        <v>4</v>
      </c>
      <c r="E600" s="7">
        <v>6</v>
      </c>
      <c r="F600">
        <v>1061</v>
      </c>
      <c r="G600">
        <v>10</v>
      </c>
      <c r="H600">
        <v>0.94</v>
      </c>
      <c r="I600">
        <v>-271</v>
      </c>
      <c r="J600">
        <v>-25.56</v>
      </c>
      <c r="K600">
        <v>1582</v>
      </c>
      <c r="L600">
        <v>836</v>
      </c>
      <c r="M600">
        <v>745</v>
      </c>
      <c r="N600">
        <v>217.44</v>
      </c>
      <c r="O600">
        <v>-30.77</v>
      </c>
      <c r="P600">
        <v>0</v>
      </c>
      <c r="Q600">
        <v>0.56000000000000005</v>
      </c>
      <c r="R600">
        <v>0.39</v>
      </c>
      <c r="S600">
        <v>-577</v>
      </c>
      <c r="T600">
        <v>1567</v>
      </c>
      <c r="U600">
        <v>2259</v>
      </c>
      <c r="V600">
        <v>81</v>
      </c>
      <c r="W600">
        <v>11.54</v>
      </c>
      <c r="X600" s="10">
        <v>0.77506869577471604</v>
      </c>
      <c r="Y600" s="9">
        <v>1025</v>
      </c>
      <c r="Z600" s="9">
        <v>872</v>
      </c>
      <c r="AA600" s="9">
        <v>993</v>
      </c>
      <c r="AB600">
        <v>0.79084967320261434</v>
      </c>
      <c r="AC600" s="11">
        <v>2.4633231453181441</v>
      </c>
      <c r="AD600" s="9">
        <v>884.21864406779662</v>
      </c>
      <c r="AE600" s="8">
        <v>0.13226909920182439</v>
      </c>
    </row>
    <row r="601" spans="1:31" x14ac:dyDescent="0.35">
      <c r="A601" s="6" t="s">
        <v>622</v>
      </c>
      <c r="B601" s="7">
        <v>13</v>
      </c>
      <c r="C601" s="7">
        <v>3</v>
      </c>
      <c r="D601" s="7">
        <v>2</v>
      </c>
      <c r="E601" s="7">
        <v>0</v>
      </c>
      <c r="F601">
        <v>719</v>
      </c>
      <c r="G601">
        <v>79</v>
      </c>
      <c r="H601">
        <v>10.99</v>
      </c>
      <c r="I601">
        <v>27</v>
      </c>
      <c r="J601">
        <v>3.7</v>
      </c>
      <c r="K601">
        <v>1305</v>
      </c>
      <c r="L601">
        <v>566</v>
      </c>
      <c r="M601">
        <v>739</v>
      </c>
      <c r="N601">
        <v>972.28</v>
      </c>
      <c r="O601">
        <v>3.66</v>
      </c>
      <c r="P601">
        <v>71.430000000000007</v>
      </c>
      <c r="Q601">
        <v>2.7</v>
      </c>
      <c r="R601">
        <v>2.63</v>
      </c>
      <c r="S601">
        <v>189</v>
      </c>
      <c r="T601">
        <v>4997</v>
      </c>
      <c r="U601">
        <v>5126</v>
      </c>
      <c r="V601">
        <v>101</v>
      </c>
      <c r="W601">
        <v>23.01</v>
      </c>
      <c r="X601" s="10">
        <v>0.78361844856882124</v>
      </c>
      <c r="Y601" s="9">
        <v>22350</v>
      </c>
      <c r="Z601" s="9">
        <v>13450</v>
      </c>
      <c r="AA601" s="9">
        <v>22050</v>
      </c>
      <c r="AB601">
        <v>0.9662921348314607</v>
      </c>
      <c r="AC601" s="11">
        <v>130.75854404001112</v>
      </c>
      <c r="AD601" s="9">
        <v>13066.864406779661</v>
      </c>
      <c r="AE601" s="8">
        <v>0.63940520446096649</v>
      </c>
    </row>
    <row r="602" spans="1:31" x14ac:dyDescent="0.35">
      <c r="A602" s="6" t="s">
        <v>623</v>
      </c>
      <c r="B602" s="7">
        <v>5</v>
      </c>
      <c r="C602" s="7">
        <v>1</v>
      </c>
      <c r="D602" s="7">
        <v>11</v>
      </c>
      <c r="E602" s="7">
        <v>1</v>
      </c>
      <c r="F602">
        <v>2347</v>
      </c>
      <c r="G602">
        <v>-49</v>
      </c>
      <c r="H602">
        <v>-2.0699999999999998</v>
      </c>
      <c r="I602">
        <v>-223</v>
      </c>
      <c r="J602">
        <v>-9.5</v>
      </c>
      <c r="K602">
        <v>3740</v>
      </c>
      <c r="L602">
        <v>1957</v>
      </c>
      <c r="M602">
        <v>1783</v>
      </c>
      <c r="N602">
        <v>3263.93</v>
      </c>
      <c r="O602">
        <v>-16.670000000000002</v>
      </c>
      <c r="P602">
        <v>0</v>
      </c>
      <c r="Q602">
        <v>0.19</v>
      </c>
      <c r="R602">
        <v>0.14000000000000001</v>
      </c>
      <c r="S602">
        <v>-21035</v>
      </c>
      <c r="T602">
        <v>167728</v>
      </c>
      <c r="U602">
        <v>221418</v>
      </c>
      <c r="V602">
        <v>-18</v>
      </c>
      <c r="W602">
        <v>-94.94</v>
      </c>
      <c r="X602" s="10">
        <v>0.95135489484663471</v>
      </c>
      <c r="Y602" s="9">
        <v>77200</v>
      </c>
      <c r="Z602" s="9">
        <v>30500</v>
      </c>
      <c r="AA602" s="9">
        <v>77200</v>
      </c>
      <c r="AB602">
        <v>1</v>
      </c>
      <c r="AC602" s="11">
        <v>768.73020283412075</v>
      </c>
      <c r="AD602" s="9">
        <v>27615.395480225983</v>
      </c>
      <c r="AE602" s="8">
        <v>1.478330658105939</v>
      </c>
    </row>
    <row r="603" spans="1:31" x14ac:dyDescent="0.35">
      <c r="A603" s="6" t="s">
        <v>624</v>
      </c>
      <c r="B603" s="7">
        <v>12</v>
      </c>
      <c r="C603" s="7">
        <v>2</v>
      </c>
      <c r="D603" s="7">
        <v>4</v>
      </c>
      <c r="E603" s="7">
        <v>0</v>
      </c>
      <c r="F603">
        <v>1117</v>
      </c>
      <c r="G603">
        <v>139</v>
      </c>
      <c r="H603">
        <v>12.48</v>
      </c>
      <c r="I603">
        <v>104</v>
      </c>
      <c r="J603">
        <v>9.33</v>
      </c>
      <c r="K603">
        <v>1316</v>
      </c>
      <c r="L603">
        <v>675</v>
      </c>
      <c r="M603">
        <v>641</v>
      </c>
      <c r="N603">
        <v>2036.57</v>
      </c>
      <c r="O603">
        <v>17.399999999999999</v>
      </c>
      <c r="P603">
        <v>11.46</v>
      </c>
      <c r="Q603">
        <v>1.88</v>
      </c>
      <c r="R603">
        <v>1.07</v>
      </c>
      <c r="S603">
        <v>1737</v>
      </c>
      <c r="T603">
        <v>10612</v>
      </c>
      <c r="U603">
        <v>18618</v>
      </c>
      <c r="V603">
        <v>179</v>
      </c>
      <c r="W603">
        <v>7.74</v>
      </c>
      <c r="X603" s="10">
        <v>5.4761512292703922E-2</v>
      </c>
      <c r="Y603" s="9">
        <v>22500</v>
      </c>
      <c r="Z603" s="9">
        <v>19800</v>
      </c>
      <c r="AA603" s="9">
        <v>19850</v>
      </c>
      <c r="AB603">
        <v>1.8518518518518517E-2</v>
      </c>
      <c r="AC603" s="11">
        <v>-9.6012781328146701</v>
      </c>
      <c r="AD603" s="9">
        <v>21292.005649717514</v>
      </c>
      <c r="AE603" s="8">
        <v>-1.488833746898263E-2</v>
      </c>
    </row>
    <row r="604" spans="1:31" x14ac:dyDescent="0.35">
      <c r="A604" s="6" t="s">
        <v>625</v>
      </c>
      <c r="B604" s="7">
        <v>12</v>
      </c>
      <c r="C604" s="7">
        <v>2</v>
      </c>
      <c r="D604" s="7">
        <v>3</v>
      </c>
      <c r="E604" s="7">
        <v>1</v>
      </c>
      <c r="F604">
        <v>20461</v>
      </c>
      <c r="G604">
        <v>707</v>
      </c>
      <c r="H604">
        <v>3.45</v>
      </c>
      <c r="I604">
        <v>606</v>
      </c>
      <c r="J604">
        <v>2.96</v>
      </c>
      <c r="K604">
        <v>13818</v>
      </c>
      <c r="L604">
        <v>5816</v>
      </c>
      <c r="M604">
        <v>8003</v>
      </c>
      <c r="N604">
        <v>1860.78</v>
      </c>
      <c r="O604">
        <v>7.81</v>
      </c>
      <c r="P604">
        <v>7.23</v>
      </c>
      <c r="Q604">
        <v>0.57999999999999996</v>
      </c>
      <c r="R604">
        <v>0.21</v>
      </c>
      <c r="S604">
        <v>9809</v>
      </c>
      <c r="T604">
        <v>122213</v>
      </c>
      <c r="U604">
        <v>331301</v>
      </c>
      <c r="V604">
        <v>1037</v>
      </c>
      <c r="W604">
        <v>7.39</v>
      </c>
      <c r="X604" s="10">
        <v>0.90011702144169581</v>
      </c>
      <c r="Y604" s="9">
        <v>112000</v>
      </c>
      <c r="Z604" s="9">
        <v>66500</v>
      </c>
      <c r="AA604" s="9">
        <v>110500</v>
      </c>
      <c r="AB604">
        <v>0.96703296703296704</v>
      </c>
      <c r="AC604" s="11">
        <v>719.40261183662119</v>
      </c>
      <c r="AD604" s="9">
        <v>64186.553672316382</v>
      </c>
      <c r="AE604" s="8">
        <v>0.56073446327683618</v>
      </c>
    </row>
    <row r="605" spans="1:31" x14ac:dyDescent="0.35">
      <c r="A605" s="6" t="s">
        <v>626</v>
      </c>
      <c r="B605" s="7">
        <v>1</v>
      </c>
      <c r="C605" s="7">
        <v>9</v>
      </c>
      <c r="D605" s="7">
        <v>2</v>
      </c>
      <c r="E605" s="7">
        <v>6</v>
      </c>
      <c r="F605">
        <v>16175</v>
      </c>
      <c r="G605">
        <v>266</v>
      </c>
      <c r="H605">
        <v>1.65</v>
      </c>
      <c r="I605">
        <v>-2578</v>
      </c>
      <c r="J605">
        <v>-15.94</v>
      </c>
      <c r="K605">
        <v>12850</v>
      </c>
      <c r="L605">
        <v>12492</v>
      </c>
      <c r="M605">
        <v>358</v>
      </c>
      <c r="N605">
        <v>-82.73</v>
      </c>
      <c r="O605">
        <v>-167.22</v>
      </c>
      <c r="P605">
        <v>0</v>
      </c>
      <c r="Q605">
        <v>15.19</v>
      </c>
      <c r="R605">
        <v>0.06</v>
      </c>
      <c r="S605">
        <v>-8022</v>
      </c>
      <c r="T605">
        <v>79</v>
      </c>
      <c r="U605">
        <v>21156</v>
      </c>
      <c r="V605">
        <v>504</v>
      </c>
      <c r="W605">
        <v>18.25</v>
      </c>
      <c r="X605" s="10">
        <v>0.72936926924145629</v>
      </c>
      <c r="Y605" s="9">
        <v>6000</v>
      </c>
      <c r="Z605" s="9">
        <v>1200</v>
      </c>
      <c r="AA605" s="9">
        <v>6000</v>
      </c>
      <c r="AB605">
        <v>1</v>
      </c>
      <c r="AC605" s="11">
        <v>116.69908307863295</v>
      </c>
      <c r="AD605" s="9">
        <v>-359.32203389830511</v>
      </c>
      <c r="AE605" s="8">
        <v>4</v>
      </c>
    </row>
    <row r="606" spans="1:31" x14ac:dyDescent="0.35">
      <c r="A606" s="6" t="s">
        <v>627</v>
      </c>
      <c r="B606" s="7">
        <v>0</v>
      </c>
      <c r="C606" s="7">
        <v>0</v>
      </c>
      <c r="D606" s="7">
        <v>6</v>
      </c>
      <c r="E606" s="7">
        <v>12</v>
      </c>
      <c r="F606">
        <v>10260</v>
      </c>
      <c r="G606">
        <v>69</v>
      </c>
      <c r="H606">
        <v>0.68</v>
      </c>
      <c r="I606">
        <v>-26</v>
      </c>
      <c r="J606">
        <v>-0.25</v>
      </c>
      <c r="K606">
        <v>7081</v>
      </c>
      <c r="L606">
        <v>3338</v>
      </c>
      <c r="M606">
        <v>3743</v>
      </c>
      <c r="N606">
        <v>1502.11</v>
      </c>
      <c r="O606">
        <v>-0.69</v>
      </c>
      <c r="P606">
        <v>0</v>
      </c>
      <c r="Q606">
        <v>0.38</v>
      </c>
      <c r="R606">
        <v>0.13</v>
      </c>
      <c r="S606">
        <v>-115</v>
      </c>
      <c r="T606">
        <v>15005</v>
      </c>
      <c r="U606">
        <v>45330</v>
      </c>
      <c r="V606">
        <v>317</v>
      </c>
      <c r="W606">
        <v>5.69</v>
      </c>
      <c r="X606" s="10">
        <v>0.66195031264728887</v>
      </c>
      <c r="Y606" s="9">
        <v>6570</v>
      </c>
      <c r="Z606" s="9">
        <v>5380</v>
      </c>
      <c r="AA606" s="9">
        <v>6250</v>
      </c>
      <c r="AB606">
        <v>0.73109243697478987</v>
      </c>
      <c r="AC606" s="11">
        <v>18.37399277577104</v>
      </c>
      <c r="AD606" s="9">
        <v>5410.926553672316</v>
      </c>
      <c r="AE606" s="8">
        <v>8.6956521739130432E-2</v>
      </c>
    </row>
    <row r="607" spans="1:31" x14ac:dyDescent="0.35">
      <c r="A607" s="6" t="s">
        <v>628</v>
      </c>
      <c r="B607" s="7">
        <v>4</v>
      </c>
      <c r="C607" s="7">
        <v>2</v>
      </c>
      <c r="D607" s="7">
        <v>3</v>
      </c>
      <c r="E607" s="7">
        <v>9</v>
      </c>
      <c r="F607">
        <v>11586</v>
      </c>
      <c r="G607">
        <v>233</v>
      </c>
      <c r="H607">
        <v>2.0099999999999998</v>
      </c>
      <c r="I607">
        <v>14</v>
      </c>
      <c r="J607">
        <v>0.12</v>
      </c>
      <c r="K607">
        <v>10130</v>
      </c>
      <c r="L607">
        <v>5770</v>
      </c>
      <c r="M607">
        <v>4360</v>
      </c>
      <c r="N607">
        <v>1771.32</v>
      </c>
      <c r="O607">
        <v>0.31</v>
      </c>
      <c r="P607">
        <v>216.96</v>
      </c>
      <c r="Q607">
        <v>0.56000000000000005</v>
      </c>
      <c r="R607">
        <v>0.19</v>
      </c>
      <c r="S607">
        <v>115</v>
      </c>
      <c r="T607">
        <v>44644</v>
      </c>
      <c r="U607">
        <v>133158</v>
      </c>
      <c r="V607">
        <v>325</v>
      </c>
      <c r="W607">
        <v>17.579999999999998</v>
      </c>
      <c r="X607" s="10">
        <v>0.10214794688188188</v>
      </c>
      <c r="Y607" s="9">
        <v>26300</v>
      </c>
      <c r="Z607" s="9">
        <v>24150</v>
      </c>
      <c r="AA607" s="9">
        <v>24300</v>
      </c>
      <c r="AB607">
        <v>6.9767441860465115E-2</v>
      </c>
      <c r="AC607" s="11">
        <v>10.439010836343428</v>
      </c>
      <c r="AD607" s="9">
        <v>24604.943502824859</v>
      </c>
      <c r="AE607" s="8">
        <v>-1.2195121951219513E-2</v>
      </c>
    </row>
    <row r="608" spans="1:31" x14ac:dyDescent="0.35">
      <c r="A608" s="6" t="s">
        <v>629</v>
      </c>
      <c r="B608" s="7">
        <v>0</v>
      </c>
      <c r="C608" s="7">
        <v>0</v>
      </c>
      <c r="D608" s="7">
        <v>0</v>
      </c>
      <c r="E608" s="7">
        <v>18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 s="10">
        <v>0.17984722266098899</v>
      </c>
      <c r="Y608" s="9">
        <v>25000</v>
      </c>
      <c r="Z608" s="9">
        <v>22350</v>
      </c>
      <c r="AA608" s="9">
        <v>23150</v>
      </c>
      <c r="AB608">
        <v>0.30188679245283018</v>
      </c>
      <c r="AC608" s="11">
        <v>10.240344540150042</v>
      </c>
      <c r="AD608" s="9">
        <v>22928.502824858755</v>
      </c>
      <c r="AE608" s="8">
        <v>-1.4893617021276596E-2</v>
      </c>
    </row>
    <row r="609" spans="1:31" x14ac:dyDescent="0.35">
      <c r="A609" s="6" t="s">
        <v>630</v>
      </c>
      <c r="B609" s="7">
        <v>0</v>
      </c>
      <c r="C609" s="7">
        <v>0</v>
      </c>
      <c r="D609" s="7">
        <v>0</v>
      </c>
      <c r="E609" s="7">
        <v>18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 s="10">
        <v>0.30935587466441994</v>
      </c>
      <c r="Y609" s="9">
        <v>12850</v>
      </c>
      <c r="Z609" s="9">
        <v>11550</v>
      </c>
      <c r="AA609" s="9">
        <v>12600</v>
      </c>
      <c r="AB609">
        <v>0.80769230769230771</v>
      </c>
      <c r="AC609" s="11">
        <v>12.068630175048627</v>
      </c>
      <c r="AD609" s="9">
        <v>11831.073446327682</v>
      </c>
      <c r="AE609" s="8">
        <v>-1.9455252918287938E-2</v>
      </c>
    </row>
    <row r="610" spans="1:31" x14ac:dyDescent="0.35">
      <c r="A610" s="6" t="s">
        <v>631</v>
      </c>
      <c r="B610" s="7">
        <v>3</v>
      </c>
      <c r="C610" s="7">
        <v>10</v>
      </c>
      <c r="D610" s="7">
        <v>3</v>
      </c>
      <c r="E610" s="7">
        <v>2</v>
      </c>
      <c r="F610">
        <v>3642</v>
      </c>
      <c r="G610">
        <v>419</v>
      </c>
      <c r="H610">
        <v>11.5</v>
      </c>
      <c r="I610">
        <v>242</v>
      </c>
      <c r="J610">
        <v>6.65</v>
      </c>
      <c r="K610">
        <v>7352</v>
      </c>
      <c r="L610">
        <v>1453</v>
      </c>
      <c r="M610">
        <v>5900</v>
      </c>
      <c r="N610">
        <v>6894.99</v>
      </c>
      <c r="O610">
        <v>4.12</v>
      </c>
      <c r="P610">
        <v>10.81</v>
      </c>
      <c r="Q610">
        <v>0.45</v>
      </c>
      <c r="R610">
        <v>0.72</v>
      </c>
      <c r="S610">
        <v>14387</v>
      </c>
      <c r="T610">
        <v>347598</v>
      </c>
      <c r="U610">
        <v>216430</v>
      </c>
      <c r="V610">
        <v>531</v>
      </c>
      <c r="W610">
        <v>4.95</v>
      </c>
      <c r="X610" s="10">
        <v>0.93617706108604837</v>
      </c>
      <c r="Y610" s="9">
        <v>192000</v>
      </c>
      <c r="Z610" s="9">
        <v>149000</v>
      </c>
      <c r="AA610" s="9">
        <v>192000</v>
      </c>
      <c r="AB610">
        <v>1</v>
      </c>
      <c r="AC610" s="11">
        <v>729.25812725757135</v>
      </c>
      <c r="AD610" s="9">
        <v>149274.29378531073</v>
      </c>
      <c r="AE610" s="8">
        <v>0.21904761904761905</v>
      </c>
    </row>
    <row r="611" spans="1:31" x14ac:dyDescent="0.35">
      <c r="A611" s="6" t="s">
        <v>632</v>
      </c>
      <c r="B611" s="7">
        <v>3</v>
      </c>
      <c r="C611" s="7">
        <v>9</v>
      </c>
      <c r="D611" s="7">
        <v>3</v>
      </c>
      <c r="E611" s="7">
        <v>3</v>
      </c>
      <c r="F611">
        <v>116804</v>
      </c>
      <c r="G611">
        <v>3725</v>
      </c>
      <c r="H611">
        <v>3.19</v>
      </c>
      <c r="I611">
        <v>-2055</v>
      </c>
      <c r="J611">
        <v>-1.76</v>
      </c>
      <c r="K611">
        <v>214204</v>
      </c>
      <c r="L611">
        <v>194407</v>
      </c>
      <c r="M611">
        <v>19797</v>
      </c>
      <c r="N611">
        <v>562.26</v>
      </c>
      <c r="O611">
        <v>-9.67</v>
      </c>
      <c r="P611">
        <v>0</v>
      </c>
      <c r="Q611">
        <v>1.71</v>
      </c>
      <c r="R611">
        <v>0.24</v>
      </c>
      <c r="S611">
        <v>-3502</v>
      </c>
      <c r="T611">
        <v>27751</v>
      </c>
      <c r="U611">
        <v>195369</v>
      </c>
      <c r="V611">
        <v>19497</v>
      </c>
      <c r="W611">
        <v>8.7100000000000009</v>
      </c>
      <c r="X611" s="10">
        <v>0.2388208947326721</v>
      </c>
      <c r="Y611" s="9">
        <v>50200</v>
      </c>
      <c r="Z611" s="9">
        <v>43300</v>
      </c>
      <c r="AA611" s="9">
        <v>47650</v>
      </c>
      <c r="AB611">
        <v>0.63043478260869568</v>
      </c>
      <c r="AC611" s="11">
        <v>44.929146985273697</v>
      </c>
      <c r="AD611" s="9">
        <v>44836.327683615818</v>
      </c>
      <c r="AE611" s="8">
        <v>1.8162393162393164E-2</v>
      </c>
    </row>
    <row r="612" spans="1:31" x14ac:dyDescent="0.35">
      <c r="A612" s="6" t="s">
        <v>633</v>
      </c>
      <c r="B612" s="7">
        <v>0</v>
      </c>
      <c r="C612" s="7">
        <v>0</v>
      </c>
      <c r="D612" s="7">
        <v>0</v>
      </c>
      <c r="E612" s="7">
        <v>18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 s="10">
        <v>0.53318927586540588</v>
      </c>
      <c r="Y612" s="9">
        <v>19750</v>
      </c>
      <c r="Z612" s="9">
        <v>15750</v>
      </c>
      <c r="AA612" s="9">
        <v>18700</v>
      </c>
      <c r="AB612">
        <v>0.73750000000000004</v>
      </c>
      <c r="AC612" s="11">
        <v>49.667963323145308</v>
      </c>
      <c r="AD612" s="9">
        <v>16044.293785310736</v>
      </c>
      <c r="AE612" s="8">
        <v>0.10324483775811209</v>
      </c>
    </row>
    <row r="613" spans="1:31" x14ac:dyDescent="0.35">
      <c r="A613" s="6" t="s">
        <v>634</v>
      </c>
      <c r="B613" s="7">
        <v>6</v>
      </c>
      <c r="C613" s="7">
        <v>2</v>
      </c>
      <c r="D613" s="7">
        <v>8</v>
      </c>
      <c r="E613" s="7">
        <v>2</v>
      </c>
      <c r="F613">
        <v>5653</v>
      </c>
      <c r="G613">
        <v>988</v>
      </c>
      <c r="H613">
        <v>17.48</v>
      </c>
      <c r="I613">
        <v>705</v>
      </c>
      <c r="J613">
        <v>12.46</v>
      </c>
      <c r="K613">
        <v>12869</v>
      </c>
      <c r="L613">
        <v>7944</v>
      </c>
      <c r="M613">
        <v>4925</v>
      </c>
      <c r="N613">
        <v>303.39999999999998</v>
      </c>
      <c r="O613">
        <v>15.73</v>
      </c>
      <c r="P613">
        <v>8.0500000000000007</v>
      </c>
      <c r="Q613">
        <v>1.17</v>
      </c>
      <c r="R613">
        <v>1</v>
      </c>
      <c r="S613">
        <v>2906</v>
      </c>
      <c r="T613">
        <v>20009</v>
      </c>
      <c r="U613">
        <v>23313</v>
      </c>
      <c r="V613">
        <v>1847</v>
      </c>
      <c r="W613">
        <v>6.68</v>
      </c>
      <c r="X613" s="10">
        <v>0.30040479685984939</v>
      </c>
      <c r="Y613" s="9">
        <v>24600</v>
      </c>
      <c r="Z613" s="9">
        <v>20300</v>
      </c>
      <c r="AA613" s="9">
        <v>22950</v>
      </c>
      <c r="AB613">
        <v>0.61627906976744184</v>
      </c>
      <c r="AC613" s="11">
        <v>35.066685190330645</v>
      </c>
      <c r="AD613" s="9">
        <v>21491.299435028246</v>
      </c>
      <c r="AE613" s="8">
        <v>-1.9230769230769232E-2</v>
      </c>
    </row>
    <row r="614" spans="1:31" x14ac:dyDescent="0.35">
      <c r="A614" s="6" t="s">
        <v>635</v>
      </c>
      <c r="B614" s="7">
        <v>5</v>
      </c>
      <c r="C614" s="7">
        <v>2</v>
      </c>
      <c r="D614" s="7">
        <v>6</v>
      </c>
      <c r="E614" s="7">
        <v>5</v>
      </c>
      <c r="F614">
        <v>1431</v>
      </c>
      <c r="G614">
        <v>-243</v>
      </c>
      <c r="H614">
        <v>-16.989999999999998</v>
      </c>
      <c r="I614">
        <v>-146</v>
      </c>
      <c r="J614">
        <v>-10.220000000000001</v>
      </c>
      <c r="K614">
        <v>5239</v>
      </c>
      <c r="L614">
        <v>1109</v>
      </c>
      <c r="M614">
        <v>4129</v>
      </c>
      <c r="N614">
        <v>6286.01</v>
      </c>
      <c r="O614">
        <v>-3.61</v>
      </c>
      <c r="P614">
        <v>0</v>
      </c>
      <c r="Q614">
        <v>0.24</v>
      </c>
      <c r="R614">
        <v>0.56999999999999995</v>
      </c>
      <c r="S614">
        <v>-13015</v>
      </c>
      <c r="T614">
        <v>301900</v>
      </c>
      <c r="U614">
        <v>127406</v>
      </c>
      <c r="V614">
        <v>-100</v>
      </c>
      <c r="W614">
        <v>-14.24</v>
      </c>
      <c r="X614" s="10">
        <v>0.80544525746889317</v>
      </c>
      <c r="Y614" s="9">
        <v>87900</v>
      </c>
      <c r="Z614" s="9">
        <v>69100</v>
      </c>
      <c r="AA614" s="9">
        <v>87900</v>
      </c>
      <c r="AB614">
        <v>1</v>
      </c>
      <c r="AC614" s="11">
        <v>303.12031119755488</v>
      </c>
      <c r="AD614" s="9">
        <v>67489.830508474581</v>
      </c>
      <c r="AE614" s="8">
        <v>0.20907840440165062</v>
      </c>
    </row>
    <row r="615" spans="1:31" x14ac:dyDescent="0.35">
      <c r="A615" s="6" t="s">
        <v>636</v>
      </c>
      <c r="B615" s="7">
        <v>11</v>
      </c>
      <c r="C615" s="7">
        <v>0</v>
      </c>
      <c r="D615" s="7">
        <v>7</v>
      </c>
      <c r="E615" s="7">
        <v>0</v>
      </c>
      <c r="F615">
        <v>2454</v>
      </c>
      <c r="G615">
        <v>74</v>
      </c>
      <c r="H615">
        <v>3.02</v>
      </c>
      <c r="I615">
        <v>47</v>
      </c>
      <c r="J615">
        <v>1.91</v>
      </c>
      <c r="K615">
        <v>2257</v>
      </c>
      <c r="L615">
        <v>1159</v>
      </c>
      <c r="M615">
        <v>1098</v>
      </c>
      <c r="N615">
        <v>312.23</v>
      </c>
      <c r="O615">
        <v>4.3099999999999996</v>
      </c>
      <c r="P615">
        <v>26.98</v>
      </c>
      <c r="Q615">
        <v>1.18</v>
      </c>
      <c r="R615">
        <v>0.52</v>
      </c>
      <c r="S615">
        <v>106</v>
      </c>
      <c r="T615">
        <v>2414</v>
      </c>
      <c r="U615">
        <v>5542</v>
      </c>
      <c r="V615">
        <v>149</v>
      </c>
      <c r="W615">
        <v>10.93</v>
      </c>
      <c r="X615" s="10">
        <v>2.1580646608526766E-2</v>
      </c>
      <c r="Y615" s="9">
        <v>2975</v>
      </c>
      <c r="Z615" s="9">
        <v>2430</v>
      </c>
      <c r="AA615" s="9">
        <v>2695</v>
      </c>
      <c r="AB615">
        <v>0.48623853211009177</v>
      </c>
      <c r="AC615" s="11">
        <v>-1.1550430675187553</v>
      </c>
      <c r="AD615" s="9">
        <v>2679.3954802259886</v>
      </c>
      <c r="AE615" s="8">
        <v>-4.7703180212014133E-2</v>
      </c>
    </row>
    <row r="616" spans="1:31" x14ac:dyDescent="0.35">
      <c r="A616" s="6" t="s">
        <v>637</v>
      </c>
      <c r="B616" s="7">
        <v>1</v>
      </c>
      <c r="C616" s="7">
        <v>3</v>
      </c>
      <c r="D616" s="7">
        <v>3</v>
      </c>
      <c r="E616" s="7">
        <v>11</v>
      </c>
      <c r="F616">
        <v>1317</v>
      </c>
      <c r="G616">
        <v>-11</v>
      </c>
      <c r="H616">
        <v>-0.81</v>
      </c>
      <c r="I616">
        <v>-133</v>
      </c>
      <c r="J616">
        <v>-10.08</v>
      </c>
      <c r="K616">
        <v>1103</v>
      </c>
      <c r="L616">
        <v>847</v>
      </c>
      <c r="M616">
        <v>256</v>
      </c>
      <c r="N616">
        <v>95.46</v>
      </c>
      <c r="O616">
        <v>-37.229999999999997</v>
      </c>
      <c r="P616">
        <v>0</v>
      </c>
      <c r="Q616">
        <v>1.18</v>
      </c>
      <c r="R616">
        <v>0.22</v>
      </c>
      <c r="S616">
        <v>-494</v>
      </c>
      <c r="T616">
        <v>932</v>
      </c>
      <c r="U616">
        <v>4897</v>
      </c>
      <c r="V616">
        <v>27</v>
      </c>
      <c r="W616">
        <v>31.45</v>
      </c>
      <c r="X616" s="10">
        <v>0.52261534834466683</v>
      </c>
      <c r="Y616" s="9">
        <v>1800</v>
      </c>
      <c r="Z616" s="9">
        <v>1100</v>
      </c>
      <c r="AA616" s="9">
        <v>1800</v>
      </c>
      <c r="AB616">
        <v>1</v>
      </c>
      <c r="AC616" s="11">
        <v>6.3177271464295641</v>
      </c>
      <c r="AD616" s="9">
        <v>1258.5593220338983</v>
      </c>
      <c r="AE616" s="8">
        <v>0.51260504201680668</v>
      </c>
    </row>
    <row r="617" spans="1:31" x14ac:dyDescent="0.35">
      <c r="A617" s="6" t="s">
        <v>638</v>
      </c>
      <c r="B617" s="7">
        <v>7</v>
      </c>
      <c r="C617" s="7">
        <v>2</v>
      </c>
      <c r="D617" s="7">
        <v>2</v>
      </c>
      <c r="E617" s="7">
        <v>7</v>
      </c>
      <c r="F617">
        <v>1714</v>
      </c>
      <c r="G617">
        <v>75</v>
      </c>
      <c r="H617">
        <v>4.4000000000000004</v>
      </c>
      <c r="I617">
        <v>-18</v>
      </c>
      <c r="J617">
        <v>-1.04</v>
      </c>
      <c r="K617">
        <v>1781</v>
      </c>
      <c r="L617">
        <v>1436</v>
      </c>
      <c r="M617">
        <v>344</v>
      </c>
      <c r="N617">
        <v>31.84</v>
      </c>
      <c r="O617">
        <v>-6.74</v>
      </c>
      <c r="P617">
        <v>0</v>
      </c>
      <c r="Q617">
        <v>4.46</v>
      </c>
      <c r="R617">
        <v>0.23</v>
      </c>
      <c r="S617">
        <v>-48</v>
      </c>
      <c r="T617">
        <v>221</v>
      </c>
      <c r="U617">
        <v>4268</v>
      </c>
      <c r="V617">
        <v>101</v>
      </c>
      <c r="W617">
        <v>16.05</v>
      </c>
      <c r="X617" s="10">
        <v>0.67471873322748355</v>
      </c>
      <c r="Y617" s="9">
        <v>1115</v>
      </c>
      <c r="Z617" s="9">
        <v>775</v>
      </c>
      <c r="AA617" s="9">
        <v>1030</v>
      </c>
      <c r="AB617">
        <v>0.75</v>
      </c>
      <c r="AC617" s="11">
        <v>4.667379827729925</v>
      </c>
      <c r="AD617" s="9">
        <v>741.82824858757056</v>
      </c>
      <c r="AE617" s="8">
        <v>0.25</v>
      </c>
    </row>
    <row r="618" spans="1:31" x14ac:dyDescent="0.35">
      <c r="A618" s="6" t="s">
        <v>639</v>
      </c>
      <c r="B618" s="7">
        <v>0</v>
      </c>
      <c r="C618" s="7">
        <v>0</v>
      </c>
      <c r="D618" s="7">
        <v>0</v>
      </c>
      <c r="E618" s="7">
        <v>18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 s="10">
        <v>0.42396966282719417</v>
      </c>
      <c r="Y618" s="9">
        <v>865</v>
      </c>
      <c r="Z618" s="9">
        <v>500</v>
      </c>
      <c r="AA618" s="9">
        <v>609</v>
      </c>
      <c r="AB618">
        <v>0.29863013698630136</v>
      </c>
      <c r="AC618" s="11">
        <v>2.9069741594887475</v>
      </c>
      <c r="AD618" s="9">
        <v>475.13728813559317</v>
      </c>
      <c r="AE618" s="8">
        <v>0.218</v>
      </c>
    </row>
    <row r="619" spans="1:31" x14ac:dyDescent="0.35">
      <c r="A619" s="6" t="s">
        <v>640</v>
      </c>
      <c r="B619" s="7">
        <v>0</v>
      </c>
      <c r="C619" s="7">
        <v>12</v>
      </c>
      <c r="D619" s="7">
        <v>5</v>
      </c>
      <c r="E619" s="7">
        <v>1</v>
      </c>
      <c r="F619">
        <v>677</v>
      </c>
      <c r="G619">
        <v>44</v>
      </c>
      <c r="H619">
        <v>6.47</v>
      </c>
      <c r="I619">
        <v>19</v>
      </c>
      <c r="J619">
        <v>2.86</v>
      </c>
      <c r="K619">
        <v>1047</v>
      </c>
      <c r="L619">
        <v>434</v>
      </c>
      <c r="M619">
        <v>613</v>
      </c>
      <c r="N619">
        <v>596.11</v>
      </c>
      <c r="O619">
        <v>3.15</v>
      </c>
      <c r="P619">
        <v>64.09</v>
      </c>
      <c r="Q619">
        <v>2.13</v>
      </c>
      <c r="R619">
        <v>1.84</v>
      </c>
      <c r="S619">
        <v>110</v>
      </c>
      <c r="T619">
        <v>3305</v>
      </c>
      <c r="U619">
        <v>3837</v>
      </c>
      <c r="V619">
        <v>76</v>
      </c>
      <c r="W619">
        <v>18.64</v>
      </c>
      <c r="X619" s="10">
        <v>0.44049930244668856</v>
      </c>
      <c r="Y619" s="9">
        <v>12600</v>
      </c>
      <c r="Z619" s="9">
        <v>7050</v>
      </c>
      <c r="AA619" s="9">
        <v>12600</v>
      </c>
      <c r="AB619">
        <v>1</v>
      </c>
      <c r="AC619" s="11">
        <v>43.315365379272023</v>
      </c>
      <c r="AD619" s="9">
        <v>7305.2146892655373</v>
      </c>
      <c r="AE619" s="8">
        <v>0.78217821782178221</v>
      </c>
    </row>
    <row r="620" spans="1:31" x14ac:dyDescent="0.35">
      <c r="A620" s="6" t="s">
        <v>641</v>
      </c>
      <c r="B620" s="7">
        <v>4</v>
      </c>
      <c r="C620" s="7">
        <v>2</v>
      </c>
      <c r="D620" s="7">
        <v>4</v>
      </c>
      <c r="E620" s="7">
        <v>8</v>
      </c>
      <c r="F620">
        <v>936</v>
      </c>
      <c r="G620">
        <v>127</v>
      </c>
      <c r="H620">
        <v>13.58</v>
      </c>
      <c r="I620">
        <v>117</v>
      </c>
      <c r="J620">
        <v>12.48</v>
      </c>
      <c r="K620">
        <v>2000</v>
      </c>
      <c r="L620">
        <v>882</v>
      </c>
      <c r="M620">
        <v>1118</v>
      </c>
      <c r="N620">
        <v>715.57</v>
      </c>
      <c r="O620">
        <v>14.95</v>
      </c>
      <c r="P620">
        <v>13.61</v>
      </c>
      <c r="Q620">
        <v>2.4300000000000002</v>
      </c>
      <c r="R620">
        <v>1.7</v>
      </c>
      <c r="S620">
        <v>559</v>
      </c>
      <c r="T620">
        <v>3138</v>
      </c>
      <c r="U620">
        <v>4476</v>
      </c>
      <c r="V620">
        <v>305</v>
      </c>
      <c r="W620">
        <v>8.5500000000000007</v>
      </c>
      <c r="X620" s="10">
        <v>0.69253578309436947</v>
      </c>
      <c r="Y620" s="9">
        <v>13300</v>
      </c>
      <c r="Z620" s="9">
        <v>9000</v>
      </c>
      <c r="AA620" s="9">
        <v>12100</v>
      </c>
      <c r="AB620">
        <v>0.72093023255813948</v>
      </c>
      <c r="AC620" s="11">
        <v>60.305918310641829</v>
      </c>
      <c r="AD620" s="9">
        <v>9753.8361581920908</v>
      </c>
      <c r="AE620" s="8">
        <v>0.32240437158469948</v>
      </c>
    </row>
    <row r="621" spans="1:31" x14ac:dyDescent="0.35">
      <c r="A621" s="6" t="s">
        <v>642</v>
      </c>
      <c r="B621" s="7">
        <v>0</v>
      </c>
      <c r="C621" s="7">
        <v>0</v>
      </c>
      <c r="D621" s="7">
        <v>0</v>
      </c>
      <c r="E621" s="7">
        <v>18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 s="10">
        <v>0.15670857176521696</v>
      </c>
      <c r="Y621" s="9">
        <v>25900</v>
      </c>
      <c r="Z621" s="9">
        <v>21300</v>
      </c>
      <c r="AA621" s="9">
        <v>23150</v>
      </c>
      <c r="AB621">
        <v>0.40217391304347827</v>
      </c>
      <c r="AC621" s="11">
        <v>-44.418449197860966</v>
      </c>
      <c r="AD621" s="9">
        <v>24804.411764705881</v>
      </c>
      <c r="AE621" s="8">
        <v>0</v>
      </c>
    </row>
    <row r="622" spans="1:31" x14ac:dyDescent="0.35">
      <c r="A622" s="6" t="s">
        <v>643</v>
      </c>
      <c r="B622" s="7">
        <v>5</v>
      </c>
      <c r="C622" s="7">
        <v>4</v>
      </c>
      <c r="D622" s="7">
        <v>3</v>
      </c>
      <c r="E622" s="7">
        <v>6</v>
      </c>
      <c r="F622">
        <v>534</v>
      </c>
      <c r="G622">
        <v>86</v>
      </c>
      <c r="H622">
        <v>16.13</v>
      </c>
      <c r="I622">
        <v>430</v>
      </c>
      <c r="J622">
        <v>80.430000000000007</v>
      </c>
      <c r="K622">
        <v>1777</v>
      </c>
      <c r="L622">
        <v>379</v>
      </c>
      <c r="M622">
        <v>1398</v>
      </c>
      <c r="N622">
        <v>4380.83</v>
      </c>
      <c r="O622">
        <v>24.22</v>
      </c>
      <c r="P622">
        <v>6.48</v>
      </c>
      <c r="Q622">
        <v>1.41</v>
      </c>
      <c r="R622">
        <v>5.21</v>
      </c>
      <c r="S622">
        <v>1721</v>
      </c>
      <c r="T622">
        <v>7880</v>
      </c>
      <c r="U622">
        <v>2140</v>
      </c>
      <c r="V622">
        <v>156</v>
      </c>
      <c r="W622">
        <v>20.96</v>
      </c>
      <c r="X622" s="10">
        <v>0.6252684558663586</v>
      </c>
      <c r="Y622" s="9">
        <v>11150</v>
      </c>
      <c r="Z622" s="9">
        <v>8330</v>
      </c>
      <c r="AA622" s="9">
        <v>9200</v>
      </c>
      <c r="AB622">
        <v>0.30851063829787234</v>
      </c>
      <c r="AC622" s="11">
        <v>-49.979438732981372</v>
      </c>
      <c r="AD622" s="9">
        <v>11487.706214689266</v>
      </c>
      <c r="AE622" s="8">
        <v>-0.17488789237668162</v>
      </c>
    </row>
    <row r="623" spans="1:31" x14ac:dyDescent="0.35">
      <c r="A623" s="6" t="s">
        <v>644</v>
      </c>
      <c r="B623" s="7">
        <v>0</v>
      </c>
      <c r="C623" s="7">
        <v>2</v>
      </c>
      <c r="D623" s="7">
        <v>14</v>
      </c>
      <c r="E623" s="7">
        <v>2</v>
      </c>
      <c r="F623">
        <v>773</v>
      </c>
      <c r="G623">
        <v>21</v>
      </c>
      <c r="H623">
        <v>2.77</v>
      </c>
      <c r="I623">
        <v>8</v>
      </c>
      <c r="J623">
        <v>0.98</v>
      </c>
      <c r="K623">
        <v>945</v>
      </c>
      <c r="L623">
        <v>318</v>
      </c>
      <c r="M623">
        <v>627</v>
      </c>
      <c r="N623">
        <v>687.45</v>
      </c>
      <c r="O623">
        <v>1.21</v>
      </c>
      <c r="P623">
        <v>50.62</v>
      </c>
      <c r="Q623">
        <v>0.67</v>
      </c>
      <c r="R623">
        <v>0.5</v>
      </c>
      <c r="S623">
        <v>48</v>
      </c>
      <c r="T623">
        <v>3626</v>
      </c>
      <c r="U623">
        <v>4869</v>
      </c>
      <c r="V623">
        <v>40</v>
      </c>
      <c r="W623">
        <v>10</v>
      </c>
      <c r="X623" s="10">
        <v>0.92958524621258132</v>
      </c>
      <c r="Y623" s="9">
        <v>3025</v>
      </c>
      <c r="Z623" s="9">
        <v>2390</v>
      </c>
      <c r="AA623" s="9">
        <v>2980</v>
      </c>
      <c r="AB623">
        <v>0.92913385826771655</v>
      </c>
      <c r="AC623" s="11">
        <v>10.572936926924147</v>
      </c>
      <c r="AD623" s="9">
        <v>2329.1920903954801</v>
      </c>
      <c r="AE623" s="8">
        <v>0.24425887265135698</v>
      </c>
    </row>
    <row r="624" spans="1:31" x14ac:dyDescent="0.35">
      <c r="A624" s="6" t="s">
        <v>645</v>
      </c>
      <c r="B624" s="7">
        <v>0</v>
      </c>
      <c r="C624" s="7">
        <v>0</v>
      </c>
      <c r="D624" s="7">
        <v>0</v>
      </c>
      <c r="E624" s="7">
        <v>18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 s="10">
        <v>0.63569413675115061</v>
      </c>
      <c r="Y624" s="9">
        <v>2355</v>
      </c>
      <c r="Z624" s="9">
        <v>1475</v>
      </c>
      <c r="AA624" s="9">
        <v>1780</v>
      </c>
      <c r="AB624">
        <v>0.34659090909090912</v>
      </c>
      <c r="AC624" s="11">
        <v>8.2688246735204221</v>
      </c>
      <c r="AD624" s="9">
        <v>1392.0508474576272</v>
      </c>
      <c r="AE624" s="8">
        <v>0.20677966101694914</v>
      </c>
    </row>
    <row r="625" spans="1:31" x14ac:dyDescent="0.35">
      <c r="A625" s="6" t="s">
        <v>646</v>
      </c>
      <c r="B625" s="7">
        <v>2</v>
      </c>
      <c r="C625" s="7">
        <v>7</v>
      </c>
      <c r="D625" s="7">
        <v>7</v>
      </c>
      <c r="E625" s="7">
        <v>2</v>
      </c>
      <c r="F625">
        <v>646</v>
      </c>
      <c r="G625">
        <v>74</v>
      </c>
      <c r="H625">
        <v>11.48</v>
      </c>
      <c r="I625">
        <v>50</v>
      </c>
      <c r="J625">
        <v>7.68</v>
      </c>
      <c r="K625">
        <v>945</v>
      </c>
      <c r="L625">
        <v>265</v>
      </c>
      <c r="M625">
        <v>680</v>
      </c>
      <c r="N625">
        <v>1596.95</v>
      </c>
      <c r="O625">
        <v>12.48</v>
      </c>
      <c r="P625">
        <v>11.96</v>
      </c>
      <c r="Q625">
        <v>1.48</v>
      </c>
      <c r="R625">
        <v>0</v>
      </c>
      <c r="S625">
        <v>1028</v>
      </c>
      <c r="T625">
        <v>8295</v>
      </c>
      <c r="U625">
        <v>0</v>
      </c>
      <c r="V625">
        <v>120</v>
      </c>
      <c r="W625">
        <v>8.23</v>
      </c>
      <c r="X625" s="10">
        <v>0.43103920819255359</v>
      </c>
      <c r="Y625" s="9">
        <v>12200</v>
      </c>
      <c r="Z625" s="9">
        <v>9050</v>
      </c>
      <c r="AA625" s="9">
        <v>11200</v>
      </c>
      <c r="AB625">
        <v>0.68253968253968256</v>
      </c>
      <c r="AC625" s="11">
        <v>34.667685468185603</v>
      </c>
      <c r="AD625" s="9">
        <v>9692.8022598870048</v>
      </c>
      <c r="AE625" s="8">
        <v>0.22538293216630198</v>
      </c>
    </row>
    <row r="626" spans="1:31" x14ac:dyDescent="0.35">
      <c r="A626" s="6" t="s">
        <v>647</v>
      </c>
      <c r="B626" s="7">
        <v>5</v>
      </c>
      <c r="C626" s="7">
        <v>6</v>
      </c>
      <c r="D626" s="7">
        <v>1</v>
      </c>
      <c r="E626" s="7">
        <v>6</v>
      </c>
      <c r="F626">
        <v>8119</v>
      </c>
      <c r="G626">
        <v>15</v>
      </c>
      <c r="H626">
        <v>0.18</v>
      </c>
      <c r="I626">
        <v>33</v>
      </c>
      <c r="J626">
        <v>0.41</v>
      </c>
      <c r="K626">
        <v>2170</v>
      </c>
      <c r="L626">
        <v>1562</v>
      </c>
      <c r="M626">
        <v>608</v>
      </c>
      <c r="N626">
        <v>276.27</v>
      </c>
      <c r="O626">
        <v>5.69</v>
      </c>
      <c r="P626">
        <v>25.92</v>
      </c>
      <c r="Q626">
        <v>1.47</v>
      </c>
      <c r="R626">
        <v>0.11</v>
      </c>
      <c r="S626">
        <v>103</v>
      </c>
      <c r="T626">
        <v>1822</v>
      </c>
      <c r="U626">
        <v>25090</v>
      </c>
      <c r="V626">
        <v>75</v>
      </c>
      <c r="W626">
        <v>11.61</v>
      </c>
      <c r="X626" s="10">
        <v>0.77626347179968813</v>
      </c>
      <c r="Y626" s="9">
        <v>4000</v>
      </c>
      <c r="Z626" s="9">
        <v>2480</v>
      </c>
      <c r="AA626" s="9">
        <v>3570</v>
      </c>
      <c r="AB626">
        <v>0.71710526315789469</v>
      </c>
      <c r="AC626" s="11">
        <v>22.698249513753822</v>
      </c>
      <c r="AD626" s="9">
        <v>2378.2033898305085</v>
      </c>
      <c r="AE626" s="8">
        <v>0.30530164533820842</v>
      </c>
    </row>
    <row r="627" spans="1:31" x14ac:dyDescent="0.35">
      <c r="A627" s="6" t="s">
        <v>648</v>
      </c>
      <c r="B627" s="7">
        <v>5</v>
      </c>
      <c r="C627" s="7">
        <v>2</v>
      </c>
      <c r="D627" s="7">
        <v>6</v>
      </c>
      <c r="E627" s="7">
        <v>5</v>
      </c>
      <c r="F627">
        <v>584</v>
      </c>
      <c r="G627">
        <v>320</v>
      </c>
      <c r="H627">
        <v>54.88</v>
      </c>
      <c r="I627">
        <v>293</v>
      </c>
      <c r="J627">
        <v>50.15</v>
      </c>
      <c r="K627">
        <v>2005</v>
      </c>
      <c r="L627">
        <v>74</v>
      </c>
      <c r="M627">
        <v>1931</v>
      </c>
      <c r="N627">
        <v>3475.55</v>
      </c>
      <c r="O627">
        <v>36.61</v>
      </c>
      <c r="P627">
        <v>0</v>
      </c>
      <c r="Q627">
        <v>0</v>
      </c>
      <c r="R627">
        <v>0</v>
      </c>
      <c r="S627">
        <v>5235</v>
      </c>
      <c r="T627">
        <v>17828</v>
      </c>
      <c r="U627">
        <v>0</v>
      </c>
      <c r="V627">
        <v>0</v>
      </c>
      <c r="W627">
        <v>0</v>
      </c>
      <c r="X627" s="10">
        <v>0.73160087637284366</v>
      </c>
      <c r="Y627" s="9">
        <v>55400</v>
      </c>
      <c r="Z627" s="9">
        <v>34000</v>
      </c>
      <c r="AA627" s="9">
        <v>34400</v>
      </c>
      <c r="AB627">
        <v>1.8691588785046728E-2</v>
      </c>
      <c r="AC627" s="11">
        <v>-354.48041122534033</v>
      </c>
      <c r="AD627" s="9">
        <v>53577.485875706217</v>
      </c>
      <c r="AE627" s="8">
        <v>-0.27426160337552741</v>
      </c>
    </row>
    <row r="628" spans="1:31" x14ac:dyDescent="0.35">
      <c r="A628" s="6" t="s">
        <v>649</v>
      </c>
      <c r="B628" s="7">
        <v>0</v>
      </c>
      <c r="C628" s="7">
        <v>3</v>
      </c>
      <c r="D628" s="7">
        <v>9</v>
      </c>
      <c r="E628" s="7">
        <v>6</v>
      </c>
      <c r="F628">
        <v>822</v>
      </c>
      <c r="G628">
        <v>-58</v>
      </c>
      <c r="H628">
        <v>-7.11</v>
      </c>
      <c r="I628">
        <v>-36</v>
      </c>
      <c r="J628">
        <v>-4.37</v>
      </c>
      <c r="K628">
        <v>571</v>
      </c>
      <c r="L628">
        <v>290</v>
      </c>
      <c r="M628">
        <v>282</v>
      </c>
      <c r="N628">
        <v>12.83</v>
      </c>
      <c r="O628">
        <v>-15.98</v>
      </c>
      <c r="P628">
        <v>0</v>
      </c>
      <c r="Q628">
        <v>1.84</v>
      </c>
      <c r="R628">
        <v>0.47</v>
      </c>
      <c r="S628">
        <v>-144</v>
      </c>
      <c r="T628">
        <v>560</v>
      </c>
      <c r="U628">
        <v>2196</v>
      </c>
      <c r="V628">
        <v>-58</v>
      </c>
      <c r="W628">
        <v>-7.22</v>
      </c>
      <c r="X628" s="10">
        <v>0.33679708382569551</v>
      </c>
      <c r="Y628" s="9">
        <v>1330</v>
      </c>
      <c r="Z628" s="9">
        <v>882</v>
      </c>
      <c r="AA628" s="9">
        <v>1210</v>
      </c>
      <c r="AB628">
        <v>0.7321428571428571</v>
      </c>
      <c r="AC628" s="11">
        <v>3.6936371214226176</v>
      </c>
      <c r="AD628" s="9">
        <v>957.51073446327689</v>
      </c>
      <c r="AE628" s="8">
        <v>0.15789473684210525</v>
      </c>
    </row>
    <row r="629" spans="1:31" x14ac:dyDescent="0.35">
      <c r="A629" s="6" t="s">
        <v>650</v>
      </c>
      <c r="B629" s="7">
        <v>1</v>
      </c>
      <c r="C629" s="7">
        <v>4</v>
      </c>
      <c r="D629" s="7">
        <v>11</v>
      </c>
      <c r="E629" s="7">
        <v>2</v>
      </c>
      <c r="F629">
        <v>8096</v>
      </c>
      <c r="G629">
        <v>252</v>
      </c>
      <c r="H629">
        <v>3.11</v>
      </c>
      <c r="I629">
        <v>-347</v>
      </c>
      <c r="J629">
        <v>-4.29</v>
      </c>
      <c r="K629">
        <v>7052</v>
      </c>
      <c r="L629">
        <v>4261</v>
      </c>
      <c r="M629">
        <v>2791</v>
      </c>
      <c r="N629">
        <v>17.91</v>
      </c>
      <c r="O629">
        <v>-11.74</v>
      </c>
      <c r="P629">
        <v>0</v>
      </c>
      <c r="Q629">
        <v>2.2000000000000002</v>
      </c>
      <c r="R629">
        <v>0.72</v>
      </c>
      <c r="S629">
        <v>-750</v>
      </c>
      <c r="T629">
        <v>5755</v>
      </c>
      <c r="U629">
        <v>17490</v>
      </c>
      <c r="V629">
        <v>631</v>
      </c>
      <c r="W629">
        <v>13.31</v>
      </c>
      <c r="X629" s="10">
        <v>0.63618863225437117</v>
      </c>
      <c r="Y629" s="9">
        <v>17150</v>
      </c>
      <c r="Z629" s="9">
        <v>12650</v>
      </c>
      <c r="AA629" s="9">
        <v>17150</v>
      </c>
      <c r="AB629">
        <v>1</v>
      </c>
      <c r="AC629" s="11">
        <v>47.404834676298975</v>
      </c>
      <c r="AD629" s="9">
        <v>12944.152542372882</v>
      </c>
      <c r="AE629" s="8">
        <v>0.32945736434108525</v>
      </c>
    </row>
    <row r="630" spans="1:31" x14ac:dyDescent="0.35">
      <c r="A630" s="6" t="s">
        <v>651</v>
      </c>
      <c r="B630" s="7">
        <v>9</v>
      </c>
      <c r="C630" s="7">
        <v>5</v>
      </c>
      <c r="D630" s="7">
        <v>3</v>
      </c>
      <c r="E630" s="7">
        <v>1</v>
      </c>
      <c r="F630">
        <v>5247</v>
      </c>
      <c r="G630">
        <v>28</v>
      </c>
      <c r="H630">
        <v>0.53</v>
      </c>
      <c r="I630">
        <v>19</v>
      </c>
      <c r="J630">
        <v>0.36</v>
      </c>
      <c r="K630">
        <v>1972</v>
      </c>
      <c r="L630">
        <v>1381</v>
      </c>
      <c r="M630">
        <v>591</v>
      </c>
      <c r="N630">
        <v>376</v>
      </c>
      <c r="O630">
        <v>3.5</v>
      </c>
      <c r="P630">
        <v>59.74</v>
      </c>
      <c r="Q630">
        <v>2.1800000000000002</v>
      </c>
      <c r="R630">
        <v>0.22</v>
      </c>
      <c r="S630">
        <v>77</v>
      </c>
      <c r="T630">
        <v>2112</v>
      </c>
      <c r="U630">
        <v>21327</v>
      </c>
      <c r="V630">
        <v>60</v>
      </c>
      <c r="W630">
        <v>34.94</v>
      </c>
      <c r="X630" s="10">
        <v>0.13881406652226763</v>
      </c>
      <c r="Y630" s="9">
        <v>4990</v>
      </c>
      <c r="Z630" s="9">
        <v>4230</v>
      </c>
      <c r="AA630" s="9">
        <v>4625</v>
      </c>
      <c r="AB630">
        <v>0.51973684210526316</v>
      </c>
      <c r="AC630" s="11">
        <v>3.164212281189219</v>
      </c>
      <c r="AD630" s="9">
        <v>4465.9915254237285</v>
      </c>
      <c r="AE630" s="8">
        <v>2.3230088495575223E-2</v>
      </c>
    </row>
    <row r="631" spans="1:31" x14ac:dyDescent="0.35">
      <c r="A631" s="6" t="s">
        <v>652</v>
      </c>
      <c r="B631" s="7">
        <v>2</v>
      </c>
      <c r="C631" s="7">
        <v>2</v>
      </c>
      <c r="D631" s="7">
        <v>9</v>
      </c>
      <c r="E631" s="7">
        <v>5</v>
      </c>
      <c r="F631">
        <v>2296</v>
      </c>
      <c r="G631">
        <v>19</v>
      </c>
      <c r="H631">
        <v>0.84</v>
      </c>
      <c r="I631">
        <v>31</v>
      </c>
      <c r="J631">
        <v>1.33</v>
      </c>
      <c r="K631">
        <v>3336</v>
      </c>
      <c r="L631">
        <v>1197</v>
      </c>
      <c r="M631">
        <v>2139</v>
      </c>
      <c r="N631">
        <v>1187.46</v>
      </c>
      <c r="O631">
        <v>1.41</v>
      </c>
      <c r="P631">
        <v>46.85</v>
      </c>
      <c r="Q631">
        <v>0.7</v>
      </c>
      <c r="R631">
        <v>0.62</v>
      </c>
      <c r="S631">
        <v>92</v>
      </c>
      <c r="T631">
        <v>6182</v>
      </c>
      <c r="U631">
        <v>6939</v>
      </c>
      <c r="V631">
        <v>69</v>
      </c>
      <c r="W631">
        <v>25.41</v>
      </c>
      <c r="X631" s="10">
        <v>2.71968647512221E-3</v>
      </c>
      <c r="Y631" s="9">
        <v>4765</v>
      </c>
      <c r="Z631" s="9">
        <v>4145</v>
      </c>
      <c r="AA631" s="9">
        <v>4765</v>
      </c>
      <c r="AB631">
        <v>1</v>
      </c>
      <c r="AC631" s="11">
        <v>0.45081967213114754</v>
      </c>
      <c r="AD631" s="9">
        <v>4378</v>
      </c>
      <c r="AE631" s="8">
        <v>0.13452380952380952</v>
      </c>
    </row>
    <row r="632" spans="1:31" x14ac:dyDescent="0.35">
      <c r="A632" s="6" t="s">
        <v>653</v>
      </c>
      <c r="B632" s="7">
        <v>8</v>
      </c>
      <c r="C632" s="7">
        <v>4</v>
      </c>
      <c r="D632" s="7">
        <v>5</v>
      </c>
      <c r="E632" s="7">
        <v>1</v>
      </c>
      <c r="F632">
        <v>2022</v>
      </c>
      <c r="G632">
        <v>123</v>
      </c>
      <c r="H632">
        <v>6.1</v>
      </c>
      <c r="I632">
        <v>105</v>
      </c>
      <c r="J632">
        <v>5.21</v>
      </c>
      <c r="K632">
        <v>3051</v>
      </c>
      <c r="L632">
        <v>704</v>
      </c>
      <c r="M632">
        <v>2348</v>
      </c>
      <c r="N632">
        <v>767.66</v>
      </c>
      <c r="O632">
        <v>4.55</v>
      </c>
      <c r="P632">
        <v>16.53</v>
      </c>
      <c r="Q632">
        <v>0.76</v>
      </c>
      <c r="R632">
        <v>0.86</v>
      </c>
      <c r="S632">
        <v>189</v>
      </c>
      <c r="T632">
        <v>4104</v>
      </c>
      <c r="U632">
        <v>3629</v>
      </c>
      <c r="V632">
        <v>154</v>
      </c>
      <c r="W632">
        <v>11.62</v>
      </c>
      <c r="X632" s="10">
        <v>0.89724064162533423</v>
      </c>
      <c r="Y632" s="9">
        <v>3885</v>
      </c>
      <c r="Z632" s="9">
        <v>2990</v>
      </c>
      <c r="AA632" s="9">
        <v>3695</v>
      </c>
      <c r="AB632">
        <v>0.78770949720670391</v>
      </c>
      <c r="AC632" s="11">
        <v>15.060016671297586</v>
      </c>
      <c r="AD632" s="9">
        <v>2938.5028248587573</v>
      </c>
      <c r="AE632" s="8">
        <v>0.17488076311605724</v>
      </c>
    </row>
    <row r="633" spans="1:31" x14ac:dyDescent="0.35">
      <c r="A633" s="6" t="s">
        <v>654</v>
      </c>
      <c r="B633" s="7">
        <v>10</v>
      </c>
      <c r="C633" s="7">
        <v>3</v>
      </c>
      <c r="D633" s="7">
        <v>2</v>
      </c>
      <c r="E633" s="7">
        <v>3</v>
      </c>
      <c r="F633">
        <v>3483</v>
      </c>
      <c r="G633">
        <v>110</v>
      </c>
      <c r="H633">
        <v>3.15</v>
      </c>
      <c r="I633">
        <v>93</v>
      </c>
      <c r="J633">
        <v>2.66</v>
      </c>
      <c r="K633">
        <v>5975</v>
      </c>
      <c r="L633">
        <v>2634</v>
      </c>
      <c r="M633">
        <v>3340</v>
      </c>
      <c r="N633">
        <v>594.02</v>
      </c>
      <c r="O633">
        <v>2.8</v>
      </c>
      <c r="P633">
        <v>22.08</v>
      </c>
      <c r="Q633">
        <v>0.64</v>
      </c>
      <c r="R633">
        <v>0.59</v>
      </c>
      <c r="S633">
        <v>192</v>
      </c>
      <c r="T633">
        <v>6626</v>
      </c>
      <c r="U633">
        <v>7224</v>
      </c>
      <c r="V633">
        <v>270</v>
      </c>
      <c r="W633">
        <v>14.32</v>
      </c>
      <c r="X633" s="10">
        <v>6.5304566606009598E-3</v>
      </c>
      <c r="Y633" s="9">
        <v>4245</v>
      </c>
      <c r="Z633" s="9">
        <v>3440</v>
      </c>
      <c r="AA633" s="9">
        <v>3675</v>
      </c>
      <c r="AB633">
        <v>0.29192546583850931</v>
      </c>
      <c r="AC633" s="11">
        <v>-0.87454848569046961</v>
      </c>
      <c r="AD633" s="9">
        <v>3838.4237288135591</v>
      </c>
      <c r="AE633" s="8">
        <v>-0.13427561837455831</v>
      </c>
    </row>
    <row r="634" spans="1:31" x14ac:dyDescent="0.35">
      <c r="A634" s="6" t="s">
        <v>655</v>
      </c>
      <c r="B634" s="7">
        <v>3</v>
      </c>
      <c r="C634" s="7">
        <v>3</v>
      </c>
      <c r="D634" s="7">
        <v>4</v>
      </c>
      <c r="E634" s="7">
        <v>8</v>
      </c>
      <c r="F634">
        <v>2959</v>
      </c>
      <c r="G634">
        <v>-126</v>
      </c>
      <c r="H634">
        <v>-4.24</v>
      </c>
      <c r="I634">
        <v>-103</v>
      </c>
      <c r="J634">
        <v>-3.48</v>
      </c>
      <c r="K634">
        <v>2905</v>
      </c>
      <c r="L634">
        <v>1811</v>
      </c>
      <c r="M634">
        <v>1094</v>
      </c>
      <c r="N634">
        <v>730.76</v>
      </c>
      <c r="O634">
        <v>-8.9700000000000006</v>
      </c>
      <c r="P634">
        <v>0</v>
      </c>
      <c r="Q634">
        <v>0.6</v>
      </c>
      <c r="R634">
        <v>0.21</v>
      </c>
      <c r="S634">
        <v>-391</v>
      </c>
      <c r="T634">
        <v>3936</v>
      </c>
      <c r="U634">
        <v>11237</v>
      </c>
      <c r="V634">
        <v>4</v>
      </c>
      <c r="W634">
        <v>388.56</v>
      </c>
      <c r="X634" s="10">
        <v>0.69227527050784721</v>
      </c>
      <c r="Y634" s="9">
        <v>2795</v>
      </c>
      <c r="Z634" s="9">
        <v>2305</v>
      </c>
      <c r="AA634" s="9">
        <v>2600</v>
      </c>
      <c r="AB634">
        <v>0.60204081632653061</v>
      </c>
      <c r="AC634" s="11">
        <v>6.8731592108919131</v>
      </c>
      <c r="AD634" s="9">
        <v>2362.4519774011301</v>
      </c>
      <c r="AE634" s="8">
        <v>5.9063136456211814E-2</v>
      </c>
    </row>
    <row r="635" spans="1:31" x14ac:dyDescent="0.35">
      <c r="A635" s="6" t="s">
        <v>656</v>
      </c>
      <c r="B635" s="7">
        <v>7</v>
      </c>
      <c r="C635" s="7">
        <v>0</v>
      </c>
      <c r="D635" s="7">
        <v>0</v>
      </c>
      <c r="E635" s="7">
        <v>11</v>
      </c>
      <c r="F635">
        <v>1022</v>
      </c>
      <c r="G635">
        <v>26</v>
      </c>
      <c r="H635">
        <v>2.5499999999999998</v>
      </c>
      <c r="I635">
        <v>14</v>
      </c>
      <c r="J635">
        <v>1.33</v>
      </c>
      <c r="K635">
        <v>1283</v>
      </c>
      <c r="L635">
        <v>593</v>
      </c>
      <c r="M635">
        <v>691</v>
      </c>
      <c r="N635">
        <v>275.37</v>
      </c>
      <c r="O635">
        <v>1.97</v>
      </c>
      <c r="P635">
        <v>20.61</v>
      </c>
      <c r="Q635">
        <v>0.41</v>
      </c>
      <c r="R635">
        <v>0.27</v>
      </c>
      <c r="S635">
        <v>74</v>
      </c>
      <c r="T635">
        <v>3726</v>
      </c>
      <c r="U635">
        <v>5556</v>
      </c>
      <c r="V635">
        <v>59</v>
      </c>
      <c r="W635">
        <v>10.199999999999999</v>
      </c>
      <c r="X635" s="10">
        <v>0.57222059766817801</v>
      </c>
      <c r="Y635" s="9">
        <v>2370</v>
      </c>
      <c r="Z635" s="9">
        <v>1500</v>
      </c>
      <c r="AA635" s="9">
        <v>1775</v>
      </c>
      <c r="AB635">
        <v>0.31609195402298851</v>
      </c>
      <c r="AC635" s="11">
        <v>8.9088635732147807</v>
      </c>
      <c r="AD635" s="9">
        <v>1396.6129943502824</v>
      </c>
      <c r="AE635" s="8">
        <v>0.15259740259740259</v>
      </c>
    </row>
    <row r="636" spans="1:31" x14ac:dyDescent="0.35">
      <c r="A636" s="6" t="s">
        <v>657</v>
      </c>
      <c r="B636" s="7">
        <v>0</v>
      </c>
      <c r="C636" s="7">
        <v>1</v>
      </c>
      <c r="D636" s="7">
        <v>11</v>
      </c>
      <c r="E636" s="7">
        <v>6</v>
      </c>
      <c r="F636">
        <v>36042</v>
      </c>
      <c r="G636">
        <v>-670</v>
      </c>
      <c r="H636">
        <v>-1.86</v>
      </c>
      <c r="I636">
        <v>-2299</v>
      </c>
      <c r="J636">
        <v>-6.38</v>
      </c>
      <c r="K636">
        <v>68384</v>
      </c>
      <c r="L636">
        <v>43751</v>
      </c>
      <c r="M636">
        <v>24634</v>
      </c>
      <c r="N636">
        <v>346.76</v>
      </c>
      <c r="O636">
        <v>-9.27</v>
      </c>
      <c r="P636">
        <v>0</v>
      </c>
      <c r="Q636">
        <v>0.22</v>
      </c>
      <c r="R636">
        <v>0.12</v>
      </c>
      <c r="S636">
        <v>-3108</v>
      </c>
      <c r="T636">
        <v>26959</v>
      </c>
      <c r="U636">
        <v>48726</v>
      </c>
      <c r="V636">
        <v>1252</v>
      </c>
      <c r="W636">
        <v>24.51</v>
      </c>
      <c r="X636" s="10">
        <v>0.41022898712377093</v>
      </c>
      <c r="Y636" s="9">
        <v>6660</v>
      </c>
      <c r="Z636" s="9">
        <v>5450</v>
      </c>
      <c r="AA636" s="9">
        <v>6300</v>
      </c>
      <c r="AB636">
        <v>0.7024793388429752</v>
      </c>
      <c r="AC636" s="11">
        <v>10.774103917754934</v>
      </c>
      <c r="AD636" s="9">
        <v>5661.7231638418079</v>
      </c>
      <c r="AE636" s="8">
        <v>5.1752921535893157E-2</v>
      </c>
    </row>
    <row r="637" spans="1:31" x14ac:dyDescent="0.35">
      <c r="A637" s="6" t="s">
        <v>658</v>
      </c>
      <c r="B637" s="7">
        <v>7</v>
      </c>
      <c r="C637" s="7">
        <v>7</v>
      </c>
      <c r="D637" s="7">
        <v>4</v>
      </c>
      <c r="E637" s="7">
        <v>0</v>
      </c>
      <c r="F637">
        <v>2228</v>
      </c>
      <c r="G637">
        <v>263</v>
      </c>
      <c r="H637">
        <v>11.8</v>
      </c>
      <c r="I637">
        <v>216</v>
      </c>
      <c r="J637">
        <v>9.68</v>
      </c>
      <c r="K637">
        <v>2396</v>
      </c>
      <c r="L637">
        <v>628</v>
      </c>
      <c r="M637">
        <v>1768</v>
      </c>
      <c r="N637">
        <v>708.9</v>
      </c>
      <c r="O637">
        <v>12.73</v>
      </c>
      <c r="P637">
        <v>14.09</v>
      </c>
      <c r="Q637">
        <v>1.77</v>
      </c>
      <c r="R637">
        <v>1.36</v>
      </c>
      <c r="S637">
        <v>2445</v>
      </c>
      <c r="T637">
        <v>19441</v>
      </c>
      <c r="U637">
        <v>25259</v>
      </c>
      <c r="V637">
        <v>312</v>
      </c>
      <c r="W637">
        <v>9.82</v>
      </c>
      <c r="X637" s="10">
        <v>4.4740306312958988E-5</v>
      </c>
      <c r="Y637" s="9">
        <v>41050</v>
      </c>
      <c r="Z637" s="9">
        <v>34300</v>
      </c>
      <c r="AA637" s="9">
        <v>35350</v>
      </c>
      <c r="AB637">
        <v>0.15555555555555556</v>
      </c>
      <c r="AC637" s="11">
        <v>0.69463739927758039</v>
      </c>
      <c r="AD637" s="9">
        <v>37260.4802259887</v>
      </c>
      <c r="AE637" s="8">
        <v>2.7616279069767442E-2</v>
      </c>
    </row>
    <row r="638" spans="1:31" x14ac:dyDescent="0.35">
      <c r="A638" s="6" t="s">
        <v>659</v>
      </c>
      <c r="B638" s="7">
        <v>7</v>
      </c>
      <c r="C638" s="7">
        <v>6</v>
      </c>
      <c r="D638" s="7">
        <v>2</v>
      </c>
      <c r="E638" s="7">
        <v>3</v>
      </c>
      <c r="F638">
        <v>761</v>
      </c>
      <c r="G638">
        <v>25</v>
      </c>
      <c r="H638">
        <v>3.25</v>
      </c>
      <c r="I638">
        <v>23</v>
      </c>
      <c r="J638">
        <v>3.02</v>
      </c>
      <c r="K638">
        <v>676</v>
      </c>
      <c r="L638">
        <v>172</v>
      </c>
      <c r="M638">
        <v>503</v>
      </c>
      <c r="N638">
        <v>747.25</v>
      </c>
      <c r="O638">
        <v>4.6100000000000003</v>
      </c>
      <c r="P638">
        <v>14.86</v>
      </c>
      <c r="Q638">
        <v>0.88</v>
      </c>
      <c r="R638">
        <v>0.45</v>
      </c>
      <c r="S638">
        <v>2288</v>
      </c>
      <c r="T638">
        <v>38834</v>
      </c>
      <c r="U638">
        <v>75867</v>
      </c>
      <c r="V638">
        <v>38</v>
      </c>
      <c r="W638">
        <v>13.8</v>
      </c>
      <c r="X638" s="10">
        <v>0.39949145955534926</v>
      </c>
      <c r="Y638" s="9">
        <v>44950</v>
      </c>
      <c r="Z638" s="9">
        <v>32800</v>
      </c>
      <c r="AA638" s="9">
        <v>40450</v>
      </c>
      <c r="AB638">
        <v>0.62962962962962965</v>
      </c>
      <c r="AC638" s="11">
        <v>88.653792720200059</v>
      </c>
      <c r="AD638" s="9">
        <v>32713.5593220339</v>
      </c>
      <c r="AE638" s="8">
        <v>0.18970588235294117</v>
      </c>
    </row>
    <row r="639" spans="1:31" x14ac:dyDescent="0.35">
      <c r="A639" s="6" t="s">
        <v>660</v>
      </c>
      <c r="B639" s="7">
        <v>1</v>
      </c>
      <c r="C639" s="7">
        <v>12</v>
      </c>
      <c r="D639" s="7">
        <v>0</v>
      </c>
      <c r="E639" s="7">
        <v>5</v>
      </c>
      <c r="F639">
        <v>5087</v>
      </c>
      <c r="G639">
        <v>193</v>
      </c>
      <c r="H639">
        <v>3.8</v>
      </c>
      <c r="I639">
        <v>31</v>
      </c>
      <c r="J639">
        <v>0.6</v>
      </c>
      <c r="K639">
        <v>5061</v>
      </c>
      <c r="L639">
        <v>3689</v>
      </c>
      <c r="M639">
        <v>1372</v>
      </c>
      <c r="N639">
        <v>471.75</v>
      </c>
      <c r="O639">
        <v>2.2400000000000002</v>
      </c>
      <c r="P639">
        <v>15.04</v>
      </c>
      <c r="Q639">
        <v>0.36</v>
      </c>
      <c r="R639">
        <v>0.09</v>
      </c>
      <c r="S639">
        <v>126</v>
      </c>
      <c r="T639">
        <v>5314</v>
      </c>
      <c r="U639">
        <v>21198</v>
      </c>
      <c r="V639">
        <v>348</v>
      </c>
      <c r="W639">
        <v>7.63</v>
      </c>
      <c r="X639" s="10">
        <v>0.571017606174824</v>
      </c>
      <c r="Y639" s="9">
        <v>3515</v>
      </c>
      <c r="Z639" s="9">
        <v>1850</v>
      </c>
      <c r="AA639" s="9">
        <v>3450</v>
      </c>
      <c r="AB639">
        <v>0.96096096096096095</v>
      </c>
      <c r="AC639" s="11">
        <v>17.135037510419561</v>
      </c>
      <c r="AD639" s="9">
        <v>1731.8813559322034</v>
      </c>
      <c r="AE639" s="8">
        <v>0.86486486486486491</v>
      </c>
    </row>
    <row r="640" spans="1:31" x14ac:dyDescent="0.35">
      <c r="A640" s="6" t="s">
        <v>661</v>
      </c>
      <c r="B640" s="7">
        <v>1</v>
      </c>
      <c r="C640" s="7">
        <v>3</v>
      </c>
      <c r="D640" s="7">
        <v>10</v>
      </c>
      <c r="E640" s="7">
        <v>4</v>
      </c>
      <c r="F640">
        <v>260</v>
      </c>
      <c r="G640">
        <v>12</v>
      </c>
      <c r="H640">
        <v>4.79</v>
      </c>
      <c r="I640">
        <v>-131</v>
      </c>
      <c r="J640">
        <v>-50.46</v>
      </c>
      <c r="K640">
        <v>706</v>
      </c>
      <c r="L640">
        <v>355</v>
      </c>
      <c r="M640">
        <v>351</v>
      </c>
      <c r="N640">
        <v>548.21</v>
      </c>
      <c r="O640">
        <v>-31.33</v>
      </c>
      <c r="P640">
        <v>0</v>
      </c>
      <c r="Q640">
        <v>0.61</v>
      </c>
      <c r="R640">
        <v>0.81</v>
      </c>
      <c r="S640">
        <v>-1213</v>
      </c>
      <c r="T640">
        <v>3200</v>
      </c>
      <c r="U640">
        <v>2403</v>
      </c>
      <c r="V640">
        <v>18</v>
      </c>
      <c r="W640">
        <v>29.38</v>
      </c>
      <c r="X640" s="10">
        <v>0.38751103791287728</v>
      </c>
      <c r="Y640" s="9">
        <v>2435</v>
      </c>
      <c r="Z640" s="9">
        <v>1950</v>
      </c>
      <c r="AA640" s="9">
        <v>2190</v>
      </c>
      <c r="AB640">
        <v>0.49484536082474229</v>
      </c>
      <c r="AC640" s="11">
        <v>4.3866351764378999</v>
      </c>
      <c r="AD640" s="9">
        <v>2111.1242937853103</v>
      </c>
      <c r="AE640" s="8">
        <v>0.12020460358056266</v>
      </c>
    </row>
    <row r="641" spans="1:31" x14ac:dyDescent="0.35">
      <c r="A641" s="6" t="s">
        <v>662</v>
      </c>
      <c r="B641" s="7">
        <v>14</v>
      </c>
      <c r="C641" s="7">
        <v>0</v>
      </c>
      <c r="D641" s="7">
        <v>0</v>
      </c>
      <c r="E641" s="7">
        <v>4</v>
      </c>
      <c r="F641">
        <v>1146</v>
      </c>
      <c r="G641">
        <v>98</v>
      </c>
      <c r="H641">
        <v>8.59</v>
      </c>
      <c r="I641">
        <v>75</v>
      </c>
      <c r="J641">
        <v>6.56</v>
      </c>
      <c r="K641">
        <v>1607</v>
      </c>
      <c r="L641">
        <v>414</v>
      </c>
      <c r="M641">
        <v>1193</v>
      </c>
      <c r="N641">
        <v>1781.93</v>
      </c>
      <c r="O641">
        <v>6.45</v>
      </c>
      <c r="P641">
        <v>9.94</v>
      </c>
      <c r="Q641">
        <v>0.75</v>
      </c>
      <c r="R641">
        <v>0.65</v>
      </c>
      <c r="S641">
        <v>649</v>
      </c>
      <c r="T641">
        <v>8614</v>
      </c>
      <c r="U641">
        <v>9879</v>
      </c>
      <c r="V641">
        <v>121</v>
      </c>
      <c r="W641">
        <v>7.26</v>
      </c>
      <c r="X641" s="10">
        <v>0.41712679341086562</v>
      </c>
      <c r="Y641" s="9">
        <v>7300</v>
      </c>
      <c r="Z641" s="9">
        <v>5950</v>
      </c>
      <c r="AA641" s="9">
        <v>6830</v>
      </c>
      <c r="AB641">
        <v>0.6518518518518519</v>
      </c>
      <c r="AC641" s="11">
        <v>10.666296193387051</v>
      </c>
      <c r="AD641" s="9">
        <v>6100.3446327683623</v>
      </c>
      <c r="AE641" s="8">
        <v>5.8914728682170542E-2</v>
      </c>
    </row>
    <row r="642" spans="1:31" x14ac:dyDescent="0.35">
      <c r="A642" s="6" t="s">
        <v>663</v>
      </c>
      <c r="B642" s="7">
        <v>0</v>
      </c>
      <c r="C642" s="7">
        <v>1</v>
      </c>
      <c r="D642" s="7">
        <v>2</v>
      </c>
      <c r="E642" s="7">
        <v>15</v>
      </c>
      <c r="F642">
        <v>2831</v>
      </c>
      <c r="G642">
        <v>-153</v>
      </c>
      <c r="H642">
        <v>-5.39</v>
      </c>
      <c r="I642">
        <v>-1373</v>
      </c>
      <c r="J642">
        <v>-48.51</v>
      </c>
      <c r="K642">
        <v>3594</v>
      </c>
      <c r="L642">
        <v>2493</v>
      </c>
      <c r="M642">
        <v>1102</v>
      </c>
      <c r="N642">
        <v>48.59</v>
      </c>
      <c r="O642">
        <v>-74.290000000000006</v>
      </c>
      <c r="P642">
        <v>0</v>
      </c>
      <c r="Q642">
        <v>0.53</v>
      </c>
      <c r="R642">
        <v>0.15</v>
      </c>
      <c r="S642">
        <v>-7984</v>
      </c>
      <c r="T642">
        <v>4722</v>
      </c>
      <c r="U642">
        <v>16459</v>
      </c>
      <c r="V642">
        <v>-92</v>
      </c>
      <c r="W642">
        <v>-18.600000000000001</v>
      </c>
      <c r="X642" s="10">
        <v>0.72899842618857502</v>
      </c>
      <c r="Y642" s="9">
        <v>3850</v>
      </c>
      <c r="Z642" s="9">
        <v>2085</v>
      </c>
      <c r="AA642" s="9">
        <v>3295</v>
      </c>
      <c r="AB642">
        <v>0.68555240793201133</v>
      </c>
      <c r="AC642" s="11">
        <v>25.226312864684633</v>
      </c>
      <c r="AD642" s="9">
        <v>2086.8474576271187</v>
      </c>
      <c r="AE642" s="8">
        <v>0.24810606060606061</v>
      </c>
    </row>
    <row r="643" spans="1:31" x14ac:dyDescent="0.35">
      <c r="A643" s="6" t="s">
        <v>664</v>
      </c>
      <c r="B643" s="7">
        <v>0</v>
      </c>
      <c r="C643" s="7">
        <v>7</v>
      </c>
      <c r="D643" s="7">
        <v>2</v>
      </c>
      <c r="E643" s="7">
        <v>9</v>
      </c>
      <c r="F643">
        <v>6298</v>
      </c>
      <c r="G643">
        <v>-633</v>
      </c>
      <c r="H643">
        <v>-10.06</v>
      </c>
      <c r="I643">
        <v>-338</v>
      </c>
      <c r="J643">
        <v>-5.37</v>
      </c>
      <c r="K643">
        <v>13882</v>
      </c>
      <c r="L643">
        <v>11633</v>
      </c>
      <c r="M643">
        <v>2249</v>
      </c>
      <c r="N643">
        <v>-15.48</v>
      </c>
      <c r="O643">
        <v>-18.559999999999999</v>
      </c>
      <c r="P643">
        <v>0</v>
      </c>
      <c r="Q643">
        <v>0.33</v>
      </c>
      <c r="R643">
        <v>0.06</v>
      </c>
      <c r="S643">
        <v>-1068</v>
      </c>
      <c r="T643">
        <v>3543</v>
      </c>
      <c r="U643">
        <v>18435</v>
      </c>
      <c r="V643">
        <v>-812</v>
      </c>
      <c r="W643">
        <v>-7.34</v>
      </c>
      <c r="X643" s="10">
        <v>1.8636344261089594E-2</v>
      </c>
      <c r="Y643" s="9">
        <v>1110</v>
      </c>
      <c r="Z643" s="9">
        <v>621</v>
      </c>
      <c r="AA643" s="9">
        <v>845</v>
      </c>
      <c r="AB643">
        <v>0.45807770961145194</v>
      </c>
      <c r="AC643" s="11">
        <v>1.0247290914142817</v>
      </c>
      <c r="AD643" s="9">
        <v>762.24576271186436</v>
      </c>
      <c r="AE643" s="8">
        <v>-0.19523809523809524</v>
      </c>
    </row>
    <row r="644" spans="1:31" x14ac:dyDescent="0.35">
      <c r="A644" s="6" t="s">
        <v>665</v>
      </c>
      <c r="B644" s="7">
        <v>0</v>
      </c>
      <c r="C644" s="7">
        <v>0</v>
      </c>
      <c r="D644" s="7">
        <v>0</v>
      </c>
      <c r="E644" s="7">
        <v>18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 s="10">
        <v>0.31114569870308617</v>
      </c>
      <c r="Y644" s="9">
        <v>885</v>
      </c>
      <c r="Z644" s="9">
        <v>490</v>
      </c>
      <c r="AA644" s="9">
        <v>661</v>
      </c>
      <c r="AB644">
        <v>0.43291139240506327</v>
      </c>
      <c r="AC644" s="11">
        <v>3.1193664906918586</v>
      </c>
      <c r="AD644" s="9">
        <v>574.32598870056495</v>
      </c>
      <c r="AE644" s="8">
        <v>-5.5714285714285716E-2</v>
      </c>
    </row>
    <row r="645" spans="1:31" x14ac:dyDescent="0.35">
      <c r="A645" s="6" t="s">
        <v>666</v>
      </c>
      <c r="B645" s="7">
        <v>4</v>
      </c>
      <c r="C645" s="7">
        <v>3</v>
      </c>
      <c r="D645" s="7">
        <v>4</v>
      </c>
      <c r="E645" s="7">
        <v>7</v>
      </c>
      <c r="F645">
        <v>768</v>
      </c>
      <c r="G645">
        <v>54</v>
      </c>
      <c r="H645">
        <v>7.04</v>
      </c>
      <c r="I645">
        <v>-20</v>
      </c>
      <c r="J645">
        <v>-2.61</v>
      </c>
      <c r="K645">
        <v>1086</v>
      </c>
      <c r="L645">
        <v>635</v>
      </c>
      <c r="M645">
        <v>451</v>
      </c>
      <c r="N645">
        <v>334.11</v>
      </c>
      <c r="O645">
        <v>-4.3499999999999996</v>
      </c>
      <c r="P645">
        <v>0</v>
      </c>
      <c r="Q645">
        <v>0.82</v>
      </c>
      <c r="R645">
        <v>0.41</v>
      </c>
      <c r="S645">
        <v>-80</v>
      </c>
      <c r="T645">
        <v>1557</v>
      </c>
      <c r="U645">
        <v>3080</v>
      </c>
      <c r="V645">
        <v>85</v>
      </c>
      <c r="W645">
        <v>8.64</v>
      </c>
      <c r="X645" s="10">
        <v>0.71068129115743373</v>
      </c>
      <c r="Y645" s="9">
        <v>1710</v>
      </c>
      <c r="Z645" s="9">
        <v>1125</v>
      </c>
      <c r="AA645" s="9">
        <v>1500</v>
      </c>
      <c r="AB645">
        <v>0.64102564102564108</v>
      </c>
      <c r="AC645" s="11">
        <v>7.7238121700472373</v>
      </c>
      <c r="AD645" s="9">
        <v>1196.5903954802261</v>
      </c>
      <c r="AE645" s="8">
        <v>0.16279069767441862</v>
      </c>
    </row>
    <row r="646" spans="1:31" x14ac:dyDescent="0.35">
      <c r="A646" s="6" t="s">
        <v>667</v>
      </c>
      <c r="B646" s="7">
        <v>0</v>
      </c>
      <c r="C646" s="7">
        <v>1</v>
      </c>
      <c r="D646" s="7">
        <v>9</v>
      </c>
      <c r="E646" s="7">
        <v>8</v>
      </c>
      <c r="F646">
        <v>204</v>
      </c>
      <c r="G646">
        <v>-34</v>
      </c>
      <c r="H646">
        <v>-16.440000000000001</v>
      </c>
      <c r="I646">
        <v>-40</v>
      </c>
      <c r="J646">
        <v>-19.66</v>
      </c>
      <c r="K646">
        <v>374</v>
      </c>
      <c r="L646">
        <v>206</v>
      </c>
      <c r="M646">
        <v>167</v>
      </c>
      <c r="N646">
        <v>285.74</v>
      </c>
      <c r="O646">
        <v>-28.51</v>
      </c>
      <c r="P646">
        <v>0</v>
      </c>
      <c r="Q646">
        <v>1.85</v>
      </c>
      <c r="R646">
        <v>0.75</v>
      </c>
      <c r="S646">
        <v>-612</v>
      </c>
      <c r="T646">
        <v>1262</v>
      </c>
      <c r="U646">
        <v>3115</v>
      </c>
      <c r="V646">
        <v>-20</v>
      </c>
      <c r="W646">
        <v>-14.66</v>
      </c>
      <c r="X646" s="10">
        <v>0.77428487591680206</v>
      </c>
      <c r="Y646" s="9">
        <v>10100</v>
      </c>
      <c r="Z646" s="9">
        <v>2810</v>
      </c>
      <c r="AA646" s="9">
        <v>6670</v>
      </c>
      <c r="AB646">
        <v>0.5294924554183813</v>
      </c>
      <c r="AC646" s="11">
        <v>116.90372325646013</v>
      </c>
      <c r="AD646" s="9">
        <v>1382.6864406779659</v>
      </c>
      <c r="AE646" s="8">
        <v>1.238255033557047</v>
      </c>
    </row>
    <row r="647" spans="1:31" x14ac:dyDescent="0.35">
      <c r="A647" s="6" t="s">
        <v>668</v>
      </c>
      <c r="B647" s="7">
        <v>0</v>
      </c>
      <c r="C647" s="7">
        <v>0</v>
      </c>
      <c r="D647" s="7">
        <v>0</v>
      </c>
      <c r="E647" s="7">
        <v>18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 s="10">
        <v>0.84039715515186519</v>
      </c>
      <c r="Y647" s="9">
        <v>2500</v>
      </c>
      <c r="Z647" s="9">
        <v>2000</v>
      </c>
      <c r="AA647" s="9">
        <v>2460</v>
      </c>
      <c r="AB647">
        <v>0.92</v>
      </c>
      <c r="AC647" s="11">
        <v>6.898721867185329</v>
      </c>
      <c r="AD647" s="9">
        <v>2039.3389830508474</v>
      </c>
      <c r="AE647" s="8">
        <v>0.23</v>
      </c>
    </row>
    <row r="648" spans="1:31" x14ac:dyDescent="0.35">
      <c r="A648" s="6" t="s">
        <v>669</v>
      </c>
      <c r="B648" s="7">
        <v>0</v>
      </c>
      <c r="C648" s="7">
        <v>1</v>
      </c>
      <c r="D648" s="7">
        <v>4</v>
      </c>
      <c r="E648" s="7">
        <v>13</v>
      </c>
      <c r="F648">
        <v>26391</v>
      </c>
      <c r="G648">
        <v>-1701</v>
      </c>
      <c r="H648">
        <v>-6.44</v>
      </c>
      <c r="I648">
        <v>-13411</v>
      </c>
      <c r="J648">
        <v>-50.82</v>
      </c>
      <c r="K648">
        <v>28922</v>
      </c>
      <c r="L648">
        <v>28365</v>
      </c>
      <c r="M648">
        <v>557</v>
      </c>
      <c r="N648">
        <v>-79.11</v>
      </c>
      <c r="O648">
        <v>-198.1</v>
      </c>
      <c r="P648">
        <v>0</v>
      </c>
      <c r="Q648">
        <v>2.92</v>
      </c>
      <c r="R648">
        <v>0.03</v>
      </c>
      <c r="S648">
        <v>-24191</v>
      </c>
      <c r="T648">
        <v>481</v>
      </c>
      <c r="U648">
        <v>45499</v>
      </c>
      <c r="V648">
        <v>-199</v>
      </c>
      <c r="W648">
        <v>-100.92</v>
      </c>
      <c r="X648" s="10">
        <v>0.43651143682956461</v>
      </c>
      <c r="Y648" s="9">
        <v>6880</v>
      </c>
      <c r="Z648" s="9">
        <v>5560</v>
      </c>
      <c r="AA648" s="9">
        <v>6150</v>
      </c>
      <c r="AB648">
        <v>0.44696969696969696</v>
      </c>
      <c r="AC648" s="11">
        <v>15.990552931369825</v>
      </c>
      <c r="AD648" s="9">
        <v>5820.6214689265535</v>
      </c>
      <c r="AE648" s="8">
        <v>8.6572438162544174E-2</v>
      </c>
    </row>
    <row r="649" spans="1:31" x14ac:dyDescent="0.35">
      <c r="A649" s="6" t="s">
        <v>670</v>
      </c>
      <c r="B649" s="7">
        <v>0</v>
      </c>
      <c r="C649" s="7">
        <v>0</v>
      </c>
      <c r="D649" s="7">
        <v>0</v>
      </c>
      <c r="E649" s="7">
        <v>18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 s="10">
        <v>0.61458033227193731</v>
      </c>
      <c r="Y649" s="9">
        <v>8490</v>
      </c>
      <c r="Z649" s="9">
        <v>1585</v>
      </c>
      <c r="AA649" s="9">
        <v>6170</v>
      </c>
      <c r="AB649">
        <v>0.66401158580738595</v>
      </c>
      <c r="AC649" s="11">
        <v>114.16268407891081</v>
      </c>
      <c r="AD649" s="9">
        <v>-101.71186440678002</v>
      </c>
      <c r="AE649" s="8">
        <v>2.6726190476190474</v>
      </c>
    </row>
    <row r="650" spans="1:31" x14ac:dyDescent="0.35">
      <c r="A650" s="6" t="s">
        <v>671</v>
      </c>
      <c r="B650" s="7">
        <v>0</v>
      </c>
      <c r="C650" s="7">
        <v>15</v>
      </c>
      <c r="D650" s="7">
        <v>1</v>
      </c>
      <c r="E650" s="7">
        <v>2</v>
      </c>
      <c r="F650">
        <v>10052</v>
      </c>
      <c r="G650">
        <v>219</v>
      </c>
      <c r="H650">
        <v>2.17</v>
      </c>
      <c r="I650">
        <v>145</v>
      </c>
      <c r="J650">
        <v>1.44</v>
      </c>
      <c r="K650">
        <v>54325</v>
      </c>
      <c r="L650">
        <v>48406</v>
      </c>
      <c r="M650">
        <v>5919</v>
      </c>
      <c r="N650">
        <v>182.44</v>
      </c>
      <c r="O650">
        <v>2.48</v>
      </c>
      <c r="P650">
        <v>10.6</v>
      </c>
      <c r="Q650">
        <v>0.28999999999999998</v>
      </c>
      <c r="R650">
        <v>0.15</v>
      </c>
      <c r="S650">
        <v>350</v>
      </c>
      <c r="T650">
        <v>12884</v>
      </c>
      <c r="U650">
        <v>24263</v>
      </c>
      <c r="V650">
        <v>0</v>
      </c>
      <c r="W650">
        <v>0</v>
      </c>
      <c r="X650" s="10">
        <v>0.89508976040202992</v>
      </c>
      <c r="Y650" s="9">
        <v>5370</v>
      </c>
      <c r="Z650" s="9">
        <v>3675</v>
      </c>
      <c r="AA650" s="9">
        <v>5160</v>
      </c>
      <c r="AB650">
        <v>0.87610619469026552</v>
      </c>
      <c r="AC650" s="11">
        <v>24.975409836065577</v>
      </c>
      <c r="AD650" s="9">
        <v>3463.166666666667</v>
      </c>
      <c r="AE650" s="8">
        <v>0.39271255060728744</v>
      </c>
    </row>
    <row r="651" spans="1:31" x14ac:dyDescent="0.35">
      <c r="A651" s="6" t="s">
        <v>672</v>
      </c>
      <c r="B651" s="7">
        <v>3</v>
      </c>
      <c r="C651" s="7">
        <v>7</v>
      </c>
      <c r="D651" s="7">
        <v>2</v>
      </c>
      <c r="E651" s="7">
        <v>6</v>
      </c>
      <c r="F651">
        <v>5677</v>
      </c>
      <c r="G651">
        <v>453</v>
      </c>
      <c r="H651">
        <v>7.98</v>
      </c>
      <c r="I651">
        <v>-583</v>
      </c>
      <c r="J651">
        <v>-10.27</v>
      </c>
      <c r="K651">
        <v>10020</v>
      </c>
      <c r="L651">
        <v>8659</v>
      </c>
      <c r="M651">
        <v>1361</v>
      </c>
      <c r="N651">
        <v>-3.23</v>
      </c>
      <c r="O651">
        <v>-34.99</v>
      </c>
      <c r="P651">
        <v>0</v>
      </c>
      <c r="Q651">
        <v>2.77</v>
      </c>
      <c r="R651">
        <v>0.33</v>
      </c>
      <c r="S651">
        <v>-1450</v>
      </c>
      <c r="T651">
        <v>1668</v>
      </c>
      <c r="U651">
        <v>14063</v>
      </c>
      <c r="V651">
        <v>1272</v>
      </c>
      <c r="W651">
        <v>6.47</v>
      </c>
      <c r="X651" s="10">
        <v>0.79163732539217035</v>
      </c>
      <c r="Y651" s="9">
        <v>7300</v>
      </c>
      <c r="Z651" s="9">
        <v>4355</v>
      </c>
      <c r="AA651" s="9">
        <v>5830</v>
      </c>
      <c r="AB651">
        <v>0.50084889643463493</v>
      </c>
      <c r="AC651" s="11">
        <v>47.445262572936919</v>
      </c>
      <c r="AD651" s="9">
        <v>4060.0028248587569</v>
      </c>
      <c r="AE651" s="8">
        <v>0.19589743589743588</v>
      </c>
    </row>
    <row r="652" spans="1:31" x14ac:dyDescent="0.35">
      <c r="A652" s="6" t="s">
        <v>673</v>
      </c>
      <c r="B652" s="7">
        <v>0</v>
      </c>
      <c r="C652" s="7">
        <v>0</v>
      </c>
      <c r="D652" s="7">
        <v>0</v>
      </c>
      <c r="E652" s="7">
        <v>18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 s="10">
        <v>0.52873387986042408</v>
      </c>
      <c r="Y652" s="9">
        <v>45700</v>
      </c>
      <c r="Z652" s="9">
        <v>21850</v>
      </c>
      <c r="AA652" s="9">
        <v>29500</v>
      </c>
      <c r="AB652">
        <v>0.32075471698113206</v>
      </c>
      <c r="AC652" s="11">
        <v>289.18449569324815</v>
      </c>
      <c r="AD652" s="9">
        <v>22094.0395480226</v>
      </c>
      <c r="AE652" s="8">
        <v>0.20654396728016361</v>
      </c>
    </row>
    <row r="653" spans="1:31" x14ac:dyDescent="0.35">
      <c r="A653" s="6" t="s">
        <v>674</v>
      </c>
      <c r="B653" s="7">
        <v>0</v>
      </c>
      <c r="C653" s="7">
        <v>0</v>
      </c>
      <c r="D653" s="7">
        <v>0</v>
      </c>
      <c r="E653" s="7">
        <v>18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 s="10">
        <v>0.46651275092478789</v>
      </c>
      <c r="Y653" s="9">
        <v>42750</v>
      </c>
      <c r="Z653" s="9">
        <v>22300</v>
      </c>
      <c r="AA653" s="9">
        <v>29350</v>
      </c>
      <c r="AB653">
        <v>0.34474327628361856</v>
      </c>
      <c r="AC653" s="11">
        <v>256.71297582661856</v>
      </c>
      <c r="AD653" s="9">
        <v>23473.587570621465</v>
      </c>
      <c r="AE653" s="8">
        <v>0.2569593147751606</v>
      </c>
    </row>
    <row r="654" spans="1:31" x14ac:dyDescent="0.35">
      <c r="A654" s="6" t="s">
        <v>675</v>
      </c>
      <c r="B654" s="7">
        <v>2</v>
      </c>
      <c r="C654" s="7">
        <v>9</v>
      </c>
      <c r="D654" s="7">
        <v>3</v>
      </c>
      <c r="E654" s="7">
        <v>4</v>
      </c>
      <c r="F654">
        <v>125005</v>
      </c>
      <c r="G654">
        <v>4934</v>
      </c>
      <c r="H654">
        <v>3.95</v>
      </c>
      <c r="I654">
        <v>4003</v>
      </c>
      <c r="J654">
        <v>3.2</v>
      </c>
      <c r="K654">
        <v>268014</v>
      </c>
      <c r="L654">
        <v>234384</v>
      </c>
      <c r="M654">
        <v>33630</v>
      </c>
      <c r="N654">
        <v>9483.84</v>
      </c>
      <c r="O654">
        <v>13.2</v>
      </c>
      <c r="P654">
        <v>8.6999999999999993</v>
      </c>
      <c r="Q654">
        <v>1.24</v>
      </c>
      <c r="R654">
        <v>0.28000000000000003</v>
      </c>
      <c r="S654">
        <v>6324</v>
      </c>
      <c r="T654">
        <v>44430</v>
      </c>
      <c r="U654">
        <v>197486</v>
      </c>
      <c r="V654">
        <v>0</v>
      </c>
      <c r="W654">
        <v>0</v>
      </c>
      <c r="X654" s="10">
        <v>0.50274110365597691</v>
      </c>
      <c r="Y654" s="9">
        <v>55700</v>
      </c>
      <c r="Z654" s="9">
        <v>47900</v>
      </c>
      <c r="AA654" s="9">
        <v>49700</v>
      </c>
      <c r="AB654">
        <v>0.23076923076923078</v>
      </c>
      <c r="AC654" s="11">
        <v>-78.153653792720206</v>
      </c>
      <c r="AD654" s="9">
        <v>54371.186440677964</v>
      </c>
      <c r="AE654" s="8">
        <v>-0.10450450450450451</v>
      </c>
    </row>
    <row r="655" spans="1:31" x14ac:dyDescent="0.35">
      <c r="A655" s="6" t="s">
        <v>676</v>
      </c>
      <c r="B655" s="7">
        <v>0</v>
      </c>
      <c r="C655" s="7">
        <v>7</v>
      </c>
      <c r="D655" s="7">
        <v>0</v>
      </c>
      <c r="E655" s="7">
        <v>11</v>
      </c>
      <c r="F655">
        <v>4</v>
      </c>
      <c r="G655">
        <v>4</v>
      </c>
      <c r="H655">
        <v>90.26</v>
      </c>
      <c r="I655">
        <v>4</v>
      </c>
      <c r="J655">
        <v>90.3</v>
      </c>
      <c r="K655">
        <v>81</v>
      </c>
      <c r="L655">
        <v>2</v>
      </c>
      <c r="M655">
        <v>79</v>
      </c>
      <c r="N655">
        <v>0.04</v>
      </c>
      <c r="O655">
        <v>5.98</v>
      </c>
      <c r="P655">
        <v>15.7</v>
      </c>
      <c r="Q655">
        <v>0.94</v>
      </c>
      <c r="R655">
        <v>14.14</v>
      </c>
      <c r="S655">
        <v>299</v>
      </c>
      <c r="T655">
        <v>5002</v>
      </c>
      <c r="U655">
        <v>332</v>
      </c>
      <c r="V655">
        <v>5</v>
      </c>
      <c r="W655">
        <v>15.7</v>
      </c>
      <c r="X655" s="10">
        <v>0.63962955540887223</v>
      </c>
      <c r="Y655" s="9">
        <v>5000</v>
      </c>
      <c r="Z655" s="9">
        <v>4620</v>
      </c>
      <c r="AA655" s="9">
        <v>5000</v>
      </c>
      <c r="AB655">
        <v>1</v>
      </c>
      <c r="AC655" s="11">
        <v>4.8446790775215334</v>
      </c>
      <c r="AD655" s="9">
        <v>4676.0706214689262</v>
      </c>
      <c r="AE655" s="8">
        <v>5.4852320675105488E-2</v>
      </c>
    </row>
    <row r="656" spans="1:31" x14ac:dyDescent="0.35">
      <c r="A656" s="6" t="s">
        <v>677</v>
      </c>
      <c r="B656" s="7">
        <v>0</v>
      </c>
      <c r="C656" s="7">
        <v>6</v>
      </c>
      <c r="D656" s="7">
        <v>0</v>
      </c>
      <c r="E656" s="7">
        <v>12</v>
      </c>
      <c r="F656">
        <v>4</v>
      </c>
      <c r="G656">
        <v>4</v>
      </c>
      <c r="H656">
        <v>90.25</v>
      </c>
      <c r="I656">
        <v>4</v>
      </c>
      <c r="J656">
        <v>90.3</v>
      </c>
      <c r="K656">
        <v>81</v>
      </c>
      <c r="L656">
        <v>1</v>
      </c>
      <c r="M656">
        <v>79</v>
      </c>
      <c r="N656">
        <v>0.03</v>
      </c>
      <c r="O656">
        <v>5.98</v>
      </c>
      <c r="P656">
        <v>15.38</v>
      </c>
      <c r="Q656">
        <v>0.92</v>
      </c>
      <c r="R656">
        <v>13.86</v>
      </c>
      <c r="S656">
        <v>299</v>
      </c>
      <c r="T656">
        <v>5002</v>
      </c>
      <c r="U656">
        <v>332</v>
      </c>
      <c r="V656">
        <v>5</v>
      </c>
      <c r="W656">
        <v>15.38</v>
      </c>
      <c r="X656" s="10">
        <v>0.81434168076858193</v>
      </c>
      <c r="Y656" s="9">
        <v>5000</v>
      </c>
      <c r="Z656" s="9">
        <v>4625</v>
      </c>
      <c r="AA656" s="9">
        <v>5000</v>
      </c>
      <c r="AB656">
        <v>1</v>
      </c>
      <c r="AC656" s="11">
        <v>5.7170047235343153</v>
      </c>
      <c r="AD656" s="9">
        <v>4641.3813559322034</v>
      </c>
      <c r="AE656" s="8">
        <v>7.5268817204301078E-2</v>
      </c>
    </row>
    <row r="657" spans="1:31" x14ac:dyDescent="0.35">
      <c r="A657" s="6" t="s">
        <v>678</v>
      </c>
      <c r="B657" s="7">
        <v>0</v>
      </c>
      <c r="C657" s="7">
        <v>8</v>
      </c>
      <c r="D657" s="7">
        <v>0</v>
      </c>
      <c r="E657" s="7">
        <v>10</v>
      </c>
      <c r="F657">
        <v>4</v>
      </c>
      <c r="G657">
        <v>4</v>
      </c>
      <c r="H657">
        <v>90.26</v>
      </c>
      <c r="I657">
        <v>4</v>
      </c>
      <c r="J657">
        <v>90.3</v>
      </c>
      <c r="K657">
        <v>81</v>
      </c>
      <c r="L657">
        <v>2</v>
      </c>
      <c r="M657">
        <v>79</v>
      </c>
      <c r="N657">
        <v>0.04</v>
      </c>
      <c r="O657">
        <v>5.98</v>
      </c>
      <c r="P657">
        <v>14.97</v>
      </c>
      <c r="Q657">
        <v>0.89</v>
      </c>
      <c r="R657">
        <v>13.48</v>
      </c>
      <c r="S657">
        <v>299</v>
      </c>
      <c r="T657">
        <v>5002</v>
      </c>
      <c r="U657">
        <v>332</v>
      </c>
      <c r="V657">
        <v>5</v>
      </c>
      <c r="W657">
        <v>14.96</v>
      </c>
      <c r="X657" s="10">
        <v>0.43106322863414731</v>
      </c>
      <c r="Y657" s="9">
        <v>5430</v>
      </c>
      <c r="Z657" s="9">
        <v>4600</v>
      </c>
      <c r="AA657" s="9">
        <v>4930</v>
      </c>
      <c r="AB657">
        <v>0.39759036144578314</v>
      </c>
      <c r="AC657" s="11">
        <v>5.2617393720477912</v>
      </c>
      <c r="AD657" s="9">
        <v>4678.0169491525421</v>
      </c>
      <c r="AE657" s="8">
        <v>7.1739130434782611E-2</v>
      </c>
    </row>
    <row r="658" spans="1:31" x14ac:dyDescent="0.35">
      <c r="A658" s="6" t="s">
        <v>679</v>
      </c>
      <c r="B658" s="7">
        <v>0</v>
      </c>
      <c r="C658" s="7">
        <v>6</v>
      </c>
      <c r="D658" s="7">
        <v>0</v>
      </c>
      <c r="E658" s="7">
        <v>12</v>
      </c>
      <c r="F658">
        <v>4</v>
      </c>
      <c r="G658">
        <v>4</v>
      </c>
      <c r="H658">
        <v>90.25</v>
      </c>
      <c r="I658">
        <v>4</v>
      </c>
      <c r="J658">
        <v>90.3</v>
      </c>
      <c r="K658">
        <v>81</v>
      </c>
      <c r="L658">
        <v>1</v>
      </c>
      <c r="M658">
        <v>79</v>
      </c>
      <c r="N658">
        <v>0.04</v>
      </c>
      <c r="O658">
        <v>5.98</v>
      </c>
      <c r="P658">
        <v>15.48</v>
      </c>
      <c r="Q658">
        <v>0.93</v>
      </c>
      <c r="R658">
        <v>13.95</v>
      </c>
      <c r="S658">
        <v>299</v>
      </c>
      <c r="T658">
        <v>5002</v>
      </c>
      <c r="U658">
        <v>332</v>
      </c>
      <c r="V658">
        <v>5</v>
      </c>
      <c r="W658">
        <v>15.48</v>
      </c>
      <c r="X658" s="10">
        <v>0.76160107481202821</v>
      </c>
      <c r="Y658" s="9">
        <v>5000</v>
      </c>
      <c r="Z658" s="9">
        <v>4535</v>
      </c>
      <c r="AA658" s="9">
        <v>4970</v>
      </c>
      <c r="AB658">
        <v>0.93548387096774188</v>
      </c>
      <c r="AC658" s="11">
        <v>5.6568491247568771</v>
      </c>
      <c r="AD658" s="9">
        <v>4648.4661016949149</v>
      </c>
      <c r="AE658" s="8">
        <v>4.852320675105485E-2</v>
      </c>
    </row>
    <row r="659" spans="1:31" x14ac:dyDescent="0.35">
      <c r="A659" s="6" t="s">
        <v>680</v>
      </c>
      <c r="B659" s="7">
        <v>0</v>
      </c>
      <c r="C659" s="7">
        <v>6</v>
      </c>
      <c r="D659" s="7">
        <v>0</v>
      </c>
      <c r="E659" s="7">
        <v>12</v>
      </c>
      <c r="F659">
        <v>4</v>
      </c>
      <c r="G659">
        <v>4</v>
      </c>
      <c r="H659">
        <v>90.26</v>
      </c>
      <c r="I659">
        <v>4</v>
      </c>
      <c r="J659">
        <v>90.3</v>
      </c>
      <c r="K659">
        <v>81</v>
      </c>
      <c r="L659">
        <v>2</v>
      </c>
      <c r="M659">
        <v>79</v>
      </c>
      <c r="N659">
        <v>0.04</v>
      </c>
      <c r="O659">
        <v>5.98</v>
      </c>
      <c r="P659">
        <v>15.35</v>
      </c>
      <c r="Q659">
        <v>0.92</v>
      </c>
      <c r="R659">
        <v>13.83</v>
      </c>
      <c r="S659">
        <v>299</v>
      </c>
      <c r="T659">
        <v>5002</v>
      </c>
      <c r="U659">
        <v>332</v>
      </c>
      <c r="V659">
        <v>5</v>
      </c>
      <c r="W659">
        <v>15.35</v>
      </c>
      <c r="X659" s="10">
        <v>0.76374691408073658</v>
      </c>
      <c r="Y659" s="9">
        <v>5000</v>
      </c>
      <c r="Z659" s="9">
        <v>4510</v>
      </c>
      <c r="AA659" s="9">
        <v>4700</v>
      </c>
      <c r="AB659">
        <v>0.38775510204081631</v>
      </c>
      <c r="AC659" s="11">
        <v>8.3370380661294803</v>
      </c>
      <c r="AD659" s="9">
        <v>4528.5536723163841</v>
      </c>
      <c r="AE659" s="8">
        <v>3.2967032967032968E-2</v>
      </c>
    </row>
    <row r="660" spans="1:31" x14ac:dyDescent="0.35">
      <c r="A660" s="6" t="s">
        <v>681</v>
      </c>
      <c r="B660" s="7">
        <v>7</v>
      </c>
      <c r="C660" s="7">
        <v>7</v>
      </c>
      <c r="D660" s="7">
        <v>1</v>
      </c>
      <c r="E660" s="7">
        <v>3</v>
      </c>
      <c r="F660">
        <v>4537</v>
      </c>
      <c r="G660">
        <v>406</v>
      </c>
      <c r="H660">
        <v>8.9499999999999993</v>
      </c>
      <c r="I660">
        <v>989</v>
      </c>
      <c r="J660">
        <v>21.8</v>
      </c>
      <c r="K660">
        <v>9899</v>
      </c>
      <c r="L660">
        <v>702</v>
      </c>
      <c r="M660">
        <v>9197</v>
      </c>
      <c r="N660">
        <v>1746.9</v>
      </c>
      <c r="O660">
        <v>11.02</v>
      </c>
      <c r="P660">
        <v>22.69</v>
      </c>
      <c r="Q660">
        <v>2.46</v>
      </c>
      <c r="R660">
        <v>4.95</v>
      </c>
      <c r="S660">
        <v>996</v>
      </c>
      <c r="T660">
        <v>9205</v>
      </c>
      <c r="U660">
        <v>4570</v>
      </c>
      <c r="V660">
        <v>437</v>
      </c>
      <c r="W660">
        <v>51.61</v>
      </c>
      <c r="X660" s="10">
        <v>0.73780747418923009</v>
      </c>
      <c r="Y660" s="9">
        <v>30500</v>
      </c>
      <c r="Z660" s="9">
        <v>21000</v>
      </c>
      <c r="AA660" s="9">
        <v>28750</v>
      </c>
      <c r="AB660">
        <v>0.81578947368421051</v>
      </c>
      <c r="AC660" s="11">
        <v>137.29786051681026</v>
      </c>
      <c r="AD660" s="9">
        <v>21231.581920903955</v>
      </c>
      <c r="AE660" s="8">
        <v>0.25272331154684097</v>
      </c>
    </row>
    <row r="661" spans="1:31" x14ac:dyDescent="0.35">
      <c r="A661" s="6" t="s">
        <v>682</v>
      </c>
      <c r="B661" s="7">
        <v>1</v>
      </c>
      <c r="C661" s="7">
        <v>6</v>
      </c>
      <c r="D661" s="7">
        <v>0</v>
      </c>
      <c r="E661" s="7">
        <v>11</v>
      </c>
      <c r="F661">
        <v>732</v>
      </c>
      <c r="G661">
        <v>-18</v>
      </c>
      <c r="H661">
        <v>-2.5</v>
      </c>
      <c r="I661">
        <v>-109</v>
      </c>
      <c r="J661">
        <v>-14.96</v>
      </c>
      <c r="K661">
        <v>1343</v>
      </c>
      <c r="L661">
        <v>787</v>
      </c>
      <c r="M661">
        <v>556</v>
      </c>
      <c r="N661">
        <v>168.87</v>
      </c>
      <c r="O661">
        <v>-18.7</v>
      </c>
      <c r="P661">
        <v>0</v>
      </c>
      <c r="Q661">
        <v>1.69</v>
      </c>
      <c r="R661">
        <v>1.08</v>
      </c>
      <c r="S661">
        <v>-589</v>
      </c>
      <c r="T661">
        <v>2534</v>
      </c>
      <c r="U661">
        <v>3937</v>
      </c>
      <c r="V661">
        <v>-3</v>
      </c>
      <c r="W661">
        <v>-357.64</v>
      </c>
      <c r="X661" s="10">
        <v>0.33648958775177817</v>
      </c>
      <c r="Y661" s="9">
        <v>5690</v>
      </c>
      <c r="Z661" s="9">
        <v>4270</v>
      </c>
      <c r="AA661" s="9">
        <v>5340</v>
      </c>
      <c r="AB661">
        <v>0.75352112676056338</v>
      </c>
      <c r="AC661" s="11">
        <v>10.021255904417893</v>
      </c>
      <c r="AD661" s="9">
        <v>4534.6016949152545</v>
      </c>
      <c r="AE661" s="8">
        <v>0.25058548009367682</v>
      </c>
    </row>
    <row r="662" spans="1:31" x14ac:dyDescent="0.35">
      <c r="A662" s="6" t="s">
        <v>683</v>
      </c>
      <c r="B662" s="7">
        <v>8</v>
      </c>
      <c r="C662" s="7">
        <v>4</v>
      </c>
      <c r="D662" s="7">
        <v>4</v>
      </c>
      <c r="E662" s="7">
        <v>2</v>
      </c>
      <c r="F662">
        <v>1690</v>
      </c>
      <c r="G662">
        <v>126</v>
      </c>
      <c r="H662">
        <v>7.46</v>
      </c>
      <c r="I662">
        <v>90</v>
      </c>
      <c r="J662">
        <v>5.35</v>
      </c>
      <c r="K662">
        <v>1203</v>
      </c>
      <c r="L662">
        <v>283</v>
      </c>
      <c r="M662">
        <v>920</v>
      </c>
      <c r="N662">
        <v>1055.49</v>
      </c>
      <c r="O662">
        <v>14.57</v>
      </c>
      <c r="P662">
        <v>8.07</v>
      </c>
      <c r="Q662">
        <v>1.28</v>
      </c>
      <c r="R662">
        <v>0.43</v>
      </c>
      <c r="S662">
        <v>880</v>
      </c>
      <c r="T662">
        <v>5538</v>
      </c>
      <c r="U662">
        <v>16455</v>
      </c>
      <c r="V662">
        <v>193</v>
      </c>
      <c r="W662">
        <v>5.21</v>
      </c>
      <c r="X662" s="10">
        <v>0.25862150793737476</v>
      </c>
      <c r="Y662" s="9">
        <v>7080</v>
      </c>
      <c r="Z662" s="9">
        <v>6470</v>
      </c>
      <c r="AA662" s="9">
        <v>6830</v>
      </c>
      <c r="AB662">
        <v>0.5901639344262295</v>
      </c>
      <c r="AC662" s="11">
        <v>4.6382328424562367</v>
      </c>
      <c r="AD662" s="9">
        <v>6591.7005649717521</v>
      </c>
      <c r="AE662" s="8">
        <v>3.3282904689863842E-2</v>
      </c>
    </row>
    <row r="663" spans="1:31" x14ac:dyDescent="0.35">
      <c r="A663" s="6" t="s">
        <v>684</v>
      </c>
      <c r="B663" s="7">
        <v>5</v>
      </c>
      <c r="C663" s="7">
        <v>4</v>
      </c>
      <c r="D663" s="7">
        <v>3</v>
      </c>
      <c r="E663" s="7">
        <v>6</v>
      </c>
      <c r="F663">
        <v>114</v>
      </c>
      <c r="G663">
        <v>28</v>
      </c>
      <c r="H663">
        <v>24.3</v>
      </c>
      <c r="I663">
        <v>17</v>
      </c>
      <c r="J663">
        <v>15.28</v>
      </c>
      <c r="K663">
        <v>2570</v>
      </c>
      <c r="L663">
        <v>752</v>
      </c>
      <c r="M663">
        <v>1818</v>
      </c>
      <c r="N663">
        <v>402.05</v>
      </c>
      <c r="O663">
        <v>1.28</v>
      </c>
      <c r="P663">
        <v>114</v>
      </c>
      <c r="Q663">
        <v>1.49</v>
      </c>
      <c r="R663">
        <v>17.440000000000001</v>
      </c>
      <c r="S663">
        <v>65</v>
      </c>
      <c r="T663">
        <v>4958</v>
      </c>
      <c r="U663">
        <v>425</v>
      </c>
      <c r="V663">
        <v>49</v>
      </c>
      <c r="W663">
        <v>66.11</v>
      </c>
      <c r="X663" s="10">
        <v>0.88625897803590936</v>
      </c>
      <c r="Y663" s="9">
        <v>8480</v>
      </c>
      <c r="Z663" s="9">
        <v>6510</v>
      </c>
      <c r="AA663" s="9">
        <v>8360</v>
      </c>
      <c r="AB663">
        <v>0.93908629441624369</v>
      </c>
      <c r="AC663" s="11">
        <v>28.367879966657409</v>
      </c>
      <c r="AD663" s="9">
        <v>6461.4463276836159</v>
      </c>
      <c r="AE663" s="8">
        <v>0.24776119402985075</v>
      </c>
    </row>
    <row r="664" spans="1:31" x14ac:dyDescent="0.35">
      <c r="A664" s="6" t="s">
        <v>685</v>
      </c>
      <c r="B664" s="7">
        <v>7</v>
      </c>
      <c r="C664" s="7">
        <v>5</v>
      </c>
      <c r="D664" s="7">
        <v>3</v>
      </c>
      <c r="E664" s="7">
        <v>3</v>
      </c>
      <c r="F664">
        <v>4208</v>
      </c>
      <c r="G664">
        <v>255</v>
      </c>
      <c r="H664">
        <v>6.06</v>
      </c>
      <c r="I664">
        <v>235</v>
      </c>
      <c r="J664">
        <v>5.59</v>
      </c>
      <c r="K664">
        <v>2806</v>
      </c>
      <c r="L664">
        <v>1777</v>
      </c>
      <c r="M664">
        <v>1030</v>
      </c>
      <c r="N664">
        <v>665.01</v>
      </c>
      <c r="O664">
        <v>25.08</v>
      </c>
      <c r="P664">
        <v>8.98</v>
      </c>
      <c r="Q664">
        <v>2.09</v>
      </c>
      <c r="R664">
        <v>0.5</v>
      </c>
      <c r="S664">
        <v>871</v>
      </c>
      <c r="T664">
        <v>3737</v>
      </c>
      <c r="U664">
        <v>15603</v>
      </c>
      <c r="V664">
        <v>321</v>
      </c>
      <c r="W664">
        <v>9.7899999999999991</v>
      </c>
      <c r="X664" s="10">
        <v>0.14476361213854844</v>
      </c>
      <c r="Y664" s="9">
        <v>8630</v>
      </c>
      <c r="Z664" s="9">
        <v>7180</v>
      </c>
      <c r="AA664" s="9">
        <v>8100</v>
      </c>
      <c r="AB664">
        <v>0.6344827586206897</v>
      </c>
      <c r="AC664" s="11">
        <v>6.797443734370658</v>
      </c>
      <c r="AD664" s="9">
        <v>7733.0112994350284</v>
      </c>
      <c r="AE664" s="8">
        <v>1.3767209011264081E-2</v>
      </c>
    </row>
    <row r="665" spans="1:31" x14ac:dyDescent="0.35">
      <c r="A665" s="6" t="s">
        <v>686</v>
      </c>
      <c r="B665" s="7">
        <v>4</v>
      </c>
      <c r="C665" s="7">
        <v>1</v>
      </c>
      <c r="D665" s="7">
        <v>4</v>
      </c>
      <c r="E665" s="7">
        <v>9</v>
      </c>
      <c r="F665">
        <v>1349</v>
      </c>
      <c r="G665">
        <v>-9</v>
      </c>
      <c r="H665">
        <v>-0.63</v>
      </c>
      <c r="I665">
        <v>1</v>
      </c>
      <c r="J665">
        <v>7.0000000000000007E-2</v>
      </c>
      <c r="K665">
        <v>1375</v>
      </c>
      <c r="L665">
        <v>526</v>
      </c>
      <c r="M665">
        <v>849</v>
      </c>
      <c r="N665">
        <v>1574.69</v>
      </c>
      <c r="O665">
        <v>0.11</v>
      </c>
      <c r="P665">
        <v>740</v>
      </c>
      <c r="Q665">
        <v>0.9</v>
      </c>
      <c r="R665">
        <v>0.53</v>
      </c>
      <c r="S665">
        <v>20</v>
      </c>
      <c r="T665">
        <v>16462</v>
      </c>
      <c r="U665">
        <v>27673</v>
      </c>
      <c r="V665">
        <v>25</v>
      </c>
      <c r="W665">
        <v>34.799999999999997</v>
      </c>
      <c r="X665" s="10">
        <v>0.55577383083569154</v>
      </c>
      <c r="Y665" s="9">
        <v>17500</v>
      </c>
      <c r="Z665" s="9">
        <v>14450</v>
      </c>
      <c r="AA665" s="9">
        <v>16300</v>
      </c>
      <c r="AB665">
        <v>0.60655737704918034</v>
      </c>
      <c r="AC665" s="11">
        <v>29.567935537649348</v>
      </c>
      <c r="AD665" s="9">
        <v>15220.677966101695</v>
      </c>
      <c r="AE665" s="8">
        <v>9.0301003344481601E-2</v>
      </c>
    </row>
    <row r="666" spans="1:31" x14ac:dyDescent="0.35">
      <c r="A666" s="6" t="s">
        <v>687</v>
      </c>
      <c r="B666" s="7">
        <v>4</v>
      </c>
      <c r="C666" s="7">
        <v>3</v>
      </c>
      <c r="D666" s="7">
        <v>10</v>
      </c>
      <c r="E666" s="7">
        <v>1</v>
      </c>
      <c r="F666">
        <v>505</v>
      </c>
      <c r="G666">
        <v>16</v>
      </c>
      <c r="H666">
        <v>3.23</v>
      </c>
      <c r="I666">
        <v>19</v>
      </c>
      <c r="J666">
        <v>3.82</v>
      </c>
      <c r="K666">
        <v>832</v>
      </c>
      <c r="L666">
        <v>136</v>
      </c>
      <c r="M666">
        <v>696</v>
      </c>
      <c r="N666">
        <v>1556.64</v>
      </c>
      <c r="O666">
        <v>2.77</v>
      </c>
      <c r="P666">
        <v>21.7</v>
      </c>
      <c r="Q666">
        <v>0.6</v>
      </c>
      <c r="R666">
        <v>0.83</v>
      </c>
      <c r="S666">
        <v>229</v>
      </c>
      <c r="T666">
        <v>8218</v>
      </c>
      <c r="U666">
        <v>6010</v>
      </c>
      <c r="V666">
        <v>18</v>
      </c>
      <c r="W666">
        <v>23.59</v>
      </c>
      <c r="X666" s="10">
        <v>0.51968651074421235</v>
      </c>
      <c r="Y666" s="9">
        <v>8060</v>
      </c>
      <c r="Z666" s="9">
        <v>4535</v>
      </c>
      <c r="AA666" s="9">
        <v>5970</v>
      </c>
      <c r="AB666">
        <v>0.40709219858156026</v>
      </c>
      <c r="AC666" s="11">
        <v>28.351625451514312</v>
      </c>
      <c r="AD666" s="9">
        <v>4542.1920903954806</v>
      </c>
      <c r="AE666" s="8">
        <v>0.2012072434607646</v>
      </c>
    </row>
    <row r="667" spans="1:31" x14ac:dyDescent="0.35">
      <c r="A667" s="6" t="s">
        <v>688</v>
      </c>
      <c r="B667" s="7">
        <v>2</v>
      </c>
      <c r="C667" s="7">
        <v>13</v>
      </c>
      <c r="D667" s="7">
        <v>2</v>
      </c>
      <c r="E667" s="7">
        <v>1</v>
      </c>
      <c r="F667">
        <v>722</v>
      </c>
      <c r="G667">
        <v>54</v>
      </c>
      <c r="H667">
        <v>7.54</v>
      </c>
      <c r="I667">
        <v>64</v>
      </c>
      <c r="J667">
        <v>8.82</v>
      </c>
      <c r="K667">
        <v>6043</v>
      </c>
      <c r="L667">
        <v>2370</v>
      </c>
      <c r="M667">
        <v>3672</v>
      </c>
      <c r="N667">
        <v>1538.84</v>
      </c>
      <c r="O667">
        <v>1.8</v>
      </c>
      <c r="P667">
        <v>83.28</v>
      </c>
      <c r="Q667">
        <v>1.5</v>
      </c>
      <c r="R667">
        <v>7.34</v>
      </c>
      <c r="S667">
        <v>1459</v>
      </c>
      <c r="T667">
        <v>81134</v>
      </c>
      <c r="U667">
        <v>16543</v>
      </c>
      <c r="V667">
        <v>107</v>
      </c>
      <c r="W667">
        <v>62.35</v>
      </c>
      <c r="X667" s="10">
        <v>0.62973236412021394</v>
      </c>
      <c r="Y667" s="9">
        <v>171000</v>
      </c>
      <c r="Z667" s="9">
        <v>105500</v>
      </c>
      <c r="AA667" s="9">
        <v>171000</v>
      </c>
      <c r="AB667">
        <v>1</v>
      </c>
      <c r="AC667" s="11">
        <v>752.22283967768828</v>
      </c>
      <c r="AD667" s="9">
        <v>103582.20338983051</v>
      </c>
      <c r="AE667" s="8">
        <v>0.40163934426229508</v>
      </c>
    </row>
    <row r="668" spans="1:31" x14ac:dyDescent="0.35">
      <c r="A668" s="6" t="s">
        <v>689</v>
      </c>
      <c r="B668" s="7">
        <v>6</v>
      </c>
      <c r="C668" s="7">
        <v>1</v>
      </c>
      <c r="D668" s="7">
        <v>9</v>
      </c>
      <c r="E668" s="7">
        <v>2</v>
      </c>
      <c r="F668">
        <v>740</v>
      </c>
      <c r="G668">
        <v>43</v>
      </c>
      <c r="H668">
        <v>5.83</v>
      </c>
      <c r="I668">
        <v>32</v>
      </c>
      <c r="J668">
        <v>4.3</v>
      </c>
      <c r="K668">
        <v>1062</v>
      </c>
      <c r="L668">
        <v>313</v>
      </c>
      <c r="M668">
        <v>750</v>
      </c>
      <c r="N668">
        <v>1025.04</v>
      </c>
      <c r="O668">
        <v>5.83</v>
      </c>
      <c r="P668">
        <v>17.61</v>
      </c>
      <c r="Q668">
        <v>1.08</v>
      </c>
      <c r="R668">
        <v>0.76</v>
      </c>
      <c r="S668">
        <v>343</v>
      </c>
      <c r="T668">
        <v>5593</v>
      </c>
      <c r="U668">
        <v>7971</v>
      </c>
      <c r="V668">
        <v>83</v>
      </c>
      <c r="W668">
        <v>9.85</v>
      </c>
      <c r="X668" s="10">
        <v>0.20790881893918647</v>
      </c>
      <c r="Y668" s="9">
        <v>4740</v>
      </c>
      <c r="Z668" s="9">
        <v>4125</v>
      </c>
      <c r="AA668" s="9">
        <v>4505</v>
      </c>
      <c r="AB668">
        <v>0.61788617886178865</v>
      </c>
      <c r="AC668" s="11">
        <v>3.8388441233676023</v>
      </c>
      <c r="AD668" s="9">
        <v>4284.7485875706216</v>
      </c>
      <c r="AE668" s="8">
        <v>7.9041916167664678E-2</v>
      </c>
    </row>
    <row r="669" spans="1:31" x14ac:dyDescent="0.35">
      <c r="A669" s="6" t="s">
        <v>690</v>
      </c>
      <c r="B669" s="7">
        <v>9</v>
      </c>
      <c r="C669" s="7">
        <v>6</v>
      </c>
      <c r="D669" s="7">
        <v>3</v>
      </c>
      <c r="E669" s="7">
        <v>0</v>
      </c>
      <c r="F669">
        <v>5681</v>
      </c>
      <c r="G669">
        <v>482</v>
      </c>
      <c r="H669">
        <v>8.48</v>
      </c>
      <c r="I669">
        <v>343</v>
      </c>
      <c r="J669">
        <v>6.04</v>
      </c>
      <c r="K669">
        <v>10780</v>
      </c>
      <c r="L669">
        <v>5911</v>
      </c>
      <c r="M669">
        <v>4868</v>
      </c>
      <c r="N669">
        <v>1165.75</v>
      </c>
      <c r="O669">
        <v>7.4</v>
      </c>
      <c r="P669">
        <v>20.149999999999999</v>
      </c>
      <c r="Q669">
        <v>1.49</v>
      </c>
      <c r="R669">
        <v>1.22</v>
      </c>
      <c r="S669">
        <v>4551</v>
      </c>
      <c r="T669">
        <v>61716</v>
      </c>
      <c r="U669">
        <v>75400</v>
      </c>
      <c r="V669">
        <v>726</v>
      </c>
      <c r="W669">
        <v>11.86</v>
      </c>
      <c r="X669" s="10">
        <v>0.74223021605493789</v>
      </c>
      <c r="Y669" s="9">
        <v>113500</v>
      </c>
      <c r="Z669" s="9">
        <v>82200</v>
      </c>
      <c r="AA669" s="9">
        <v>113500</v>
      </c>
      <c r="AB669">
        <v>1</v>
      </c>
      <c r="AC669" s="11">
        <v>330.03612114476243</v>
      </c>
      <c r="AD669" s="9">
        <v>81873.898305084746</v>
      </c>
      <c r="AE669" s="8">
        <v>0.24588364434687157</v>
      </c>
    </row>
    <row r="670" spans="1:31" x14ac:dyDescent="0.35">
      <c r="A670" s="6" t="s">
        <v>691</v>
      </c>
      <c r="B670" s="7">
        <v>11</v>
      </c>
      <c r="C670" s="7">
        <v>0</v>
      </c>
      <c r="D670" s="7">
        <v>4</v>
      </c>
      <c r="E670" s="7">
        <v>3</v>
      </c>
      <c r="F670">
        <v>562</v>
      </c>
      <c r="G670">
        <v>74</v>
      </c>
      <c r="H670">
        <v>13.1</v>
      </c>
      <c r="I670">
        <v>59</v>
      </c>
      <c r="J670">
        <v>10.57</v>
      </c>
      <c r="K670">
        <v>990</v>
      </c>
      <c r="L670">
        <v>371</v>
      </c>
      <c r="M670">
        <v>620</v>
      </c>
      <c r="N670">
        <v>1393.78</v>
      </c>
      <c r="O670">
        <v>13.31</v>
      </c>
      <c r="P670">
        <v>8.11</v>
      </c>
      <c r="Q670">
        <v>1.07</v>
      </c>
      <c r="R670">
        <v>0.86</v>
      </c>
      <c r="S670">
        <v>960</v>
      </c>
      <c r="T670">
        <v>7298</v>
      </c>
      <c r="U670">
        <v>9081</v>
      </c>
      <c r="V670">
        <v>100</v>
      </c>
      <c r="W670">
        <v>6.59</v>
      </c>
      <c r="X670" s="10">
        <v>0.85757437207247533</v>
      </c>
      <c r="Y670" s="9">
        <v>20000</v>
      </c>
      <c r="Z670" s="9">
        <v>8130</v>
      </c>
      <c r="AA670" s="9">
        <v>19050</v>
      </c>
      <c r="AB670">
        <v>0.91996630160067394</v>
      </c>
      <c r="AC670" s="11">
        <v>239.572103362045</v>
      </c>
      <c r="AD670" s="9">
        <v>7049.7175141242933</v>
      </c>
      <c r="AE670" s="8">
        <v>1.2651605231866825</v>
      </c>
    </row>
    <row r="671" spans="1:31" x14ac:dyDescent="0.35">
      <c r="A671" s="6" t="s">
        <v>692</v>
      </c>
      <c r="B671" s="7">
        <v>1</v>
      </c>
      <c r="C671" s="7">
        <v>1</v>
      </c>
      <c r="D671" s="7">
        <v>2</v>
      </c>
      <c r="E671" s="7">
        <v>14</v>
      </c>
      <c r="F671">
        <v>4594</v>
      </c>
      <c r="G671">
        <v>-221</v>
      </c>
      <c r="H671">
        <v>-4.8</v>
      </c>
      <c r="I671">
        <v>-896</v>
      </c>
      <c r="J671">
        <v>-19.510000000000002</v>
      </c>
      <c r="K671">
        <v>5746</v>
      </c>
      <c r="L671">
        <v>4744</v>
      </c>
      <c r="M671">
        <v>1002</v>
      </c>
      <c r="N671">
        <v>247.46</v>
      </c>
      <c r="O671">
        <v>-61.28</v>
      </c>
      <c r="P671">
        <v>0</v>
      </c>
      <c r="Q671">
        <v>2.8</v>
      </c>
      <c r="R671">
        <v>0.39</v>
      </c>
      <c r="S671">
        <v>-1471</v>
      </c>
      <c r="T671">
        <v>1057</v>
      </c>
      <c r="U671">
        <v>7542</v>
      </c>
      <c r="V671">
        <v>-125</v>
      </c>
      <c r="W671">
        <v>-46.38</v>
      </c>
      <c r="X671" s="10">
        <v>0.17880815658905952</v>
      </c>
      <c r="Y671" s="9">
        <v>3280</v>
      </c>
      <c r="Z671" s="9">
        <v>2630</v>
      </c>
      <c r="AA671" s="9">
        <v>2745</v>
      </c>
      <c r="AB671">
        <v>0.17692307692307693</v>
      </c>
      <c r="AC671" s="11">
        <v>-3.8648235621005833</v>
      </c>
      <c r="AD671" s="9">
        <v>3145.4604519774011</v>
      </c>
      <c r="AE671" s="8">
        <v>-7.1065989847715741E-2</v>
      </c>
    </row>
    <row r="672" spans="1:31" x14ac:dyDescent="0.35">
      <c r="A672" s="6" t="s">
        <v>693</v>
      </c>
      <c r="B672" s="7">
        <v>3</v>
      </c>
      <c r="C672" s="7">
        <v>8</v>
      </c>
      <c r="D672" s="7">
        <v>3</v>
      </c>
      <c r="E672" s="7">
        <v>4</v>
      </c>
      <c r="F672">
        <v>2879</v>
      </c>
      <c r="G672">
        <v>25</v>
      </c>
      <c r="H672">
        <v>0.88</v>
      </c>
      <c r="I672">
        <v>38</v>
      </c>
      <c r="J672">
        <v>1.32</v>
      </c>
      <c r="K672">
        <v>2272</v>
      </c>
      <c r="L672">
        <v>899</v>
      </c>
      <c r="M672">
        <v>1373</v>
      </c>
      <c r="N672">
        <v>2340.39</v>
      </c>
      <c r="O672">
        <v>2.8</v>
      </c>
      <c r="P672">
        <v>22.52</v>
      </c>
      <c r="Q672">
        <v>0.64</v>
      </c>
      <c r="R672">
        <v>0.3</v>
      </c>
      <c r="S672">
        <v>337</v>
      </c>
      <c r="T672">
        <v>11835</v>
      </c>
      <c r="U672">
        <v>25478</v>
      </c>
      <c r="V672">
        <v>155</v>
      </c>
      <c r="W672">
        <v>5.64</v>
      </c>
      <c r="X672" s="10">
        <v>0.83648890292157119</v>
      </c>
      <c r="Y672" s="9">
        <v>8820</v>
      </c>
      <c r="Z672" s="9">
        <v>7180</v>
      </c>
      <c r="AA672" s="9">
        <v>8650</v>
      </c>
      <c r="AB672">
        <v>0.89634146341463417</v>
      </c>
      <c r="AC672" s="11">
        <v>32.62211725479299</v>
      </c>
      <c r="AD672" s="9">
        <v>7006.8587570621467</v>
      </c>
      <c r="AE672" s="8">
        <v>0.14266842800528401</v>
      </c>
    </row>
    <row r="673" spans="1:31" x14ac:dyDescent="0.35">
      <c r="A673" s="6" t="s">
        <v>694</v>
      </c>
      <c r="B673" s="7">
        <v>6</v>
      </c>
      <c r="C673" s="7">
        <v>1</v>
      </c>
      <c r="D673" s="7">
        <v>7</v>
      </c>
      <c r="E673" s="7">
        <v>4</v>
      </c>
      <c r="F673">
        <v>4384</v>
      </c>
      <c r="G673">
        <v>259</v>
      </c>
      <c r="H673">
        <v>5.92</v>
      </c>
      <c r="I673">
        <v>235</v>
      </c>
      <c r="J673">
        <v>5.35</v>
      </c>
      <c r="K673">
        <v>6183</v>
      </c>
      <c r="L673">
        <v>852</v>
      </c>
      <c r="M673">
        <v>5331</v>
      </c>
      <c r="N673">
        <v>4472</v>
      </c>
      <c r="O673">
        <v>4.5</v>
      </c>
      <c r="P673">
        <v>16.920000000000002</v>
      </c>
      <c r="Q673">
        <v>0.85</v>
      </c>
      <c r="R673">
        <v>0.9</v>
      </c>
      <c r="S673">
        <v>1132</v>
      </c>
      <c r="T673">
        <v>22420</v>
      </c>
      <c r="U673">
        <v>21163</v>
      </c>
      <c r="V673">
        <v>403</v>
      </c>
      <c r="W673">
        <v>11.27</v>
      </c>
      <c r="X673" s="10">
        <v>0.62901770625252074</v>
      </c>
      <c r="Y673" s="9">
        <v>22000</v>
      </c>
      <c r="Z673" s="9">
        <v>18050</v>
      </c>
      <c r="AA673" s="9">
        <v>22000</v>
      </c>
      <c r="AB673">
        <v>1</v>
      </c>
      <c r="AC673" s="11">
        <v>50.983606557377044</v>
      </c>
      <c r="AD673" s="9">
        <v>18016.666666666668</v>
      </c>
      <c r="AE673" s="8">
        <v>0.15485564304461943</v>
      </c>
    </row>
    <row r="674" spans="1:31" x14ac:dyDescent="0.35">
      <c r="A674" s="6" t="s">
        <v>695</v>
      </c>
      <c r="B674" s="7">
        <v>12</v>
      </c>
      <c r="C674" s="7">
        <v>2</v>
      </c>
      <c r="D674" s="7">
        <v>2</v>
      </c>
      <c r="E674" s="7">
        <v>2</v>
      </c>
      <c r="F674">
        <v>1291</v>
      </c>
      <c r="G674">
        <v>119</v>
      </c>
      <c r="H674">
        <v>9.25</v>
      </c>
      <c r="I674">
        <v>130</v>
      </c>
      <c r="J674">
        <v>10.050000000000001</v>
      </c>
      <c r="K674">
        <v>1068</v>
      </c>
      <c r="L674">
        <v>402</v>
      </c>
      <c r="M674">
        <v>666</v>
      </c>
      <c r="N674">
        <v>742.92</v>
      </c>
      <c r="O674">
        <v>21.19</v>
      </c>
      <c r="P674">
        <v>6.66</v>
      </c>
      <c r="Q674">
        <v>1.3</v>
      </c>
      <c r="R674">
        <v>0.67</v>
      </c>
      <c r="S674">
        <v>821</v>
      </c>
      <c r="T674">
        <v>4203</v>
      </c>
      <c r="U674">
        <v>8173</v>
      </c>
      <c r="V674">
        <v>141</v>
      </c>
      <c r="W674">
        <v>7.3</v>
      </c>
      <c r="X674" s="10">
        <v>0.51956673376861273</v>
      </c>
      <c r="Y674" s="9">
        <v>6660</v>
      </c>
      <c r="Z674" s="9">
        <v>5120</v>
      </c>
      <c r="AA674" s="9">
        <v>6590</v>
      </c>
      <c r="AB674">
        <v>0.95454545454545459</v>
      </c>
      <c r="AC674" s="11">
        <v>14.24284523478744</v>
      </c>
      <c r="AD674" s="9">
        <v>5192.2598870056499</v>
      </c>
      <c r="AE674" s="8">
        <v>0.20695970695970695</v>
      </c>
    </row>
    <row r="675" spans="1:31" x14ac:dyDescent="0.35">
      <c r="A675" s="6" t="s">
        <v>696</v>
      </c>
      <c r="B675" s="7">
        <v>0</v>
      </c>
      <c r="C675" s="7">
        <v>14</v>
      </c>
      <c r="D675" s="7">
        <v>1</v>
      </c>
      <c r="E675" s="7">
        <v>3</v>
      </c>
      <c r="F675">
        <v>2182</v>
      </c>
      <c r="G675">
        <v>85</v>
      </c>
      <c r="H675">
        <v>3.88</v>
      </c>
      <c r="I675">
        <v>7334</v>
      </c>
      <c r="J675">
        <v>336.16</v>
      </c>
      <c r="K675">
        <v>10660</v>
      </c>
      <c r="L675">
        <v>5571</v>
      </c>
      <c r="M675">
        <v>5088</v>
      </c>
      <c r="N675">
        <v>375</v>
      </c>
      <c r="O675">
        <v>0</v>
      </c>
      <c r="P675">
        <v>0.17</v>
      </c>
      <c r="Q675">
        <v>0.47</v>
      </c>
      <c r="R675">
        <v>0.6</v>
      </c>
      <c r="S675">
        <v>5720</v>
      </c>
      <c r="T675">
        <v>2100</v>
      </c>
      <c r="U675">
        <v>1647</v>
      </c>
      <c r="V675">
        <v>187</v>
      </c>
      <c r="W675">
        <v>18.850000000000001</v>
      </c>
      <c r="X675" s="10">
        <v>0.73900881575652266</v>
      </c>
      <c r="Y675" s="9">
        <v>1490</v>
      </c>
      <c r="Z675" s="9">
        <v>888</v>
      </c>
      <c r="AA675" s="9">
        <v>1340</v>
      </c>
      <c r="AB675">
        <v>0.75083056478405319</v>
      </c>
      <c r="AC675" s="11">
        <v>9.3998610725201424</v>
      </c>
      <c r="AD675" s="9">
        <v>836.88757062146897</v>
      </c>
      <c r="AE675" s="8">
        <v>0.50900900900900903</v>
      </c>
    </row>
    <row r="676" spans="1:31" x14ac:dyDescent="0.35">
      <c r="A676" s="6" t="s">
        <v>697</v>
      </c>
      <c r="B676" s="7">
        <v>0</v>
      </c>
      <c r="C676" s="7">
        <v>0</v>
      </c>
      <c r="D676" s="7">
        <v>0</v>
      </c>
      <c r="E676" s="7">
        <v>18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 s="10">
        <v>0.70572453104083011</v>
      </c>
      <c r="Y676" s="9">
        <v>12500</v>
      </c>
      <c r="Z676" s="9">
        <v>5900</v>
      </c>
      <c r="AA676" s="9">
        <v>8480</v>
      </c>
      <c r="AB676">
        <v>0.39090909090909093</v>
      </c>
      <c r="AC676" s="11">
        <v>83.672131147540981</v>
      </c>
      <c r="AD676" s="9">
        <v>5372.333333333333</v>
      </c>
      <c r="AE676" s="8">
        <v>0.36995153473344106</v>
      </c>
    </row>
    <row r="677" spans="1:31" x14ac:dyDescent="0.35">
      <c r="A677" s="6" t="s">
        <v>698</v>
      </c>
      <c r="B677" s="7">
        <v>0</v>
      </c>
      <c r="C677" s="7">
        <v>0</v>
      </c>
      <c r="D677" s="7">
        <v>0</v>
      </c>
      <c r="E677" s="7">
        <v>18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 s="10">
        <v>0.75672519742470123</v>
      </c>
      <c r="Y677" s="9">
        <v>17350</v>
      </c>
      <c r="Z677" s="9">
        <v>7910</v>
      </c>
      <c r="AA677" s="9">
        <v>14000</v>
      </c>
      <c r="AB677">
        <v>0.6451271186440678</v>
      </c>
      <c r="AC677" s="11">
        <v>145.05890525145873</v>
      </c>
      <c r="AD677" s="9">
        <v>7005.203389830509</v>
      </c>
      <c r="AE677" s="8">
        <v>0.76991150442477874</v>
      </c>
    </row>
    <row r="678" spans="1:31" x14ac:dyDescent="0.35">
      <c r="A678" s="6" t="s">
        <v>699</v>
      </c>
      <c r="B678" s="7">
        <v>5</v>
      </c>
      <c r="C678" s="7">
        <v>3</v>
      </c>
      <c r="D678" s="7">
        <v>9</v>
      </c>
      <c r="E678" s="7">
        <v>1</v>
      </c>
      <c r="F678">
        <v>2463</v>
      </c>
      <c r="G678">
        <v>127</v>
      </c>
      <c r="H678">
        <v>5.17</v>
      </c>
      <c r="I678">
        <v>64</v>
      </c>
      <c r="J678">
        <v>2.59</v>
      </c>
      <c r="K678">
        <v>3410</v>
      </c>
      <c r="L678">
        <v>1986</v>
      </c>
      <c r="M678">
        <v>1424</v>
      </c>
      <c r="N678">
        <v>395.78</v>
      </c>
      <c r="O678">
        <v>4.49</v>
      </c>
      <c r="P678">
        <v>26.96</v>
      </c>
      <c r="Q678">
        <v>1.25</v>
      </c>
      <c r="R678">
        <v>0.7</v>
      </c>
      <c r="S678">
        <v>112</v>
      </c>
      <c r="T678">
        <v>2424</v>
      </c>
      <c r="U678">
        <v>4316</v>
      </c>
      <c r="V678">
        <v>265</v>
      </c>
      <c r="W678">
        <v>12.63</v>
      </c>
      <c r="X678" s="10">
        <v>0.77764090340580749</v>
      </c>
      <c r="Y678" s="9">
        <v>5680</v>
      </c>
      <c r="Z678" s="9">
        <v>2930</v>
      </c>
      <c r="AA678" s="9">
        <v>5600</v>
      </c>
      <c r="AB678">
        <v>0.97090909090909094</v>
      </c>
      <c r="AC678" s="11">
        <v>41.379133092525699</v>
      </c>
      <c r="AD678" s="9">
        <v>3343.1864406779659</v>
      </c>
      <c r="AE678" s="8">
        <v>0.9112627986348123</v>
      </c>
    </row>
    <row r="679" spans="1:31" x14ac:dyDescent="0.35">
      <c r="A679" s="6" t="s">
        <v>700</v>
      </c>
      <c r="B679" s="7">
        <v>14</v>
      </c>
      <c r="C679" s="7">
        <v>3</v>
      </c>
      <c r="D679" s="7">
        <v>1</v>
      </c>
      <c r="E679" s="7">
        <v>0</v>
      </c>
      <c r="F679">
        <v>1363</v>
      </c>
      <c r="G679">
        <v>211</v>
      </c>
      <c r="H679">
        <v>15.48</v>
      </c>
      <c r="I679">
        <v>116</v>
      </c>
      <c r="J679">
        <v>8.5</v>
      </c>
      <c r="K679">
        <v>2199</v>
      </c>
      <c r="L679">
        <v>986</v>
      </c>
      <c r="M679">
        <v>1213</v>
      </c>
      <c r="N679">
        <v>814.92</v>
      </c>
      <c r="O679">
        <v>9.9</v>
      </c>
      <c r="P679">
        <v>7.88</v>
      </c>
      <c r="Q679">
        <v>0.84</v>
      </c>
      <c r="R679">
        <v>0.67</v>
      </c>
      <c r="S679">
        <v>4366</v>
      </c>
      <c r="T679">
        <v>41087</v>
      </c>
      <c r="U679">
        <v>51395</v>
      </c>
      <c r="V679">
        <v>274</v>
      </c>
      <c r="W679">
        <v>5.05</v>
      </c>
      <c r="X679" s="10">
        <v>0.13011721829861883</v>
      </c>
      <c r="Y679" s="9">
        <v>41350</v>
      </c>
      <c r="Z679" s="9">
        <v>33500</v>
      </c>
      <c r="AA679" s="9">
        <v>36700</v>
      </c>
      <c r="AB679">
        <v>0.40764331210191085</v>
      </c>
      <c r="AC679" s="11">
        <v>40.99611003056404</v>
      </c>
      <c r="AD679" s="9">
        <v>36143.785310734464</v>
      </c>
      <c r="AE679" s="8">
        <v>6.6860465116279064E-2</v>
      </c>
    </row>
    <row r="680" spans="1:31" x14ac:dyDescent="0.35">
      <c r="A680" s="6" t="s">
        <v>701</v>
      </c>
      <c r="B680" s="7">
        <v>1</v>
      </c>
      <c r="C680" s="7">
        <v>12</v>
      </c>
      <c r="D680" s="7">
        <v>3</v>
      </c>
      <c r="E680" s="7">
        <v>2</v>
      </c>
      <c r="F680">
        <v>1135</v>
      </c>
      <c r="G680">
        <v>28</v>
      </c>
      <c r="H680">
        <v>2.4900000000000002</v>
      </c>
      <c r="I680">
        <v>1445</v>
      </c>
      <c r="J680">
        <v>127.3</v>
      </c>
      <c r="K680">
        <v>1165</v>
      </c>
      <c r="L680">
        <v>792</v>
      </c>
      <c r="M680">
        <v>373</v>
      </c>
      <c r="N680">
        <v>138.21</v>
      </c>
      <c r="O680">
        <v>0</v>
      </c>
      <c r="P680">
        <v>0.12</v>
      </c>
      <c r="Q680">
        <v>0.61</v>
      </c>
      <c r="R680">
        <v>0.15</v>
      </c>
      <c r="S680">
        <v>5581</v>
      </c>
      <c r="T680">
        <v>1086</v>
      </c>
      <c r="U680">
        <v>4384</v>
      </c>
      <c r="V680">
        <v>62</v>
      </c>
      <c r="W680">
        <v>7.85</v>
      </c>
      <c r="X680" s="10">
        <v>0.75028947433656601</v>
      </c>
      <c r="Y680" s="9">
        <v>1190</v>
      </c>
      <c r="Z680" s="9">
        <v>646</v>
      </c>
      <c r="AA680" s="9">
        <v>1000</v>
      </c>
      <c r="AB680">
        <v>0.65073529411764708</v>
      </c>
      <c r="AC680" s="11">
        <v>7.9725757154765216</v>
      </c>
      <c r="AD680" s="9">
        <v>686.01977401129943</v>
      </c>
      <c r="AE680" s="8">
        <v>0.54798761609907121</v>
      </c>
    </row>
    <row r="681" spans="1:31" x14ac:dyDescent="0.35">
      <c r="A681" s="6" t="s">
        <v>702</v>
      </c>
      <c r="B681" s="7">
        <v>2</v>
      </c>
      <c r="C681" s="7">
        <v>1</v>
      </c>
      <c r="D681" s="7">
        <v>5</v>
      </c>
      <c r="E681" s="7">
        <v>10</v>
      </c>
      <c r="F681">
        <v>3423</v>
      </c>
      <c r="G681">
        <v>55</v>
      </c>
      <c r="H681">
        <v>1.61</v>
      </c>
      <c r="I681">
        <v>-55</v>
      </c>
      <c r="J681">
        <v>-1.61</v>
      </c>
      <c r="K681">
        <v>3741</v>
      </c>
      <c r="L681">
        <v>2176</v>
      </c>
      <c r="M681">
        <v>1565</v>
      </c>
      <c r="N681">
        <v>378.55</v>
      </c>
      <c r="O681">
        <v>-3.43</v>
      </c>
      <c r="P681">
        <v>0</v>
      </c>
      <c r="Q681">
        <v>0.33</v>
      </c>
      <c r="R681">
        <v>0.15</v>
      </c>
      <c r="S681">
        <v>-841</v>
      </c>
      <c r="T681">
        <v>23107</v>
      </c>
      <c r="U681">
        <v>52351</v>
      </c>
      <c r="V681">
        <v>140</v>
      </c>
      <c r="W681">
        <v>10.9</v>
      </c>
      <c r="X681" s="10">
        <v>0.54434023252783759</v>
      </c>
      <c r="Y681" s="9">
        <v>8000</v>
      </c>
      <c r="Z681" s="9">
        <v>7360</v>
      </c>
      <c r="AA681" s="9">
        <v>8000</v>
      </c>
      <c r="AB681">
        <v>1</v>
      </c>
      <c r="AC681" s="11">
        <v>7.6851903306474023</v>
      </c>
      <c r="AD681" s="9">
        <v>7457.4350282485875</v>
      </c>
      <c r="AE681" s="8">
        <v>5.4018445322793152E-2</v>
      </c>
    </row>
    <row r="682" spans="1:31" x14ac:dyDescent="0.35">
      <c r="A682" s="6" t="s">
        <v>703</v>
      </c>
      <c r="B682" s="7">
        <v>2</v>
      </c>
      <c r="C682" s="7">
        <v>10</v>
      </c>
      <c r="D682" s="7">
        <v>3</v>
      </c>
      <c r="E682" s="7">
        <v>3</v>
      </c>
      <c r="F682">
        <v>42061</v>
      </c>
      <c r="G682">
        <v>1099</v>
      </c>
      <c r="H682">
        <v>2.61</v>
      </c>
      <c r="I682">
        <v>1583</v>
      </c>
      <c r="J682">
        <v>3.76</v>
      </c>
      <c r="K682">
        <v>203743</v>
      </c>
      <c r="L682">
        <v>186159</v>
      </c>
      <c r="M682">
        <v>17584</v>
      </c>
      <c r="N682">
        <v>238.23</v>
      </c>
      <c r="O682">
        <v>10.25</v>
      </c>
      <c r="P682">
        <v>7.02</v>
      </c>
      <c r="Q682">
        <v>0.66</v>
      </c>
      <c r="R682">
        <v>0.26</v>
      </c>
      <c r="S682">
        <v>1532</v>
      </c>
      <c r="T682">
        <v>16182</v>
      </c>
      <c r="U682">
        <v>40711</v>
      </c>
      <c r="V682">
        <v>0</v>
      </c>
      <c r="W682">
        <v>0</v>
      </c>
      <c r="X682" s="10">
        <v>0.54296987644717543</v>
      </c>
      <c r="Y682" s="9">
        <v>12600</v>
      </c>
      <c r="Z682" s="9">
        <v>10400</v>
      </c>
      <c r="AA682" s="9">
        <v>11450</v>
      </c>
      <c r="AB682">
        <v>0.47727272727272729</v>
      </c>
      <c r="AC682" s="11">
        <v>25.116699083078629</v>
      </c>
      <c r="AD682" s="9">
        <v>10584.774011299436</v>
      </c>
      <c r="AE682" s="8">
        <v>4.0909090909090909E-2</v>
      </c>
    </row>
    <row r="683" spans="1:31" x14ac:dyDescent="0.35">
      <c r="A683" s="6" t="s">
        <v>704</v>
      </c>
      <c r="B683" s="7">
        <v>0</v>
      </c>
      <c r="C683" s="7">
        <v>14</v>
      </c>
      <c r="D683" s="7">
        <v>3</v>
      </c>
      <c r="E683" s="7">
        <v>1</v>
      </c>
      <c r="F683">
        <v>5531</v>
      </c>
      <c r="G683">
        <v>549</v>
      </c>
      <c r="H683">
        <v>9.93</v>
      </c>
      <c r="I683">
        <v>3016</v>
      </c>
      <c r="J683">
        <v>54.53</v>
      </c>
      <c r="K683">
        <v>12448</v>
      </c>
      <c r="L683">
        <v>6673</v>
      </c>
      <c r="M683">
        <v>5775</v>
      </c>
      <c r="N683">
        <v>975.81</v>
      </c>
      <c r="O683">
        <v>70.17</v>
      </c>
      <c r="P683">
        <v>1.08</v>
      </c>
      <c r="Q683">
        <v>0.8</v>
      </c>
      <c r="R683">
        <v>0.59</v>
      </c>
      <c r="S683">
        <v>2809</v>
      </c>
      <c r="T683">
        <v>3772</v>
      </c>
      <c r="U683">
        <v>5152</v>
      </c>
      <c r="V683">
        <v>1182</v>
      </c>
      <c r="W683">
        <v>5.47</v>
      </c>
      <c r="X683" s="10">
        <v>0.89680514728169758</v>
      </c>
      <c r="Y683" s="9">
        <v>5620</v>
      </c>
      <c r="Z683" s="9">
        <v>3015</v>
      </c>
      <c r="AA683" s="9">
        <v>5560</v>
      </c>
      <c r="AB683">
        <v>0.97696737044145876</v>
      </c>
      <c r="AC683" s="11">
        <v>38.907474298416219</v>
      </c>
      <c r="AD683" s="9">
        <v>3075.1553672316386</v>
      </c>
      <c r="AE683" s="8">
        <v>0.84411276948590386</v>
      </c>
    </row>
    <row r="684" spans="1:31" x14ac:dyDescent="0.35">
      <c r="A684" s="6" t="s">
        <v>705</v>
      </c>
      <c r="B684" s="7">
        <v>2</v>
      </c>
      <c r="C684" s="7">
        <v>1</v>
      </c>
      <c r="D684" s="7">
        <v>13</v>
      </c>
      <c r="E684" s="7">
        <v>2</v>
      </c>
      <c r="F684">
        <v>1648</v>
      </c>
      <c r="G684">
        <v>11</v>
      </c>
      <c r="H684">
        <v>0.65</v>
      </c>
      <c r="I684">
        <v>-42</v>
      </c>
      <c r="J684">
        <v>-2.5499999999999998</v>
      </c>
      <c r="K684">
        <v>999</v>
      </c>
      <c r="L684">
        <v>526</v>
      </c>
      <c r="M684">
        <v>473</v>
      </c>
      <c r="N684">
        <v>851.71</v>
      </c>
      <c r="O684">
        <v>-8.7100000000000009</v>
      </c>
      <c r="P684">
        <v>0</v>
      </c>
      <c r="Q684">
        <v>0.45</v>
      </c>
      <c r="R684">
        <v>0.12</v>
      </c>
      <c r="S684">
        <v>-425</v>
      </c>
      <c r="T684">
        <v>4621</v>
      </c>
      <c r="U684">
        <v>16650</v>
      </c>
      <c r="V684">
        <v>17</v>
      </c>
      <c r="W684">
        <v>30.1</v>
      </c>
      <c r="X684" s="10">
        <v>0.77623218662888527</v>
      </c>
      <c r="Y684" s="9">
        <v>2580</v>
      </c>
      <c r="Z684" s="9">
        <v>1995</v>
      </c>
      <c r="AA684" s="9">
        <v>2510</v>
      </c>
      <c r="AB684">
        <v>0.88034188034188032</v>
      </c>
      <c r="AC684" s="11">
        <v>9.3764934704084446</v>
      </c>
      <c r="AD684" s="9">
        <v>1904.6836158192091</v>
      </c>
      <c r="AE684" s="8">
        <v>0.22141119221411193</v>
      </c>
    </row>
    <row r="685" spans="1:31" x14ac:dyDescent="0.35">
      <c r="A685" s="6" t="s">
        <v>706</v>
      </c>
      <c r="B685" s="7">
        <v>0</v>
      </c>
      <c r="C685" s="7">
        <v>0</v>
      </c>
      <c r="D685" s="7">
        <v>0</v>
      </c>
      <c r="E685" s="7">
        <v>18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 s="10">
        <v>0.61549743185584227</v>
      </c>
      <c r="Y685" s="9">
        <v>5140</v>
      </c>
      <c r="Z685" s="9">
        <v>2905</v>
      </c>
      <c r="AA685" s="9">
        <v>4000</v>
      </c>
      <c r="AB685">
        <v>0.48993288590604028</v>
      </c>
      <c r="AC685" s="11">
        <v>31.38635732147819</v>
      </c>
      <c r="AD685" s="9">
        <v>2851.9661016949153</v>
      </c>
      <c r="AE685" s="8">
        <v>0.31362889983579639</v>
      </c>
    </row>
    <row r="686" spans="1:31" x14ac:dyDescent="0.35">
      <c r="A686" s="6" t="s">
        <v>707</v>
      </c>
      <c r="B686" s="7">
        <v>3</v>
      </c>
      <c r="C686" s="7">
        <v>0</v>
      </c>
      <c r="D686" s="7">
        <v>13</v>
      </c>
      <c r="E686" s="7">
        <v>2</v>
      </c>
      <c r="F686">
        <v>3698</v>
      </c>
      <c r="G686">
        <v>184</v>
      </c>
      <c r="H686">
        <v>4.97</v>
      </c>
      <c r="I686">
        <v>158</v>
      </c>
      <c r="J686">
        <v>4.28</v>
      </c>
      <c r="K686">
        <v>2130</v>
      </c>
      <c r="L686">
        <v>530</v>
      </c>
      <c r="M686">
        <v>1601</v>
      </c>
      <c r="N686">
        <v>4028.45</v>
      </c>
      <c r="O686">
        <v>10.31</v>
      </c>
      <c r="P686">
        <v>5.25</v>
      </c>
      <c r="Q686">
        <v>0.54</v>
      </c>
      <c r="R686">
        <v>0.22</v>
      </c>
      <c r="S686">
        <v>2067</v>
      </c>
      <c r="T686">
        <v>20079</v>
      </c>
      <c r="U686">
        <v>48274</v>
      </c>
      <c r="V686">
        <v>223</v>
      </c>
      <c r="W686">
        <v>3.83</v>
      </c>
      <c r="X686" s="10">
        <v>0.43026029515319775</v>
      </c>
      <c r="Y686" s="9">
        <v>14000</v>
      </c>
      <c r="Z686" s="9">
        <v>10850</v>
      </c>
      <c r="AA686" s="9">
        <v>13250</v>
      </c>
      <c r="AB686">
        <v>0.76190476190476186</v>
      </c>
      <c r="AC686" s="11">
        <v>24.748541261461519</v>
      </c>
      <c r="AD686" s="9">
        <v>12060.169491525423</v>
      </c>
      <c r="AE686" s="8">
        <v>0.16228070175438597</v>
      </c>
    </row>
    <row r="687" spans="1:31" x14ac:dyDescent="0.35">
      <c r="A687" s="6" t="s">
        <v>708</v>
      </c>
      <c r="B687" s="7">
        <v>0</v>
      </c>
      <c r="C687" s="7">
        <v>0</v>
      </c>
      <c r="D687" s="7">
        <v>3</v>
      </c>
      <c r="E687" s="7">
        <v>15</v>
      </c>
      <c r="F687">
        <v>1727</v>
      </c>
      <c r="G687">
        <v>-81</v>
      </c>
      <c r="H687">
        <v>-4.68</v>
      </c>
      <c r="I687">
        <v>-139</v>
      </c>
      <c r="J687">
        <v>-8.07</v>
      </c>
      <c r="K687">
        <v>1739</v>
      </c>
      <c r="L687">
        <v>838</v>
      </c>
      <c r="M687">
        <v>901</v>
      </c>
      <c r="N687">
        <v>121.24</v>
      </c>
      <c r="O687">
        <v>-14.32</v>
      </c>
      <c r="P687">
        <v>0</v>
      </c>
      <c r="Q687">
        <v>0.98</v>
      </c>
      <c r="R687">
        <v>0.51</v>
      </c>
      <c r="S687">
        <v>-171</v>
      </c>
      <c r="T687">
        <v>1098</v>
      </c>
      <c r="U687">
        <v>2120</v>
      </c>
      <c r="V687">
        <v>-13</v>
      </c>
      <c r="W687">
        <v>-100.39</v>
      </c>
      <c r="X687" s="10">
        <v>0.4200879116884409</v>
      </c>
      <c r="Y687" s="9">
        <v>1275</v>
      </c>
      <c r="Z687" s="9">
        <v>1065</v>
      </c>
      <c r="AA687" s="9">
        <v>1260</v>
      </c>
      <c r="AB687">
        <v>0.9285714285714286</v>
      </c>
      <c r="AC687" s="11">
        <v>2.2603500972492365</v>
      </c>
      <c r="AD687" s="9">
        <v>1116.8926553672316</v>
      </c>
      <c r="AE687" s="8">
        <v>0.16666666666666666</v>
      </c>
    </row>
    <row r="688" spans="1:31" x14ac:dyDescent="0.35">
      <c r="A688" s="6" t="s">
        <v>709</v>
      </c>
      <c r="B688" s="7">
        <v>2</v>
      </c>
      <c r="C688" s="7">
        <v>7</v>
      </c>
      <c r="D688" s="7">
        <v>6</v>
      </c>
      <c r="E688" s="7">
        <v>3</v>
      </c>
      <c r="F688">
        <v>528</v>
      </c>
      <c r="G688">
        <v>21</v>
      </c>
      <c r="H688">
        <v>4.07</v>
      </c>
      <c r="I688">
        <v>20</v>
      </c>
      <c r="J688">
        <v>3.85</v>
      </c>
      <c r="K688">
        <v>899</v>
      </c>
      <c r="L688">
        <v>351</v>
      </c>
      <c r="M688">
        <v>548</v>
      </c>
      <c r="N688">
        <v>1000.98</v>
      </c>
      <c r="O688">
        <v>5.01</v>
      </c>
      <c r="P688">
        <v>15.19</v>
      </c>
      <c r="Q688">
        <v>0.81</v>
      </c>
      <c r="R688">
        <v>0.59</v>
      </c>
      <c r="S688">
        <v>267</v>
      </c>
      <c r="T688">
        <v>5027</v>
      </c>
      <c r="U688">
        <v>6927</v>
      </c>
      <c r="V688">
        <v>29</v>
      </c>
      <c r="W688">
        <v>15.16</v>
      </c>
      <c r="X688" s="10">
        <v>0.71830677702517309</v>
      </c>
      <c r="Y688" s="9">
        <v>5660</v>
      </c>
      <c r="Z688" s="9">
        <v>4145</v>
      </c>
      <c r="AA688" s="9">
        <v>5230</v>
      </c>
      <c r="AB688">
        <v>0.71617161716171618</v>
      </c>
      <c r="AC688" s="11">
        <v>20.391636565712698</v>
      </c>
      <c r="AD688" s="9">
        <v>4296.8050847457625</v>
      </c>
      <c r="AE688" s="8">
        <v>0.19954128440366972</v>
      </c>
    </row>
    <row r="689" spans="1:31" x14ac:dyDescent="0.35">
      <c r="A689" s="6" t="s">
        <v>710</v>
      </c>
      <c r="B689" s="7">
        <v>0</v>
      </c>
      <c r="C689" s="7">
        <v>2</v>
      </c>
      <c r="D689" s="7">
        <v>15</v>
      </c>
      <c r="E689" s="7">
        <v>1</v>
      </c>
      <c r="F689">
        <v>1612</v>
      </c>
      <c r="G689">
        <v>0</v>
      </c>
      <c r="H689">
        <v>0.02</v>
      </c>
      <c r="I689">
        <v>-65</v>
      </c>
      <c r="J689">
        <v>-4.05</v>
      </c>
      <c r="K689">
        <v>1516</v>
      </c>
      <c r="L689">
        <v>367</v>
      </c>
      <c r="M689">
        <v>1150</v>
      </c>
      <c r="N689">
        <v>906.18</v>
      </c>
      <c r="O689">
        <v>-7.35</v>
      </c>
      <c r="P689">
        <v>0</v>
      </c>
      <c r="Q689">
        <v>0.68</v>
      </c>
      <c r="R689">
        <v>0.36</v>
      </c>
      <c r="S689">
        <v>-383</v>
      </c>
      <c r="T689">
        <v>5028</v>
      </c>
      <c r="U689">
        <v>9445</v>
      </c>
      <c r="V689">
        <v>26</v>
      </c>
      <c r="W689">
        <v>30.42</v>
      </c>
      <c r="X689" s="10">
        <v>0.33338155564876465</v>
      </c>
      <c r="Y689" s="9">
        <v>4985</v>
      </c>
      <c r="Z689" s="9">
        <v>3645</v>
      </c>
      <c r="AA689" s="9">
        <v>4635</v>
      </c>
      <c r="AB689">
        <v>0.73880597014925375</v>
      </c>
      <c r="AC689" s="11">
        <v>11.247707696582383</v>
      </c>
      <c r="AD689" s="9">
        <v>3747.5282485875709</v>
      </c>
      <c r="AE689" s="8">
        <v>0.11017964071856287</v>
      </c>
    </row>
    <row r="690" spans="1:31" x14ac:dyDescent="0.35">
      <c r="A690" s="6" t="s">
        <v>711</v>
      </c>
      <c r="B690" s="7">
        <v>3</v>
      </c>
      <c r="C690" s="7">
        <v>12</v>
      </c>
      <c r="D690" s="7">
        <v>3</v>
      </c>
      <c r="E690" s="7">
        <v>0</v>
      </c>
      <c r="F690">
        <v>120</v>
      </c>
      <c r="G690">
        <v>8</v>
      </c>
      <c r="H690">
        <v>6.43</v>
      </c>
      <c r="I690">
        <v>3</v>
      </c>
      <c r="J690">
        <v>2.78</v>
      </c>
      <c r="K690">
        <v>465</v>
      </c>
      <c r="L690">
        <v>196</v>
      </c>
      <c r="M690">
        <v>269</v>
      </c>
      <c r="N690">
        <v>14.05</v>
      </c>
      <c r="O690">
        <v>1.25</v>
      </c>
      <c r="P690">
        <v>52.89</v>
      </c>
      <c r="Q690">
        <v>0.67</v>
      </c>
      <c r="R690">
        <v>1.48</v>
      </c>
      <c r="S690">
        <v>71</v>
      </c>
      <c r="T690">
        <v>5619</v>
      </c>
      <c r="U690">
        <v>2544</v>
      </c>
      <c r="V690">
        <v>15</v>
      </c>
      <c r="W690">
        <v>19.18</v>
      </c>
      <c r="X690" s="10">
        <v>0.71060199350670605</v>
      </c>
      <c r="Y690" s="9">
        <v>5230</v>
      </c>
      <c r="Z690" s="9">
        <v>3540</v>
      </c>
      <c r="AA690" s="9">
        <v>5230</v>
      </c>
      <c r="AB690">
        <v>1</v>
      </c>
      <c r="AC690" s="11">
        <v>19.308557932759097</v>
      </c>
      <c r="AD690" s="9">
        <v>3390.5056497175142</v>
      </c>
      <c r="AE690" s="8">
        <v>0.4040268456375839</v>
      </c>
    </row>
    <row r="691" spans="1:31" x14ac:dyDescent="0.35">
      <c r="A691" s="6" t="s">
        <v>712</v>
      </c>
      <c r="B691" s="7">
        <v>16</v>
      </c>
      <c r="C691" s="7">
        <v>2</v>
      </c>
      <c r="D691" s="7">
        <v>0</v>
      </c>
      <c r="E691" s="7">
        <v>0</v>
      </c>
      <c r="F691">
        <v>13382</v>
      </c>
      <c r="G691">
        <v>608</v>
      </c>
      <c r="H691">
        <v>4.55</v>
      </c>
      <c r="I691">
        <v>438</v>
      </c>
      <c r="J691">
        <v>3.27</v>
      </c>
      <c r="K691">
        <v>7594</v>
      </c>
      <c r="L691">
        <v>3109</v>
      </c>
      <c r="M691">
        <v>4485</v>
      </c>
      <c r="N691">
        <v>2224.39</v>
      </c>
      <c r="O691">
        <v>10.29</v>
      </c>
      <c r="P691">
        <v>25.69</v>
      </c>
      <c r="Q691">
        <v>2.54</v>
      </c>
      <c r="R691">
        <v>0.84</v>
      </c>
      <c r="S691">
        <v>11349</v>
      </c>
      <c r="T691">
        <v>114652</v>
      </c>
      <c r="U691">
        <v>346756</v>
      </c>
      <c r="V691">
        <v>842</v>
      </c>
      <c r="W691">
        <v>14.28</v>
      </c>
      <c r="X691" s="10">
        <v>0.77163181732165576</v>
      </c>
      <c r="Y691" s="9">
        <v>390000</v>
      </c>
      <c r="Z691" s="9">
        <v>267500</v>
      </c>
      <c r="AA691" s="9">
        <v>353500</v>
      </c>
      <c r="AB691">
        <v>0.70204081632653059</v>
      </c>
      <c r="AC691" s="11">
        <v>1808.821894970825</v>
      </c>
      <c r="AD691" s="9">
        <v>280389.26553672313</v>
      </c>
      <c r="AE691" s="8">
        <v>0.19425675675675674</v>
      </c>
    </row>
    <row r="692" spans="1:31" x14ac:dyDescent="0.35">
      <c r="A692" s="6" t="s">
        <v>713</v>
      </c>
      <c r="B692" s="7">
        <v>11</v>
      </c>
      <c r="C692" s="7">
        <v>6</v>
      </c>
      <c r="D692" s="7">
        <v>0</v>
      </c>
      <c r="E692" s="7">
        <v>1</v>
      </c>
      <c r="F692">
        <v>3401</v>
      </c>
      <c r="G692">
        <v>772</v>
      </c>
      <c r="H692">
        <v>22.7</v>
      </c>
      <c r="I692">
        <v>590</v>
      </c>
      <c r="J692">
        <v>17.350000000000001</v>
      </c>
      <c r="K692">
        <v>4335</v>
      </c>
      <c r="L692">
        <v>1055</v>
      </c>
      <c r="M692">
        <v>3279</v>
      </c>
      <c r="N692">
        <v>622.29</v>
      </c>
      <c r="O692">
        <v>19.670000000000002</v>
      </c>
      <c r="P692">
        <v>4.63</v>
      </c>
      <c r="Q692">
        <v>0.83</v>
      </c>
      <c r="R692">
        <v>0.8</v>
      </c>
      <c r="S692">
        <v>6499</v>
      </c>
      <c r="T692">
        <v>36095</v>
      </c>
      <c r="U692">
        <v>37451</v>
      </c>
      <c r="V692">
        <v>773</v>
      </c>
      <c r="W692">
        <v>3.54</v>
      </c>
      <c r="X692" s="10">
        <v>0.90019471901095183</v>
      </c>
      <c r="Y692" s="9">
        <v>40050</v>
      </c>
      <c r="Z692" s="9">
        <v>29100</v>
      </c>
      <c r="AA692" s="9">
        <v>39750</v>
      </c>
      <c r="AB692">
        <v>0.9726027397260274</v>
      </c>
      <c r="AC692" s="11">
        <v>178.50097249235898</v>
      </c>
      <c r="AD692" s="9">
        <v>28258.22033898305</v>
      </c>
      <c r="AE692" s="8">
        <v>0.31622516556291391</v>
      </c>
    </row>
    <row r="693" spans="1:31" x14ac:dyDescent="0.35">
      <c r="A693" s="6" t="s">
        <v>714</v>
      </c>
      <c r="B693" s="7">
        <v>9</v>
      </c>
      <c r="C693" s="7">
        <v>0</v>
      </c>
      <c r="D693" s="7">
        <v>3</v>
      </c>
      <c r="E693" s="7">
        <v>6</v>
      </c>
      <c r="F693">
        <v>1951</v>
      </c>
      <c r="G693">
        <v>61</v>
      </c>
      <c r="H693">
        <v>3.11</v>
      </c>
      <c r="I693">
        <v>52</v>
      </c>
      <c r="J693">
        <v>2.67</v>
      </c>
      <c r="K693">
        <v>3088</v>
      </c>
      <c r="L693">
        <v>2530</v>
      </c>
      <c r="M693">
        <v>558</v>
      </c>
      <c r="N693">
        <v>282.25</v>
      </c>
      <c r="O693">
        <v>13.32</v>
      </c>
      <c r="P693">
        <v>7.07</v>
      </c>
      <c r="Q693">
        <v>1.0900000000000001</v>
      </c>
      <c r="R693">
        <v>0.19</v>
      </c>
      <c r="S693">
        <v>251</v>
      </c>
      <c r="T693">
        <v>1630</v>
      </c>
      <c r="U693">
        <v>9408</v>
      </c>
      <c r="V693">
        <v>261</v>
      </c>
      <c r="W693">
        <v>7.78</v>
      </c>
      <c r="X693" s="10">
        <v>0.89541428504819887</v>
      </c>
      <c r="Y693" s="9">
        <v>2000</v>
      </c>
      <c r="Z693" s="9">
        <v>1770</v>
      </c>
      <c r="AA693" s="9">
        <v>2000</v>
      </c>
      <c r="AB693">
        <v>1</v>
      </c>
      <c r="AC693" s="11">
        <v>3.1015559877743812</v>
      </c>
      <c r="AD693" s="9">
        <v>1776.319209039548</v>
      </c>
      <c r="AE693" s="8">
        <v>0.12994350282485875</v>
      </c>
    </row>
    <row r="694" spans="1:31" x14ac:dyDescent="0.35">
      <c r="A694" s="6" t="s">
        <v>715</v>
      </c>
      <c r="B694" s="7">
        <v>3</v>
      </c>
      <c r="C694" s="7">
        <v>2</v>
      </c>
      <c r="D694" s="7">
        <v>4</v>
      </c>
      <c r="E694" s="7">
        <v>9</v>
      </c>
      <c r="F694">
        <v>6723</v>
      </c>
      <c r="G694">
        <v>-67</v>
      </c>
      <c r="H694">
        <v>-1</v>
      </c>
      <c r="I694">
        <v>13</v>
      </c>
      <c r="J694">
        <v>0.19</v>
      </c>
      <c r="K694">
        <v>10229</v>
      </c>
      <c r="L694">
        <v>4389</v>
      </c>
      <c r="M694">
        <v>5839</v>
      </c>
      <c r="N694">
        <v>3372.43</v>
      </c>
      <c r="O694">
        <v>0.22</v>
      </c>
      <c r="P694">
        <v>812.01</v>
      </c>
      <c r="Q694">
        <v>1.8</v>
      </c>
      <c r="R694">
        <v>1.56</v>
      </c>
      <c r="S694">
        <v>383</v>
      </c>
      <c r="T694">
        <v>173008</v>
      </c>
      <c r="U694">
        <v>199909</v>
      </c>
      <c r="V694">
        <v>373</v>
      </c>
      <c r="W694">
        <v>33.78</v>
      </c>
      <c r="X694" s="10">
        <v>6.7695243936960248E-2</v>
      </c>
      <c r="Y694" s="9">
        <v>334000</v>
      </c>
      <c r="Z694" s="9">
        <v>301000</v>
      </c>
      <c r="AA694" s="9">
        <v>318000</v>
      </c>
      <c r="AB694">
        <v>0.51515151515151514</v>
      </c>
      <c r="AC694" s="11">
        <v>108.08557932759099</v>
      </c>
      <c r="AD694" s="9">
        <v>312720.05649717519</v>
      </c>
      <c r="AE694" s="8">
        <v>3.2467532467532464E-2</v>
      </c>
    </row>
    <row r="695" spans="1:31" x14ac:dyDescent="0.35">
      <c r="A695" s="6" t="s">
        <v>716</v>
      </c>
      <c r="B695" s="7">
        <v>0</v>
      </c>
      <c r="C695" s="7">
        <v>8</v>
      </c>
      <c r="D695" s="7">
        <v>2</v>
      </c>
      <c r="E695" s="7">
        <v>8</v>
      </c>
      <c r="F695">
        <v>1048</v>
      </c>
      <c r="G695">
        <v>-117</v>
      </c>
      <c r="H695">
        <v>-11.15</v>
      </c>
      <c r="I695">
        <v>-76</v>
      </c>
      <c r="J695">
        <v>-7.24</v>
      </c>
      <c r="K695">
        <v>978</v>
      </c>
      <c r="L695">
        <v>646</v>
      </c>
      <c r="M695">
        <v>332</v>
      </c>
      <c r="N695">
        <v>63.56</v>
      </c>
      <c r="O695">
        <v>-21.1</v>
      </c>
      <c r="P695">
        <v>0</v>
      </c>
      <c r="Q695">
        <v>0.93</v>
      </c>
      <c r="R695">
        <v>0.27</v>
      </c>
      <c r="S695">
        <v>-1994</v>
      </c>
      <c r="T695">
        <v>8044</v>
      </c>
      <c r="U695">
        <v>27521</v>
      </c>
      <c r="V695">
        <v>-89</v>
      </c>
      <c r="W695">
        <v>-6.96</v>
      </c>
      <c r="X695" s="10">
        <v>0.48497048170775792</v>
      </c>
      <c r="Y695" s="9">
        <v>8180</v>
      </c>
      <c r="Z695" s="9">
        <v>7050</v>
      </c>
      <c r="AA695" s="9">
        <v>7080</v>
      </c>
      <c r="AB695">
        <v>2.6548672566371681E-2</v>
      </c>
      <c r="AC695" s="11">
        <v>-7.8971936649069185</v>
      </c>
      <c r="AD695" s="9">
        <v>7635.8644067796613</v>
      </c>
      <c r="AE695" s="8">
        <v>-6.4729194187582564E-2</v>
      </c>
    </row>
    <row r="696" spans="1:31" x14ac:dyDescent="0.35">
      <c r="A696" s="6" t="s">
        <v>717</v>
      </c>
      <c r="B696" s="7">
        <v>10</v>
      </c>
      <c r="C696" s="7">
        <v>5</v>
      </c>
      <c r="D696" s="7">
        <v>1</v>
      </c>
      <c r="E696" s="7">
        <v>2</v>
      </c>
      <c r="F696">
        <v>3294</v>
      </c>
      <c r="G696">
        <v>141</v>
      </c>
      <c r="H696">
        <v>4.29</v>
      </c>
      <c r="I696">
        <v>79</v>
      </c>
      <c r="J696">
        <v>2.4</v>
      </c>
      <c r="K696">
        <v>5803</v>
      </c>
      <c r="L696">
        <v>3476</v>
      </c>
      <c r="M696">
        <v>2327</v>
      </c>
      <c r="N696">
        <v>91.15</v>
      </c>
      <c r="O696">
        <v>3.64</v>
      </c>
      <c r="P696">
        <v>71.150000000000006</v>
      </c>
      <c r="Q696">
        <v>2.5299999999999998</v>
      </c>
      <c r="R696">
        <v>1.71</v>
      </c>
      <c r="S696">
        <v>338</v>
      </c>
      <c r="T696">
        <v>9519</v>
      </c>
      <c r="U696">
        <v>14087</v>
      </c>
      <c r="V696">
        <v>192</v>
      </c>
      <c r="W696">
        <v>43.53</v>
      </c>
      <c r="X696" s="10">
        <v>0.69810628178061751</v>
      </c>
      <c r="Y696" s="9">
        <v>36000</v>
      </c>
      <c r="Z696" s="9">
        <v>22200</v>
      </c>
      <c r="AA696" s="9">
        <v>33400</v>
      </c>
      <c r="AB696">
        <v>0.81159420289855078</v>
      </c>
      <c r="AC696" s="11">
        <v>188.2425673798277</v>
      </c>
      <c r="AD696" s="9">
        <v>20389.435028248587</v>
      </c>
      <c r="AE696" s="8">
        <v>0.38877338877338879</v>
      </c>
    </row>
    <row r="697" spans="1:31" x14ac:dyDescent="0.35">
      <c r="A697" s="6" t="s">
        <v>718</v>
      </c>
      <c r="B697" s="7">
        <v>0</v>
      </c>
      <c r="C697" s="7">
        <v>0</v>
      </c>
      <c r="D697" s="7">
        <v>0</v>
      </c>
      <c r="E697" s="7">
        <v>18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 s="10">
        <v>0.66301653220237255</v>
      </c>
      <c r="Y697" s="9">
        <v>21400</v>
      </c>
      <c r="Z697" s="9">
        <v>14100</v>
      </c>
      <c r="AA697" s="9">
        <v>20350</v>
      </c>
      <c r="AB697">
        <v>0.85616438356164382</v>
      </c>
      <c r="AC697" s="11">
        <v>91.907474298416219</v>
      </c>
      <c r="AD697" s="9">
        <v>13440.988700564973</v>
      </c>
      <c r="AE697" s="8">
        <v>0.33006535947712418</v>
      </c>
    </row>
    <row r="698" spans="1:31" x14ac:dyDescent="0.35">
      <c r="A698" s="6" t="s">
        <v>719</v>
      </c>
      <c r="B698" s="7">
        <v>14</v>
      </c>
      <c r="C698" s="7">
        <v>0</v>
      </c>
      <c r="D698" s="7">
        <v>0</v>
      </c>
      <c r="E698" s="7">
        <v>4</v>
      </c>
      <c r="F698">
        <v>2491</v>
      </c>
      <c r="G698">
        <v>255</v>
      </c>
      <c r="H698">
        <v>10.25</v>
      </c>
      <c r="I698">
        <v>192</v>
      </c>
      <c r="J698">
        <v>7.72</v>
      </c>
      <c r="K698">
        <v>2367</v>
      </c>
      <c r="L698">
        <v>939</v>
      </c>
      <c r="M698">
        <v>1428</v>
      </c>
      <c r="N698">
        <v>2384.19</v>
      </c>
      <c r="O698">
        <v>14.33</v>
      </c>
      <c r="P698">
        <v>5.43</v>
      </c>
      <c r="Q698">
        <v>0.73</v>
      </c>
      <c r="R698">
        <v>0.42</v>
      </c>
      <c r="S698">
        <v>1673</v>
      </c>
      <c r="T698">
        <v>12394</v>
      </c>
      <c r="U698">
        <v>21662</v>
      </c>
      <c r="V698">
        <v>278</v>
      </c>
      <c r="W698">
        <v>4.3499999999999996</v>
      </c>
      <c r="X698" s="10">
        <v>0.86374583402187011</v>
      </c>
      <c r="Y698" s="9">
        <v>14600</v>
      </c>
      <c r="Z698" s="9">
        <v>8860</v>
      </c>
      <c r="AA698" s="9">
        <v>14600</v>
      </c>
      <c r="AB698">
        <v>1</v>
      </c>
      <c r="AC698" s="11">
        <v>73.753264795776587</v>
      </c>
      <c r="AD698" s="9">
        <v>8319.1920903954797</v>
      </c>
      <c r="AE698" s="8">
        <v>0.59214830970556165</v>
      </c>
    </row>
    <row r="699" spans="1:31" x14ac:dyDescent="0.35">
      <c r="A699" s="6" t="s">
        <v>720</v>
      </c>
      <c r="B699" s="7">
        <v>4</v>
      </c>
      <c r="C699" s="7">
        <v>5</v>
      </c>
      <c r="D699" s="7">
        <v>1</v>
      </c>
      <c r="E699" s="7">
        <v>8</v>
      </c>
      <c r="F699">
        <v>544</v>
      </c>
      <c r="G699">
        <v>4</v>
      </c>
      <c r="H699">
        <v>0.75</v>
      </c>
      <c r="I699">
        <v>63</v>
      </c>
      <c r="J699">
        <v>11.58</v>
      </c>
      <c r="K699">
        <v>1110</v>
      </c>
      <c r="L699">
        <v>165</v>
      </c>
      <c r="M699">
        <v>945</v>
      </c>
      <c r="N699">
        <v>2618.46</v>
      </c>
      <c r="O699">
        <v>9.16</v>
      </c>
      <c r="P699">
        <v>8.0399999999999991</v>
      </c>
      <c r="Q699">
        <v>0.73</v>
      </c>
      <c r="R699">
        <v>0</v>
      </c>
      <c r="S699">
        <v>1211</v>
      </c>
      <c r="T699">
        <v>13412</v>
      </c>
      <c r="U699">
        <v>0</v>
      </c>
      <c r="V699">
        <v>16</v>
      </c>
      <c r="W699">
        <v>43.07</v>
      </c>
      <c r="X699" s="10">
        <v>0.3883149613435839</v>
      </c>
      <c r="Y699" s="9">
        <v>8830</v>
      </c>
      <c r="Z699" s="9">
        <v>7880</v>
      </c>
      <c r="AA699" s="9">
        <v>8490</v>
      </c>
      <c r="AB699">
        <v>0.64210526315789473</v>
      </c>
      <c r="AC699" s="11">
        <v>9.4868018894137265</v>
      </c>
      <c r="AD699" s="9">
        <v>8021.1525423728817</v>
      </c>
      <c r="AE699" s="8">
        <v>7.1174377224199285E-3</v>
      </c>
    </row>
    <row r="700" spans="1:31" x14ac:dyDescent="0.35">
      <c r="A700" s="6" t="s">
        <v>721</v>
      </c>
      <c r="B700" s="7">
        <v>7</v>
      </c>
      <c r="C700" s="7">
        <v>7</v>
      </c>
      <c r="D700" s="7">
        <v>0</v>
      </c>
      <c r="E700" s="7">
        <v>4</v>
      </c>
      <c r="F700">
        <v>260</v>
      </c>
      <c r="G700">
        <v>42</v>
      </c>
      <c r="H700">
        <v>16.079999999999998</v>
      </c>
      <c r="I700">
        <v>49</v>
      </c>
      <c r="J700">
        <v>18.850000000000001</v>
      </c>
      <c r="K700">
        <v>679</v>
      </c>
      <c r="L700">
        <v>47</v>
      </c>
      <c r="M700">
        <v>632</v>
      </c>
      <c r="N700">
        <v>1599.3</v>
      </c>
      <c r="O700">
        <v>10.75</v>
      </c>
      <c r="P700">
        <v>8.39</v>
      </c>
      <c r="Q700">
        <v>1.1399999999999999</v>
      </c>
      <c r="R700">
        <v>1.58</v>
      </c>
      <c r="S700">
        <v>1592</v>
      </c>
      <c r="T700">
        <v>11701</v>
      </c>
      <c r="U700">
        <v>8448</v>
      </c>
      <c r="V700">
        <v>58</v>
      </c>
      <c r="W700">
        <v>12.34</v>
      </c>
      <c r="X700" s="10">
        <v>0.56052241676844916</v>
      </c>
      <c r="Y700" s="9">
        <v>17650</v>
      </c>
      <c r="Z700" s="9">
        <v>9760</v>
      </c>
      <c r="AA700" s="9">
        <v>12500</v>
      </c>
      <c r="AB700">
        <v>0.34727503168567808</v>
      </c>
      <c r="AC700" s="11">
        <v>73.448457904973608</v>
      </c>
      <c r="AD700" s="9">
        <v>9596.3220338983047</v>
      </c>
      <c r="AE700" s="8">
        <v>0.20192307692307693</v>
      </c>
    </row>
    <row r="701" spans="1:31" x14ac:dyDescent="0.35">
      <c r="A701" s="6" t="s">
        <v>722</v>
      </c>
      <c r="B701" s="7">
        <v>2</v>
      </c>
      <c r="C701" s="7">
        <v>1</v>
      </c>
      <c r="D701" s="7">
        <v>13</v>
      </c>
      <c r="E701" s="7">
        <v>2</v>
      </c>
      <c r="F701">
        <v>2434</v>
      </c>
      <c r="G701">
        <v>-94</v>
      </c>
      <c r="H701">
        <v>-3.85</v>
      </c>
      <c r="I701">
        <v>-199</v>
      </c>
      <c r="J701">
        <v>-8.17</v>
      </c>
      <c r="K701">
        <v>6394</v>
      </c>
      <c r="L701">
        <v>1903</v>
      </c>
      <c r="M701">
        <v>4491</v>
      </c>
      <c r="N701">
        <v>4190.05</v>
      </c>
      <c r="O701">
        <v>-4.3</v>
      </c>
      <c r="P701">
        <v>0</v>
      </c>
      <c r="Q701">
        <v>0.36</v>
      </c>
      <c r="R701">
        <v>0.49</v>
      </c>
      <c r="S701">
        <v>-12288</v>
      </c>
      <c r="T701">
        <v>202201</v>
      </c>
      <c r="U701">
        <v>150422</v>
      </c>
      <c r="V701">
        <v>-37</v>
      </c>
      <c r="W701">
        <v>-74</v>
      </c>
      <c r="X701" s="10">
        <v>0.7664899489095921</v>
      </c>
      <c r="Y701" s="9">
        <v>86800</v>
      </c>
      <c r="Z701" s="9">
        <v>71400</v>
      </c>
      <c r="AA701" s="9">
        <v>86800</v>
      </c>
      <c r="AB701">
        <v>1</v>
      </c>
      <c r="AC701" s="11">
        <v>228.59683245345929</v>
      </c>
      <c r="AD701" s="9">
        <v>70837.796610169491</v>
      </c>
      <c r="AE701" s="8">
        <v>0.1651006711409396</v>
      </c>
    </row>
    <row r="702" spans="1:31" x14ac:dyDescent="0.35">
      <c r="A702" s="6" t="s">
        <v>723</v>
      </c>
      <c r="B702" s="7">
        <v>4</v>
      </c>
      <c r="C702" s="7">
        <v>10</v>
      </c>
      <c r="D702" s="7">
        <v>1</v>
      </c>
      <c r="E702" s="7">
        <v>3</v>
      </c>
      <c r="F702">
        <v>3642</v>
      </c>
      <c r="G702">
        <v>104</v>
      </c>
      <c r="H702">
        <v>2.86</v>
      </c>
      <c r="I702">
        <v>112</v>
      </c>
      <c r="J702">
        <v>3.08</v>
      </c>
      <c r="K702">
        <v>3569</v>
      </c>
      <c r="L702">
        <v>410</v>
      </c>
      <c r="M702">
        <v>3159</v>
      </c>
      <c r="N702">
        <v>2573.7800000000002</v>
      </c>
      <c r="O702">
        <v>3.6</v>
      </c>
      <c r="P702">
        <v>13.41</v>
      </c>
      <c r="Q702">
        <v>0.51</v>
      </c>
      <c r="R702">
        <v>0.41</v>
      </c>
      <c r="S702">
        <v>4905</v>
      </c>
      <c r="T702">
        <v>129736</v>
      </c>
      <c r="U702">
        <v>159322</v>
      </c>
      <c r="V702">
        <v>212</v>
      </c>
      <c r="W702">
        <v>7.54</v>
      </c>
      <c r="X702" s="10">
        <v>0.75376272926366761</v>
      </c>
      <c r="Y702" s="9">
        <v>75500</v>
      </c>
      <c r="Z702" s="9">
        <v>62500</v>
      </c>
      <c r="AA702" s="9">
        <v>72900</v>
      </c>
      <c r="AB702">
        <v>0.8</v>
      </c>
      <c r="AC702" s="11">
        <v>184.49847179772158</v>
      </c>
      <c r="AD702" s="9">
        <v>63177.796610169491</v>
      </c>
      <c r="AE702" s="8">
        <v>0.16639999999999999</v>
      </c>
    </row>
    <row r="703" spans="1:31" x14ac:dyDescent="0.35">
      <c r="A703" s="6" t="s">
        <v>724</v>
      </c>
      <c r="B703" s="7">
        <v>6</v>
      </c>
      <c r="C703" s="7">
        <v>8</v>
      </c>
      <c r="D703" s="7">
        <v>2</v>
      </c>
      <c r="E703" s="7">
        <v>2</v>
      </c>
      <c r="F703">
        <v>1956</v>
      </c>
      <c r="G703">
        <v>84</v>
      </c>
      <c r="H703">
        <v>4.2699999999999996</v>
      </c>
      <c r="I703">
        <v>47</v>
      </c>
      <c r="J703">
        <v>2.41</v>
      </c>
      <c r="K703">
        <v>2996</v>
      </c>
      <c r="L703">
        <v>1471</v>
      </c>
      <c r="M703">
        <v>1526</v>
      </c>
      <c r="N703">
        <v>668.75</v>
      </c>
      <c r="O703">
        <v>3.12</v>
      </c>
      <c r="P703">
        <v>18.78</v>
      </c>
      <c r="Q703">
        <v>0.59</v>
      </c>
      <c r="R703">
        <v>0.45</v>
      </c>
      <c r="S703">
        <v>119</v>
      </c>
      <c r="T703">
        <v>3786</v>
      </c>
      <c r="U703">
        <v>4928</v>
      </c>
      <c r="V703">
        <v>227</v>
      </c>
      <c r="W703">
        <v>9.26</v>
      </c>
      <c r="X703" s="10">
        <v>0.73324301639008005</v>
      </c>
      <c r="Y703" s="9">
        <v>2600</v>
      </c>
      <c r="Z703" s="9">
        <v>2020</v>
      </c>
      <c r="AA703" s="9">
        <v>2600</v>
      </c>
      <c r="AB703">
        <v>1</v>
      </c>
      <c r="AC703" s="11">
        <v>6.5319533203667692</v>
      </c>
      <c r="AD703" s="9">
        <v>2060.1920903954801</v>
      </c>
      <c r="AE703" s="8">
        <v>0.13043478260869565</v>
      </c>
    </row>
    <row r="704" spans="1:31" x14ac:dyDescent="0.35">
      <c r="A704" s="6" t="s">
        <v>725</v>
      </c>
      <c r="B704" s="7">
        <v>2</v>
      </c>
      <c r="C704" s="7">
        <v>1</v>
      </c>
      <c r="D704" s="7">
        <v>12</v>
      </c>
      <c r="E704" s="7">
        <v>3</v>
      </c>
      <c r="F704">
        <v>321</v>
      </c>
      <c r="G704">
        <v>-22</v>
      </c>
      <c r="H704">
        <v>-6.81</v>
      </c>
      <c r="I704">
        <v>-17</v>
      </c>
      <c r="J704">
        <v>-5.28</v>
      </c>
      <c r="K704">
        <v>1070</v>
      </c>
      <c r="L704">
        <v>699</v>
      </c>
      <c r="M704">
        <v>371</v>
      </c>
      <c r="N704">
        <v>1305.56</v>
      </c>
      <c r="O704">
        <v>-5.96</v>
      </c>
      <c r="P704">
        <v>0</v>
      </c>
      <c r="Q704">
        <v>0.96</v>
      </c>
      <c r="R704">
        <v>0.69</v>
      </c>
      <c r="S704">
        <v>-357</v>
      </c>
      <c r="T704">
        <v>4864</v>
      </c>
      <c r="U704">
        <v>6772</v>
      </c>
      <c r="V704">
        <v>-9</v>
      </c>
      <c r="W704">
        <v>-99.29</v>
      </c>
      <c r="X704" s="10">
        <v>0.46228128030610316</v>
      </c>
      <c r="Y704" s="9">
        <v>5180</v>
      </c>
      <c r="Z704" s="9">
        <v>3890</v>
      </c>
      <c r="AA704" s="9">
        <v>4400</v>
      </c>
      <c r="AB704">
        <v>0.39534883720930231</v>
      </c>
      <c r="AC704" s="11">
        <v>11.454015004167825</v>
      </c>
      <c r="AD704" s="9">
        <v>4020.9858757062143</v>
      </c>
      <c r="AE704" s="8">
        <v>3.7735849056603772E-2</v>
      </c>
    </row>
    <row r="705" spans="1:31" x14ac:dyDescent="0.35">
      <c r="A705" s="6" t="s">
        <v>726</v>
      </c>
      <c r="B705" s="7">
        <v>4</v>
      </c>
      <c r="C705" s="7">
        <v>3</v>
      </c>
      <c r="D705" s="7">
        <v>10</v>
      </c>
      <c r="E705" s="7">
        <v>1</v>
      </c>
      <c r="F705">
        <v>5584</v>
      </c>
      <c r="G705">
        <v>259</v>
      </c>
      <c r="H705">
        <v>4.6399999999999997</v>
      </c>
      <c r="I705">
        <v>102</v>
      </c>
      <c r="J705">
        <v>1.82</v>
      </c>
      <c r="K705">
        <v>5721</v>
      </c>
      <c r="L705">
        <v>4243</v>
      </c>
      <c r="M705">
        <v>1478</v>
      </c>
      <c r="N705">
        <v>603.05999999999995</v>
      </c>
      <c r="O705">
        <v>6.39</v>
      </c>
      <c r="P705">
        <v>14.96</v>
      </c>
      <c r="Q705">
        <v>1.17</v>
      </c>
      <c r="R705">
        <v>0.27</v>
      </c>
      <c r="S705">
        <v>242</v>
      </c>
      <c r="T705">
        <v>3105</v>
      </c>
      <c r="U705">
        <v>13284</v>
      </c>
      <c r="V705">
        <v>480</v>
      </c>
      <c r="W705">
        <v>10.44</v>
      </c>
      <c r="X705" s="10">
        <v>0.90218209911264213</v>
      </c>
      <c r="Y705" s="9">
        <v>4805</v>
      </c>
      <c r="Z705" s="9">
        <v>3560</v>
      </c>
      <c r="AA705" s="9">
        <v>4650</v>
      </c>
      <c r="AB705">
        <v>0.87550200803212852</v>
      </c>
      <c r="AC705" s="11">
        <v>19.730480689080302</v>
      </c>
      <c r="AD705" s="9">
        <v>3380.0536723163841</v>
      </c>
      <c r="AE705" s="8">
        <v>0.30434782608695654</v>
      </c>
    </row>
    <row r="706" spans="1:31" x14ac:dyDescent="0.35">
      <c r="A706" s="6" t="s">
        <v>727</v>
      </c>
      <c r="B706" s="7">
        <v>11</v>
      </c>
      <c r="C706" s="7">
        <v>3</v>
      </c>
      <c r="D706" s="7">
        <v>1</v>
      </c>
      <c r="E706" s="7">
        <v>3</v>
      </c>
      <c r="F706">
        <v>3958</v>
      </c>
      <c r="G706">
        <v>278</v>
      </c>
      <c r="H706">
        <v>7.04</v>
      </c>
      <c r="I706">
        <v>154</v>
      </c>
      <c r="J706">
        <v>3.9</v>
      </c>
      <c r="K706">
        <v>6755</v>
      </c>
      <c r="L706">
        <v>3719</v>
      </c>
      <c r="M706">
        <v>3035</v>
      </c>
      <c r="N706">
        <v>4239.78</v>
      </c>
      <c r="O706">
        <v>5.43</v>
      </c>
      <c r="P706">
        <v>13.69</v>
      </c>
      <c r="Q706">
        <v>1.05</v>
      </c>
      <c r="R706">
        <v>0.53</v>
      </c>
      <c r="S706">
        <v>1435</v>
      </c>
      <c r="T706">
        <v>18654</v>
      </c>
      <c r="U706">
        <v>36806</v>
      </c>
      <c r="V706">
        <v>455</v>
      </c>
      <c r="W706">
        <v>11.96</v>
      </c>
      <c r="X706" s="10">
        <v>0.82774960082213467</v>
      </c>
      <c r="Y706" s="9">
        <v>39300</v>
      </c>
      <c r="Z706" s="9">
        <v>18000</v>
      </c>
      <c r="AA706" s="9">
        <v>36800</v>
      </c>
      <c r="AB706">
        <v>0.88262910798122063</v>
      </c>
      <c r="AC706" s="11">
        <v>300.49458182828562</v>
      </c>
      <c r="AD706" s="9">
        <v>15649.915254237289</v>
      </c>
      <c r="AE706" s="8">
        <v>0.91168831168831166</v>
      </c>
    </row>
    <row r="707" spans="1:31" x14ac:dyDescent="0.35">
      <c r="A707" s="6" t="s">
        <v>728</v>
      </c>
      <c r="B707" s="7">
        <v>2</v>
      </c>
      <c r="C707" s="7">
        <v>10</v>
      </c>
      <c r="D707" s="7">
        <v>1</v>
      </c>
      <c r="E707" s="7">
        <v>5</v>
      </c>
      <c r="F707">
        <v>2135</v>
      </c>
      <c r="G707">
        <v>78</v>
      </c>
      <c r="H707">
        <v>3.65</v>
      </c>
      <c r="I707">
        <v>49</v>
      </c>
      <c r="J707">
        <v>2.31</v>
      </c>
      <c r="K707">
        <v>3131</v>
      </c>
      <c r="L707">
        <v>833</v>
      </c>
      <c r="M707">
        <v>2297</v>
      </c>
      <c r="N707">
        <v>722.46</v>
      </c>
      <c r="O707">
        <v>2.16</v>
      </c>
      <c r="P707">
        <v>31.47</v>
      </c>
      <c r="Q707">
        <v>0.7</v>
      </c>
      <c r="R707">
        <v>0.73</v>
      </c>
      <c r="S707">
        <v>177</v>
      </c>
      <c r="T707">
        <v>7970</v>
      </c>
      <c r="U707">
        <v>7643</v>
      </c>
      <c r="V707">
        <v>204</v>
      </c>
      <c r="W707">
        <v>7.61</v>
      </c>
      <c r="X707" s="10">
        <v>0.84268469763765619</v>
      </c>
      <c r="Y707" s="9">
        <v>7790</v>
      </c>
      <c r="Z707" s="9">
        <v>5470</v>
      </c>
      <c r="AA707" s="9">
        <v>7470</v>
      </c>
      <c r="AB707">
        <v>0.86206896551724133</v>
      </c>
      <c r="AC707" s="11">
        <v>33.945540427896645</v>
      </c>
      <c r="AD707" s="9">
        <v>5136.3276836158193</v>
      </c>
      <c r="AE707" s="8">
        <v>0.31514084507042256</v>
      </c>
    </row>
    <row r="708" spans="1:31" x14ac:dyDescent="0.35">
      <c r="A708" s="6" t="s">
        <v>729</v>
      </c>
      <c r="B708" s="7">
        <v>13</v>
      </c>
      <c r="C708" s="7">
        <v>1</v>
      </c>
      <c r="D708" s="7">
        <v>2</v>
      </c>
      <c r="E708" s="7">
        <v>2</v>
      </c>
      <c r="F708">
        <v>19954</v>
      </c>
      <c r="G708">
        <v>2564</v>
      </c>
      <c r="H708">
        <v>12.85</v>
      </c>
      <c r="I708">
        <v>1864</v>
      </c>
      <c r="J708">
        <v>9.34</v>
      </c>
      <c r="K708">
        <v>35096</v>
      </c>
      <c r="L708">
        <v>13991</v>
      </c>
      <c r="M708">
        <v>21105</v>
      </c>
      <c r="N708">
        <v>1643.94</v>
      </c>
      <c r="O708">
        <v>9.08</v>
      </c>
      <c r="P708">
        <v>11.57</v>
      </c>
      <c r="Q708">
        <v>1.43</v>
      </c>
      <c r="R708">
        <v>1.1200000000000001</v>
      </c>
      <c r="S708">
        <v>8942</v>
      </c>
      <c r="T708">
        <v>72285</v>
      </c>
      <c r="U708">
        <v>92823</v>
      </c>
      <c r="V708">
        <v>3124</v>
      </c>
      <c r="W708">
        <v>10.53</v>
      </c>
      <c r="X708" s="10">
        <v>0.73442540168719406</v>
      </c>
      <c r="Y708" s="9">
        <v>125000</v>
      </c>
      <c r="Z708" s="9">
        <v>100000</v>
      </c>
      <c r="AA708" s="9">
        <v>116000</v>
      </c>
      <c r="AB708">
        <v>0.64</v>
      </c>
      <c r="AC708" s="11">
        <v>424.49291469852727</v>
      </c>
      <c r="AD708" s="9">
        <v>100011.29943502825</v>
      </c>
      <c r="AE708" s="8">
        <v>0.10476190476190476</v>
      </c>
    </row>
    <row r="709" spans="1:31" x14ac:dyDescent="0.35">
      <c r="A709" s="6" t="s">
        <v>730</v>
      </c>
      <c r="B709" s="7">
        <v>0</v>
      </c>
      <c r="C709" s="7">
        <v>0</v>
      </c>
      <c r="D709" s="7">
        <v>0</v>
      </c>
      <c r="E709" s="7">
        <v>18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 s="10">
        <v>0.75747936161963036</v>
      </c>
      <c r="Y709" s="9">
        <v>64900</v>
      </c>
      <c r="Z709" s="9">
        <v>57200</v>
      </c>
      <c r="AA709" s="9">
        <v>63800</v>
      </c>
      <c r="AB709">
        <v>0.8571428571428571</v>
      </c>
      <c r="AC709" s="11">
        <v>128.93581550430676</v>
      </c>
      <c r="AD709" s="9">
        <v>56994.124293785309</v>
      </c>
      <c r="AE709" s="8">
        <v>6.3333333333333339E-2</v>
      </c>
    </row>
    <row r="710" spans="1:31" x14ac:dyDescent="0.35">
      <c r="A710" s="6" t="s">
        <v>731</v>
      </c>
      <c r="B710" s="7">
        <v>6</v>
      </c>
      <c r="C710" s="7">
        <v>4</v>
      </c>
      <c r="D710" s="7">
        <v>6</v>
      </c>
      <c r="E710" s="7">
        <v>2</v>
      </c>
      <c r="F710">
        <v>22883</v>
      </c>
      <c r="G710">
        <v>1449</v>
      </c>
      <c r="H710">
        <v>6.33</v>
      </c>
      <c r="I710">
        <v>-489</v>
      </c>
      <c r="J710">
        <v>-2.14</v>
      </c>
      <c r="K710">
        <v>50111</v>
      </c>
      <c r="L710">
        <v>30019</v>
      </c>
      <c r="M710">
        <v>20092</v>
      </c>
      <c r="N710">
        <v>402.86</v>
      </c>
      <c r="O710">
        <v>-2.44</v>
      </c>
      <c r="P710">
        <v>0</v>
      </c>
      <c r="Q710">
        <v>0.46</v>
      </c>
      <c r="R710">
        <v>0.34</v>
      </c>
      <c r="S710">
        <v>-892</v>
      </c>
      <c r="T710">
        <v>21568</v>
      </c>
      <c r="U710">
        <v>29482</v>
      </c>
      <c r="V710">
        <v>1735</v>
      </c>
      <c r="W710">
        <v>11.85</v>
      </c>
      <c r="X710" s="10">
        <v>0.80601237115091162</v>
      </c>
      <c r="Y710" s="9">
        <v>14000</v>
      </c>
      <c r="Z710" s="9">
        <v>8400</v>
      </c>
      <c r="AA710" s="9">
        <v>12450</v>
      </c>
      <c r="AB710">
        <v>0.7232142857142857</v>
      </c>
      <c r="AC710" s="11">
        <v>86.52736871353153</v>
      </c>
      <c r="AD710" s="9">
        <v>7979.9152542372885</v>
      </c>
      <c r="AE710" s="8">
        <v>0.27170582226762002</v>
      </c>
    </row>
    <row r="711" spans="1:31" x14ac:dyDescent="0.35">
      <c r="A711" s="6" t="s">
        <v>732</v>
      </c>
      <c r="B711" s="7">
        <v>0</v>
      </c>
      <c r="C711" s="7">
        <v>2</v>
      </c>
      <c r="D711" s="7">
        <v>5</v>
      </c>
      <c r="E711" s="7">
        <v>11</v>
      </c>
      <c r="F711">
        <v>8878</v>
      </c>
      <c r="G711">
        <v>-384</v>
      </c>
      <c r="H711">
        <v>-4.33</v>
      </c>
      <c r="I711">
        <v>-311</v>
      </c>
      <c r="J711">
        <v>-3.5</v>
      </c>
      <c r="K711">
        <v>14690</v>
      </c>
      <c r="L711">
        <v>8230</v>
      </c>
      <c r="M711">
        <v>6460</v>
      </c>
      <c r="N711">
        <v>829.52</v>
      </c>
      <c r="O711">
        <v>-4.68</v>
      </c>
      <c r="P711">
        <v>0</v>
      </c>
      <c r="Q711">
        <v>0.73</v>
      </c>
      <c r="R711">
        <v>0.5</v>
      </c>
      <c r="S711">
        <v>-447</v>
      </c>
      <c r="T711">
        <v>8696</v>
      </c>
      <c r="U711">
        <v>12774</v>
      </c>
      <c r="V711">
        <v>-139</v>
      </c>
      <c r="W711">
        <v>-46.28</v>
      </c>
      <c r="X711" s="10">
        <v>0.13392519696033175</v>
      </c>
      <c r="Y711" s="9">
        <v>7850</v>
      </c>
      <c r="Z711" s="9">
        <v>5910</v>
      </c>
      <c r="AA711" s="9">
        <v>6960</v>
      </c>
      <c r="AB711">
        <v>0.54123711340206182</v>
      </c>
      <c r="AC711" s="11">
        <v>9.7963323145318153</v>
      </c>
      <c r="AD711" s="9">
        <v>6852.0451977401126</v>
      </c>
      <c r="AE711" s="8">
        <v>0.10301109350237718</v>
      </c>
    </row>
    <row r="712" spans="1:31" x14ac:dyDescent="0.35">
      <c r="A712" s="6" t="s">
        <v>733</v>
      </c>
      <c r="B712" s="7">
        <v>0</v>
      </c>
      <c r="C712" s="7">
        <v>0</v>
      </c>
      <c r="D712" s="7">
        <v>0</v>
      </c>
      <c r="E712" s="7">
        <v>18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 s="10">
        <v>0.7600365629188468</v>
      </c>
      <c r="Y712" s="9">
        <v>67200</v>
      </c>
      <c r="Z712" s="9">
        <v>56900</v>
      </c>
      <c r="AA712" s="9">
        <v>66500</v>
      </c>
      <c r="AB712">
        <v>0.93203883495145634</v>
      </c>
      <c r="AC712" s="11">
        <v>166.88802445123645</v>
      </c>
      <c r="AD712" s="9">
        <v>57204.91525423729</v>
      </c>
      <c r="AE712" s="8">
        <v>9.375E-2</v>
      </c>
    </row>
    <row r="713" spans="1:31" x14ac:dyDescent="0.35">
      <c r="A713" s="6" t="s">
        <v>734</v>
      </c>
      <c r="B713" s="7">
        <v>4</v>
      </c>
      <c r="C713" s="7">
        <v>8</v>
      </c>
      <c r="D713" s="7">
        <v>2</v>
      </c>
      <c r="E713" s="7">
        <v>4</v>
      </c>
      <c r="F713">
        <v>41967</v>
      </c>
      <c r="G713">
        <v>943</v>
      </c>
      <c r="H713">
        <v>2.25</v>
      </c>
      <c r="I713">
        <v>470</v>
      </c>
      <c r="J713">
        <v>1.1200000000000001</v>
      </c>
      <c r="K713">
        <v>72092</v>
      </c>
      <c r="L713">
        <v>46437</v>
      </c>
      <c r="M713">
        <v>25655</v>
      </c>
      <c r="N713">
        <v>147.33000000000001</v>
      </c>
      <c r="O713">
        <v>1.83</v>
      </c>
      <c r="P713">
        <v>42.82</v>
      </c>
      <c r="Q713">
        <v>0.9</v>
      </c>
      <c r="R713">
        <v>0.48</v>
      </c>
      <c r="S713">
        <v>227</v>
      </c>
      <c r="T713">
        <v>10754</v>
      </c>
      <c r="U713">
        <v>20230</v>
      </c>
      <c r="V713">
        <v>2472</v>
      </c>
      <c r="W713">
        <v>22.2</v>
      </c>
      <c r="X713" s="10">
        <v>0.71816906959227045</v>
      </c>
      <c r="Y713" s="9">
        <v>13350</v>
      </c>
      <c r="Z713" s="9">
        <v>9350</v>
      </c>
      <c r="AA713" s="9">
        <v>11950</v>
      </c>
      <c r="AB713">
        <v>0.65</v>
      </c>
      <c r="AC713" s="11">
        <v>58.516532370102823</v>
      </c>
      <c r="AD713" s="9">
        <v>9413.0790960451977</v>
      </c>
      <c r="AE713" s="8">
        <v>0.21690427698574338</v>
      </c>
    </row>
    <row r="714" spans="1:31" x14ac:dyDescent="0.35">
      <c r="A714" s="6" t="s">
        <v>735</v>
      </c>
      <c r="B714" s="7">
        <v>2</v>
      </c>
      <c r="C714" s="7">
        <v>0</v>
      </c>
      <c r="D714" s="7">
        <v>9</v>
      </c>
      <c r="E714" s="7">
        <v>7</v>
      </c>
      <c r="F714">
        <v>54968</v>
      </c>
      <c r="G714">
        <v>2200</v>
      </c>
      <c r="H714">
        <v>4</v>
      </c>
      <c r="I714">
        <v>-483</v>
      </c>
      <c r="J714">
        <v>-0.88</v>
      </c>
      <c r="K714">
        <v>105510</v>
      </c>
      <c r="L714">
        <v>58104</v>
      </c>
      <c r="M714">
        <v>47406</v>
      </c>
      <c r="N714">
        <v>709.45</v>
      </c>
      <c r="O714">
        <v>-1.05</v>
      </c>
      <c r="P714">
        <v>0</v>
      </c>
      <c r="Q714">
        <v>0.68</v>
      </c>
      <c r="R714">
        <v>0.45</v>
      </c>
      <c r="S714">
        <v>-613</v>
      </c>
      <c r="T714">
        <v>34755</v>
      </c>
      <c r="U714">
        <v>52128</v>
      </c>
      <c r="V714">
        <v>3789</v>
      </c>
      <c r="W714">
        <v>13.04</v>
      </c>
      <c r="X714" s="10">
        <v>0.80527215650789397</v>
      </c>
      <c r="Y714" s="9">
        <v>29900</v>
      </c>
      <c r="Z714" s="9">
        <v>21450</v>
      </c>
      <c r="AA714" s="9">
        <v>28150</v>
      </c>
      <c r="AB714">
        <v>0.79289940828402372</v>
      </c>
      <c r="AC714" s="11">
        <v>141.36982495137539</v>
      </c>
      <c r="AD714" s="9">
        <v>21448.22033898305</v>
      </c>
      <c r="AE714" s="8">
        <v>0.17782426778242677</v>
      </c>
    </row>
    <row r="715" spans="1:31" x14ac:dyDescent="0.35">
      <c r="A715" s="6" t="s">
        <v>736</v>
      </c>
      <c r="B715" s="7">
        <v>0</v>
      </c>
      <c r="C715" s="7">
        <v>13</v>
      </c>
      <c r="D715" s="7">
        <v>0</v>
      </c>
      <c r="E715" s="7">
        <v>5</v>
      </c>
      <c r="F715">
        <v>259</v>
      </c>
      <c r="G715">
        <v>3</v>
      </c>
      <c r="H715">
        <v>1.31</v>
      </c>
      <c r="I715">
        <v>4</v>
      </c>
      <c r="J715">
        <v>1.57</v>
      </c>
      <c r="K715">
        <v>147</v>
      </c>
      <c r="L715">
        <v>80</v>
      </c>
      <c r="M715">
        <v>67</v>
      </c>
      <c r="N715">
        <v>35.24</v>
      </c>
      <c r="O715">
        <v>8.58</v>
      </c>
      <c r="P715">
        <v>27.63</v>
      </c>
      <c r="Q715">
        <v>2.63</v>
      </c>
      <c r="R715">
        <v>0.44</v>
      </c>
      <c r="S715">
        <v>57</v>
      </c>
      <c r="T715">
        <v>599</v>
      </c>
      <c r="U715">
        <v>3616</v>
      </c>
      <c r="V715">
        <v>11</v>
      </c>
      <c r="W715">
        <v>15.4</v>
      </c>
      <c r="X715" s="10">
        <v>5.8663398333298658E-4</v>
      </c>
      <c r="Y715" s="9">
        <v>1900</v>
      </c>
      <c r="Z715" s="9">
        <v>1455</v>
      </c>
      <c r="AA715" s="9">
        <v>1615</v>
      </c>
      <c r="AB715">
        <v>0.3595505617977528</v>
      </c>
      <c r="AC715" s="11">
        <v>0.13448180050013878</v>
      </c>
      <c r="AD715" s="9">
        <v>1673.0649717514125</v>
      </c>
      <c r="AE715" s="8">
        <v>0.10996563573883161</v>
      </c>
    </row>
    <row r="716" spans="1:31" x14ac:dyDescent="0.35">
      <c r="A716" s="6" t="s">
        <v>737</v>
      </c>
      <c r="B716" s="7">
        <v>0</v>
      </c>
      <c r="C716" s="7">
        <v>9</v>
      </c>
      <c r="D716" s="7">
        <v>1</v>
      </c>
      <c r="E716" s="7">
        <v>8</v>
      </c>
      <c r="F716">
        <v>196</v>
      </c>
      <c r="G716">
        <v>26</v>
      </c>
      <c r="H716">
        <v>13.31</v>
      </c>
      <c r="I716">
        <v>-92</v>
      </c>
      <c r="J716">
        <v>-47.1</v>
      </c>
      <c r="K716">
        <v>789</v>
      </c>
      <c r="L716">
        <v>489</v>
      </c>
      <c r="M716">
        <v>300</v>
      </c>
      <c r="N716">
        <v>424.6</v>
      </c>
      <c r="O716">
        <v>-28.67</v>
      </c>
      <c r="P716">
        <v>0</v>
      </c>
      <c r="Q716">
        <v>5.98</v>
      </c>
      <c r="R716">
        <v>5.01</v>
      </c>
      <c r="S716">
        <v>-705</v>
      </c>
      <c r="T716">
        <v>1253</v>
      </c>
      <c r="U716">
        <v>1496</v>
      </c>
      <c r="V716">
        <v>91</v>
      </c>
      <c r="W716">
        <v>15.02</v>
      </c>
      <c r="X716" s="10">
        <v>0.52990934167212045</v>
      </c>
      <c r="Y716" s="9">
        <v>11900</v>
      </c>
      <c r="Z716" s="9">
        <v>7490</v>
      </c>
      <c r="AA716" s="9">
        <v>10300</v>
      </c>
      <c r="AB716">
        <v>0.63718820861678005</v>
      </c>
      <c r="AC716" s="11">
        <v>47.165323701028058</v>
      </c>
      <c r="AD716" s="9">
        <v>8236.1242937853094</v>
      </c>
      <c r="AE716" s="8">
        <v>0.35526315789473684</v>
      </c>
    </row>
    <row r="717" spans="1:31" x14ac:dyDescent="0.35">
      <c r="A717" s="6" t="s">
        <v>738</v>
      </c>
      <c r="B717" s="7">
        <v>1</v>
      </c>
      <c r="C717" s="7">
        <v>0</v>
      </c>
      <c r="D717" s="7">
        <v>7</v>
      </c>
      <c r="E717" s="7">
        <v>10</v>
      </c>
      <c r="F717">
        <v>389</v>
      </c>
      <c r="G717">
        <v>-24</v>
      </c>
      <c r="H717">
        <v>-6.05</v>
      </c>
      <c r="I717">
        <v>-54</v>
      </c>
      <c r="J717">
        <v>-13.74</v>
      </c>
      <c r="K717">
        <v>461</v>
      </c>
      <c r="L717">
        <v>41</v>
      </c>
      <c r="M717">
        <v>420</v>
      </c>
      <c r="N717">
        <v>662.29</v>
      </c>
      <c r="O717">
        <v>-12.02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 s="10">
        <v>0.76765597494150339</v>
      </c>
      <c r="Y717" s="9">
        <v>4545</v>
      </c>
      <c r="Z717" s="9">
        <v>3130</v>
      </c>
      <c r="AA717" s="9">
        <v>4545</v>
      </c>
      <c r="AB717">
        <v>1</v>
      </c>
      <c r="AC717" s="11">
        <v>19.888163378716314</v>
      </c>
      <c r="AD717" s="9">
        <v>2962.4943502824858</v>
      </c>
      <c r="AE717" s="8">
        <v>0.32894736842105265</v>
      </c>
    </row>
    <row r="718" spans="1:31" x14ac:dyDescent="0.35">
      <c r="A718" s="6" t="s">
        <v>739</v>
      </c>
      <c r="B718" s="7">
        <v>3</v>
      </c>
      <c r="C718" s="7">
        <v>0</v>
      </c>
      <c r="D718" s="7">
        <v>11</v>
      </c>
      <c r="E718" s="7">
        <v>4</v>
      </c>
      <c r="F718">
        <v>4296</v>
      </c>
      <c r="G718">
        <v>215</v>
      </c>
      <c r="H718">
        <v>5</v>
      </c>
      <c r="I718">
        <v>157</v>
      </c>
      <c r="J718">
        <v>3.65</v>
      </c>
      <c r="K718">
        <v>2661</v>
      </c>
      <c r="L718">
        <v>1362</v>
      </c>
      <c r="M718">
        <v>1299</v>
      </c>
      <c r="N718">
        <v>1337.89</v>
      </c>
      <c r="O718">
        <v>12.84</v>
      </c>
      <c r="P718">
        <v>5.31</v>
      </c>
      <c r="Q718">
        <v>0.7</v>
      </c>
      <c r="R718">
        <v>0.19</v>
      </c>
      <c r="S718">
        <v>906</v>
      </c>
      <c r="T718">
        <v>6928</v>
      </c>
      <c r="U718">
        <v>24794</v>
      </c>
      <c r="V718">
        <v>255</v>
      </c>
      <c r="W718">
        <v>3.72</v>
      </c>
      <c r="X718" s="10">
        <v>0.56052438722984566</v>
      </c>
      <c r="Y718" s="9">
        <v>6150</v>
      </c>
      <c r="Z718" s="9">
        <v>4780</v>
      </c>
      <c r="AA718" s="9">
        <v>5270</v>
      </c>
      <c r="AB718">
        <v>0.35766423357664234</v>
      </c>
      <c r="AC718" s="11">
        <v>17.806612948041121</v>
      </c>
      <c r="AD718" s="9">
        <v>4968.7316384180785</v>
      </c>
      <c r="AE718" s="8">
        <v>7.0050761421319802E-2</v>
      </c>
    </row>
    <row r="719" spans="1:31" x14ac:dyDescent="0.35">
      <c r="A719" s="6" t="s">
        <v>740</v>
      </c>
      <c r="B719" s="7">
        <v>4</v>
      </c>
      <c r="C719" s="7">
        <v>0</v>
      </c>
      <c r="D719" s="7">
        <v>0</v>
      </c>
      <c r="E719" s="7">
        <v>14</v>
      </c>
      <c r="F719">
        <v>1122</v>
      </c>
      <c r="G719">
        <v>-5</v>
      </c>
      <c r="H719">
        <v>-0.46</v>
      </c>
      <c r="I719">
        <v>7</v>
      </c>
      <c r="J719">
        <v>0.59</v>
      </c>
      <c r="K719">
        <v>1465</v>
      </c>
      <c r="L719">
        <v>201</v>
      </c>
      <c r="M719">
        <v>1265</v>
      </c>
      <c r="N719">
        <v>2103.77</v>
      </c>
      <c r="O719">
        <v>0.52</v>
      </c>
      <c r="P719">
        <v>243.28</v>
      </c>
      <c r="Q719">
        <v>1.51</v>
      </c>
      <c r="R719">
        <v>1.44</v>
      </c>
      <c r="S719">
        <v>67</v>
      </c>
      <c r="T719">
        <v>10800</v>
      </c>
      <c r="U719">
        <v>11291</v>
      </c>
      <c r="V719">
        <v>16</v>
      </c>
      <c r="W719">
        <v>119.11</v>
      </c>
      <c r="X719" s="10">
        <v>0.2615725975315526</v>
      </c>
      <c r="Y719" s="9">
        <v>18100</v>
      </c>
      <c r="Z719" s="9">
        <v>15950</v>
      </c>
      <c r="AA719" s="9">
        <v>17200</v>
      </c>
      <c r="AB719">
        <v>0.58139534883720934</v>
      </c>
      <c r="AC719" s="11">
        <v>17.93275909974993</v>
      </c>
      <c r="AD719" s="9">
        <v>16298.050847457627</v>
      </c>
      <c r="AE719" s="8">
        <v>5.5214723926380369E-2</v>
      </c>
    </row>
    <row r="720" spans="1:31" x14ac:dyDescent="0.35">
      <c r="A720" s="6" t="s">
        <v>741</v>
      </c>
      <c r="B720" s="7">
        <v>9</v>
      </c>
      <c r="C720" s="7">
        <v>0</v>
      </c>
      <c r="D720" s="7">
        <v>9</v>
      </c>
      <c r="E720" s="7">
        <v>0</v>
      </c>
      <c r="F720">
        <v>882</v>
      </c>
      <c r="G720">
        <v>91</v>
      </c>
      <c r="H720">
        <v>10.28</v>
      </c>
      <c r="I720">
        <v>28</v>
      </c>
      <c r="J720">
        <v>3.12</v>
      </c>
      <c r="K720">
        <v>1533</v>
      </c>
      <c r="L720">
        <v>459</v>
      </c>
      <c r="M720">
        <v>1075</v>
      </c>
      <c r="N720">
        <v>562.65</v>
      </c>
      <c r="O720">
        <v>2.5499999999999998</v>
      </c>
      <c r="P720">
        <v>71.88</v>
      </c>
      <c r="Q720">
        <v>2.13</v>
      </c>
      <c r="R720">
        <v>2.2400000000000002</v>
      </c>
      <c r="S720">
        <v>96</v>
      </c>
      <c r="T720">
        <v>3245</v>
      </c>
      <c r="U720">
        <v>3076</v>
      </c>
      <c r="V720">
        <v>100</v>
      </c>
      <c r="W720">
        <v>21.64</v>
      </c>
      <c r="X720" s="10">
        <v>0.61303018667045028</v>
      </c>
      <c r="Y720" s="9">
        <v>8180</v>
      </c>
      <c r="Z720" s="9">
        <v>6800</v>
      </c>
      <c r="AA720" s="9">
        <v>7870</v>
      </c>
      <c r="AB720">
        <v>0.77536231884057971</v>
      </c>
      <c r="AC720" s="11">
        <v>16.913309252570158</v>
      </c>
      <c r="AD720" s="9">
        <v>7099.9774011299432</v>
      </c>
      <c r="AE720" s="8">
        <v>0.15735294117647058</v>
      </c>
    </row>
    <row r="721" spans="1:31" x14ac:dyDescent="0.35">
      <c r="A721" s="6" t="s">
        <v>742</v>
      </c>
      <c r="B721" s="7">
        <v>0</v>
      </c>
      <c r="C721" s="7">
        <v>6</v>
      </c>
      <c r="D721" s="7">
        <v>1</v>
      </c>
      <c r="E721" s="7">
        <v>11</v>
      </c>
      <c r="F721">
        <v>1557</v>
      </c>
      <c r="G721">
        <v>-157</v>
      </c>
      <c r="H721">
        <v>-10.07</v>
      </c>
      <c r="I721">
        <v>-235</v>
      </c>
      <c r="J721">
        <v>-15.07</v>
      </c>
      <c r="K721">
        <v>924</v>
      </c>
      <c r="L721">
        <v>991</v>
      </c>
      <c r="M721">
        <v>-67</v>
      </c>
      <c r="N721">
        <v>-159.36000000000001</v>
      </c>
      <c r="O721">
        <v>0</v>
      </c>
      <c r="P721">
        <v>0</v>
      </c>
      <c r="Q721">
        <v>0</v>
      </c>
      <c r="R721">
        <v>0.17</v>
      </c>
      <c r="S721">
        <v>-1270</v>
      </c>
      <c r="T721">
        <v>-387</v>
      </c>
      <c r="U721">
        <v>8429</v>
      </c>
      <c r="V721">
        <v>-133</v>
      </c>
      <c r="W721">
        <v>-7.1</v>
      </c>
      <c r="X721" s="10">
        <v>0.41213785749664555</v>
      </c>
      <c r="Y721" s="9">
        <v>2700</v>
      </c>
      <c r="Z721" s="9">
        <v>1410</v>
      </c>
      <c r="AA721" s="9">
        <v>2035</v>
      </c>
      <c r="AB721">
        <v>0.48449612403100772</v>
      </c>
      <c r="AC721" s="11">
        <v>10.166157265907197</v>
      </c>
      <c r="AD721" s="9">
        <v>1621.9322033898304</v>
      </c>
      <c r="AE721" s="8">
        <v>0.40344827586206894</v>
      </c>
    </row>
    <row r="722" spans="1:31" x14ac:dyDescent="0.35">
      <c r="A722" s="6" t="s">
        <v>743</v>
      </c>
      <c r="B722" s="7">
        <v>6</v>
      </c>
      <c r="C722" s="7">
        <v>6</v>
      </c>
      <c r="D722" s="7">
        <v>1</v>
      </c>
      <c r="E722" s="7">
        <v>5</v>
      </c>
      <c r="F722">
        <v>2375</v>
      </c>
      <c r="G722">
        <v>112</v>
      </c>
      <c r="H722">
        <v>4.7300000000000004</v>
      </c>
      <c r="I722">
        <v>33</v>
      </c>
      <c r="J722">
        <v>1.39</v>
      </c>
      <c r="K722">
        <v>4356</v>
      </c>
      <c r="L722">
        <v>2888</v>
      </c>
      <c r="M722">
        <v>1468</v>
      </c>
      <c r="N722">
        <v>1253.1300000000001</v>
      </c>
      <c r="O722">
        <v>3.01</v>
      </c>
      <c r="P722">
        <v>28.86</v>
      </c>
      <c r="Q722">
        <v>0.86</v>
      </c>
      <c r="R722">
        <v>0.4</v>
      </c>
      <c r="S722">
        <v>201</v>
      </c>
      <c r="T722">
        <v>6717</v>
      </c>
      <c r="U722">
        <v>14593</v>
      </c>
      <c r="V722">
        <v>289</v>
      </c>
      <c r="W722">
        <v>10.73</v>
      </c>
      <c r="X722" s="10">
        <v>4.1195788494029743E-4</v>
      </c>
      <c r="Y722" s="9">
        <v>5250</v>
      </c>
      <c r="Z722" s="9">
        <v>4075</v>
      </c>
      <c r="AA722" s="9">
        <v>4615</v>
      </c>
      <c r="AB722">
        <v>0.45957446808510638</v>
      </c>
      <c r="AC722" s="11">
        <v>0.35051403167546541</v>
      </c>
      <c r="AD722" s="9">
        <v>4630.5593220338988</v>
      </c>
      <c r="AE722" s="8">
        <v>-0.12095238095238095</v>
      </c>
    </row>
    <row r="723" spans="1:31" x14ac:dyDescent="0.35">
      <c r="A723" s="6" t="s">
        <v>744</v>
      </c>
      <c r="B723" s="7">
        <v>8</v>
      </c>
      <c r="C723" s="7">
        <v>2</v>
      </c>
      <c r="D723" s="7">
        <v>6</v>
      </c>
      <c r="E723" s="7">
        <v>2</v>
      </c>
      <c r="F723">
        <v>347</v>
      </c>
      <c r="G723">
        <v>28</v>
      </c>
      <c r="H723">
        <v>7.95</v>
      </c>
      <c r="I723">
        <v>23</v>
      </c>
      <c r="J723">
        <v>6.75</v>
      </c>
      <c r="K723">
        <v>461</v>
      </c>
      <c r="L723">
        <v>138</v>
      </c>
      <c r="M723">
        <v>322</v>
      </c>
      <c r="N723">
        <v>902.29</v>
      </c>
      <c r="O723">
        <v>7.48</v>
      </c>
      <c r="P723">
        <v>8.3699999999999992</v>
      </c>
      <c r="Q723">
        <v>0.63</v>
      </c>
      <c r="R723">
        <v>0.56000000000000005</v>
      </c>
      <c r="S723">
        <v>365</v>
      </c>
      <c r="T723">
        <v>4855</v>
      </c>
      <c r="U723">
        <v>5409</v>
      </c>
      <c r="V723">
        <v>33</v>
      </c>
      <c r="W723">
        <v>6.03</v>
      </c>
      <c r="X723" s="10">
        <v>0.67142033869066686</v>
      </c>
      <c r="Y723" s="9">
        <v>6000</v>
      </c>
      <c r="Z723" s="9">
        <v>2930</v>
      </c>
      <c r="AA723" s="9">
        <v>6000</v>
      </c>
      <c r="AB723">
        <v>1</v>
      </c>
      <c r="AC723" s="11">
        <v>39.479577660461239</v>
      </c>
      <c r="AD723" s="9">
        <v>2371.2062146892658</v>
      </c>
      <c r="AE723" s="8">
        <v>1.0100502512562815</v>
      </c>
    </row>
    <row r="724" spans="1:31" x14ac:dyDescent="0.35">
      <c r="A724" s="6" t="s">
        <v>745</v>
      </c>
      <c r="B724" s="7">
        <v>12</v>
      </c>
      <c r="C724" s="7">
        <v>4</v>
      </c>
      <c r="D724" s="7">
        <v>1</v>
      </c>
      <c r="E724" s="7">
        <v>1</v>
      </c>
      <c r="F724">
        <v>326</v>
      </c>
      <c r="G724">
        <v>91</v>
      </c>
      <c r="H724">
        <v>28.06</v>
      </c>
      <c r="I724">
        <v>95</v>
      </c>
      <c r="J724">
        <v>29.23</v>
      </c>
      <c r="K724">
        <v>674</v>
      </c>
      <c r="L724">
        <v>109</v>
      </c>
      <c r="M724">
        <v>565</v>
      </c>
      <c r="N724">
        <v>604.91999999999996</v>
      </c>
      <c r="O724">
        <v>18.77</v>
      </c>
      <c r="P724">
        <v>21.8</v>
      </c>
      <c r="Q724">
        <v>3.87</v>
      </c>
      <c r="R724">
        <v>6.37</v>
      </c>
      <c r="S724">
        <v>610</v>
      </c>
      <c r="T724">
        <v>3441</v>
      </c>
      <c r="U724">
        <v>2089</v>
      </c>
      <c r="V724">
        <v>108</v>
      </c>
      <c r="W724">
        <v>20.059999999999999</v>
      </c>
      <c r="X724" s="10">
        <v>0.44982548542446144</v>
      </c>
      <c r="Y724" s="9">
        <v>17150</v>
      </c>
      <c r="Z724" s="9">
        <v>12950</v>
      </c>
      <c r="AA724" s="9">
        <v>15300</v>
      </c>
      <c r="AB724">
        <v>0.55952380952380953</v>
      </c>
      <c r="AC724" s="11">
        <v>47.75076410113919</v>
      </c>
      <c r="AD724" s="9">
        <v>13607.768361581921</v>
      </c>
      <c r="AE724" s="8">
        <v>0.16793893129770993</v>
      </c>
    </row>
    <row r="725" spans="1:31" x14ac:dyDescent="0.35">
      <c r="A725" s="6" t="s">
        <v>746</v>
      </c>
      <c r="B725" s="7">
        <v>7</v>
      </c>
      <c r="C725" s="7">
        <v>6</v>
      </c>
      <c r="D725" s="7">
        <v>3</v>
      </c>
      <c r="E725" s="7">
        <v>2</v>
      </c>
      <c r="F725">
        <v>403</v>
      </c>
      <c r="G725">
        <v>49</v>
      </c>
      <c r="H725">
        <v>12.26</v>
      </c>
      <c r="I725">
        <v>28</v>
      </c>
      <c r="J725">
        <v>7</v>
      </c>
      <c r="K725">
        <v>345</v>
      </c>
      <c r="L725">
        <v>68</v>
      </c>
      <c r="M725">
        <v>277</v>
      </c>
      <c r="N725">
        <v>817.55</v>
      </c>
      <c r="O725">
        <v>15.2</v>
      </c>
      <c r="P725">
        <v>6.31</v>
      </c>
      <c r="Q725">
        <v>1.04</v>
      </c>
      <c r="R725">
        <v>0.44</v>
      </c>
      <c r="S725">
        <v>716</v>
      </c>
      <c r="T725">
        <v>4345</v>
      </c>
      <c r="U725">
        <v>10240</v>
      </c>
      <c r="V725">
        <v>55</v>
      </c>
      <c r="W725">
        <v>5</v>
      </c>
      <c r="X725" s="10">
        <v>0.76512288534571371</v>
      </c>
      <c r="Y725" s="9">
        <v>6510</v>
      </c>
      <c r="Z725" s="9">
        <v>4395</v>
      </c>
      <c r="AA725" s="9">
        <v>6100</v>
      </c>
      <c r="AB725">
        <v>0.80614657210401897</v>
      </c>
      <c r="AC725" s="11">
        <v>29.915254237288142</v>
      </c>
      <c r="AD725" s="9">
        <v>4459.7514124293784</v>
      </c>
      <c r="AE725" s="8">
        <v>0.33187772925764192</v>
      </c>
    </row>
    <row r="726" spans="1:31" x14ac:dyDescent="0.35">
      <c r="A726" s="6" t="s">
        <v>747</v>
      </c>
      <c r="B726" s="7">
        <v>1</v>
      </c>
      <c r="C726" s="7">
        <v>2</v>
      </c>
      <c r="D726" s="7">
        <v>7</v>
      </c>
      <c r="E726" s="7">
        <v>8</v>
      </c>
      <c r="F726">
        <v>1695</v>
      </c>
      <c r="G726">
        <v>40</v>
      </c>
      <c r="H726">
        <v>2.38</v>
      </c>
      <c r="I726">
        <v>-24</v>
      </c>
      <c r="J726">
        <v>-1.41</v>
      </c>
      <c r="K726">
        <v>3128</v>
      </c>
      <c r="L726">
        <v>2330</v>
      </c>
      <c r="M726">
        <v>799</v>
      </c>
      <c r="N726">
        <v>749</v>
      </c>
      <c r="O726">
        <v>-3.89</v>
      </c>
      <c r="P726">
        <v>0</v>
      </c>
      <c r="Q726">
        <v>1.25</v>
      </c>
      <c r="R726">
        <v>0.36</v>
      </c>
      <c r="S726">
        <v>-172</v>
      </c>
      <c r="T726">
        <v>3495</v>
      </c>
      <c r="U726">
        <v>12196</v>
      </c>
      <c r="V726">
        <v>300</v>
      </c>
      <c r="W726">
        <v>7.06</v>
      </c>
      <c r="X726" s="10">
        <v>0.73679797033976868</v>
      </c>
      <c r="Y726" s="9">
        <v>5650</v>
      </c>
      <c r="Z726" s="9">
        <v>3540</v>
      </c>
      <c r="AA726" s="9">
        <v>5390</v>
      </c>
      <c r="AB726">
        <v>0.87677725118483407</v>
      </c>
      <c r="AC726" s="11">
        <v>31.833287024173387</v>
      </c>
      <c r="AD726" s="9">
        <v>3337.2514124293784</v>
      </c>
      <c r="AE726" s="8">
        <v>0.41469816272965881</v>
      </c>
    </row>
    <row r="727" spans="1:31" x14ac:dyDescent="0.35">
      <c r="A727" s="6" t="s">
        <v>748</v>
      </c>
      <c r="B727" s="7">
        <v>2</v>
      </c>
      <c r="C727" s="7">
        <v>10</v>
      </c>
      <c r="D727" s="7">
        <v>0</v>
      </c>
      <c r="E727" s="7">
        <v>6</v>
      </c>
      <c r="F727">
        <v>62</v>
      </c>
      <c r="G727">
        <v>-13</v>
      </c>
      <c r="H727">
        <v>-21.21</v>
      </c>
      <c r="I727">
        <v>-17</v>
      </c>
      <c r="J727">
        <v>-28.22</v>
      </c>
      <c r="K727">
        <v>215</v>
      </c>
      <c r="L727">
        <v>119</v>
      </c>
      <c r="M727">
        <v>96</v>
      </c>
      <c r="N727">
        <v>278.45</v>
      </c>
      <c r="O727">
        <v>-22.53</v>
      </c>
      <c r="P727">
        <v>0</v>
      </c>
      <c r="Q727">
        <v>9.19</v>
      </c>
      <c r="R727">
        <v>9.75</v>
      </c>
      <c r="S727">
        <v>-457</v>
      </c>
      <c r="T727">
        <v>1714</v>
      </c>
      <c r="U727">
        <v>1616</v>
      </c>
      <c r="V727">
        <v>6</v>
      </c>
      <c r="W727">
        <v>145</v>
      </c>
      <c r="X727" s="10">
        <v>0.74199526820139128</v>
      </c>
      <c r="Y727" s="9">
        <v>22000</v>
      </c>
      <c r="Z727" s="9">
        <v>12900</v>
      </c>
      <c r="AA727" s="9">
        <v>17450</v>
      </c>
      <c r="AB727">
        <v>0.5</v>
      </c>
      <c r="AC727" s="11">
        <v>132.82995276465681</v>
      </c>
      <c r="AD727" s="9">
        <v>13204.5197740113</v>
      </c>
      <c r="AE727" s="8">
        <v>0.31203007518796994</v>
      </c>
    </row>
    <row r="728" spans="1:31" x14ac:dyDescent="0.35">
      <c r="A728" s="6" t="s">
        <v>749</v>
      </c>
      <c r="B728" s="7">
        <v>0</v>
      </c>
      <c r="C728" s="7">
        <v>15</v>
      </c>
      <c r="D728" s="7">
        <v>3</v>
      </c>
      <c r="E728" s="7">
        <v>0</v>
      </c>
      <c r="F728">
        <v>616</v>
      </c>
      <c r="G728">
        <v>150</v>
      </c>
      <c r="H728">
        <v>24.33</v>
      </c>
      <c r="I728">
        <v>102</v>
      </c>
      <c r="J728">
        <v>16.489999999999998</v>
      </c>
      <c r="K728">
        <v>677</v>
      </c>
      <c r="L728">
        <v>250</v>
      </c>
      <c r="M728">
        <v>427</v>
      </c>
      <c r="N728">
        <v>712.47</v>
      </c>
      <c r="O728">
        <v>33.880000000000003</v>
      </c>
      <c r="P728">
        <v>20.13</v>
      </c>
      <c r="Q728">
        <v>5.62</v>
      </c>
      <c r="R728">
        <v>3.32</v>
      </c>
      <c r="S728">
        <v>1038</v>
      </c>
      <c r="T728">
        <v>3718</v>
      </c>
      <c r="U728">
        <v>6292</v>
      </c>
      <c r="V728">
        <v>193</v>
      </c>
      <c r="W728">
        <v>12.15</v>
      </c>
      <c r="X728" s="10">
        <v>0.6091420089956594</v>
      </c>
      <c r="Y728" s="9">
        <v>23300</v>
      </c>
      <c r="Z728" s="9">
        <v>19050</v>
      </c>
      <c r="AA728" s="9">
        <v>19750</v>
      </c>
      <c r="AB728">
        <v>0.16470588235294117</v>
      </c>
      <c r="AC728" s="11">
        <v>-43.620450125034729</v>
      </c>
      <c r="AD728" s="9">
        <v>22180.423728813559</v>
      </c>
      <c r="AE728" s="8">
        <v>-5.2757793764988008E-2</v>
      </c>
    </row>
    <row r="729" spans="1:31" x14ac:dyDescent="0.35">
      <c r="A729" s="6" t="s">
        <v>750</v>
      </c>
      <c r="B729" s="7">
        <v>10</v>
      </c>
      <c r="C729" s="7">
        <v>1</v>
      </c>
      <c r="D729" s="7">
        <v>5</v>
      </c>
      <c r="E729" s="7">
        <v>2</v>
      </c>
      <c r="F729">
        <v>1302</v>
      </c>
      <c r="G729">
        <v>32</v>
      </c>
      <c r="H729">
        <v>2.42</v>
      </c>
      <c r="I729">
        <v>34</v>
      </c>
      <c r="J729">
        <v>2.6</v>
      </c>
      <c r="K729">
        <v>993</v>
      </c>
      <c r="L729">
        <v>695</v>
      </c>
      <c r="M729">
        <v>298</v>
      </c>
      <c r="N729">
        <v>366.54</v>
      </c>
      <c r="O729">
        <v>11.99</v>
      </c>
      <c r="P729">
        <v>14.15</v>
      </c>
      <c r="Q729">
        <v>1.63</v>
      </c>
      <c r="R729">
        <v>0.37</v>
      </c>
      <c r="S729">
        <v>265</v>
      </c>
      <c r="T729">
        <v>2296</v>
      </c>
      <c r="U729">
        <v>10201</v>
      </c>
      <c r="V729">
        <v>44</v>
      </c>
      <c r="W729">
        <v>19.18</v>
      </c>
      <c r="X729" s="10">
        <v>0.25142161038944855</v>
      </c>
      <c r="Y729" s="9">
        <v>4025</v>
      </c>
      <c r="Z729" s="9">
        <v>3265</v>
      </c>
      <c r="AA729" s="9">
        <v>3675</v>
      </c>
      <c r="AB729">
        <v>0.53947368421052633</v>
      </c>
      <c r="AC729" s="11">
        <v>5.8864962489580437</v>
      </c>
      <c r="AD729" s="9">
        <v>3492.5451977401131</v>
      </c>
      <c r="AE729" s="8">
        <v>-1.8691588785046728E-2</v>
      </c>
    </row>
    <row r="730" spans="1:31" x14ac:dyDescent="0.35">
      <c r="A730" s="6" t="s">
        <v>751</v>
      </c>
      <c r="B730" s="7">
        <v>7</v>
      </c>
      <c r="C730" s="7">
        <v>3</v>
      </c>
      <c r="D730" s="7">
        <v>2</v>
      </c>
      <c r="E730" s="7">
        <v>6</v>
      </c>
      <c r="F730">
        <v>926</v>
      </c>
      <c r="G730">
        <v>42</v>
      </c>
      <c r="H730">
        <v>4.5199999999999996</v>
      </c>
      <c r="I730">
        <v>38</v>
      </c>
      <c r="J730">
        <v>4.0999999999999996</v>
      </c>
      <c r="K730">
        <v>680</v>
      </c>
      <c r="L730">
        <v>223</v>
      </c>
      <c r="M730">
        <v>457</v>
      </c>
      <c r="N730">
        <v>1118.73</v>
      </c>
      <c r="O730">
        <v>8.58</v>
      </c>
      <c r="P730">
        <v>11.32</v>
      </c>
      <c r="Q730">
        <v>0.97</v>
      </c>
      <c r="R730">
        <v>0.46</v>
      </c>
      <c r="S730">
        <v>506</v>
      </c>
      <c r="T730">
        <v>5912</v>
      </c>
      <c r="U730">
        <v>12344</v>
      </c>
      <c r="V730">
        <v>49</v>
      </c>
      <c r="W730">
        <v>8.7200000000000006</v>
      </c>
      <c r="X730" s="10">
        <v>0.40329442196304044</v>
      </c>
      <c r="Y730" s="9">
        <v>7400</v>
      </c>
      <c r="Z730" s="9">
        <v>4985</v>
      </c>
      <c r="AA730" s="9">
        <v>6470</v>
      </c>
      <c r="AB730">
        <v>0.6149068322981367</v>
      </c>
      <c r="AC730" s="11">
        <v>18.277716032231169</v>
      </c>
      <c r="AD730" s="9">
        <v>5815.112994350282</v>
      </c>
      <c r="AE730" s="8">
        <v>0.29789368104312941</v>
      </c>
    </row>
    <row r="731" spans="1:31" x14ac:dyDescent="0.35">
      <c r="A731" s="6" t="s">
        <v>752</v>
      </c>
      <c r="B731" s="7">
        <v>3</v>
      </c>
      <c r="C731" s="7">
        <v>8</v>
      </c>
      <c r="D731" s="7">
        <v>1</v>
      </c>
      <c r="E731" s="7">
        <v>6</v>
      </c>
      <c r="F731">
        <v>434</v>
      </c>
      <c r="G731">
        <v>17</v>
      </c>
      <c r="H731">
        <v>3.87</v>
      </c>
      <c r="I731">
        <v>-44</v>
      </c>
      <c r="J731">
        <v>-10.039999999999999</v>
      </c>
      <c r="K731">
        <v>1104</v>
      </c>
      <c r="L731">
        <v>730</v>
      </c>
      <c r="M731">
        <v>374</v>
      </c>
      <c r="N731">
        <v>612.41</v>
      </c>
      <c r="O731">
        <v>-14.76</v>
      </c>
      <c r="P731">
        <v>0</v>
      </c>
      <c r="Q731">
        <v>2.5299999999999998</v>
      </c>
      <c r="R731">
        <v>1.51</v>
      </c>
      <c r="S731">
        <v>-513</v>
      </c>
      <c r="T731">
        <v>3047</v>
      </c>
      <c r="U731">
        <v>5116</v>
      </c>
      <c r="V731">
        <v>41</v>
      </c>
      <c r="W731">
        <v>36.479999999999997</v>
      </c>
      <c r="X731" s="10">
        <v>0.90791849347077491</v>
      </c>
      <c r="Y731" s="9">
        <v>12300</v>
      </c>
      <c r="Z731" s="9">
        <v>7110</v>
      </c>
      <c r="AA731" s="9">
        <v>12300</v>
      </c>
      <c r="AB731">
        <v>1</v>
      </c>
      <c r="AC731" s="11">
        <v>69.490969713809378</v>
      </c>
      <c r="AD731" s="9">
        <v>6943.1920903954797</v>
      </c>
      <c r="AE731" s="8">
        <v>0.72995780590717296</v>
      </c>
    </row>
    <row r="732" spans="1:31" x14ac:dyDescent="0.35">
      <c r="A732" s="6" t="s">
        <v>753</v>
      </c>
      <c r="B732" s="7">
        <v>6</v>
      </c>
      <c r="C732" s="7">
        <v>2</v>
      </c>
      <c r="D732" s="7">
        <v>9</v>
      </c>
      <c r="E732" s="7">
        <v>1</v>
      </c>
      <c r="F732">
        <v>153</v>
      </c>
      <c r="G732">
        <v>9</v>
      </c>
      <c r="H732">
        <v>6.02</v>
      </c>
      <c r="I732">
        <v>20</v>
      </c>
      <c r="J732">
        <v>13.29</v>
      </c>
      <c r="K732">
        <v>845</v>
      </c>
      <c r="L732">
        <v>232</v>
      </c>
      <c r="M732">
        <v>613</v>
      </c>
      <c r="N732">
        <v>455.76</v>
      </c>
      <c r="O732">
        <v>4.6900000000000004</v>
      </c>
      <c r="P732">
        <v>25.57</v>
      </c>
      <c r="Q732">
        <v>1.31</v>
      </c>
      <c r="R732">
        <v>3.39</v>
      </c>
      <c r="S732">
        <v>132</v>
      </c>
      <c r="T732">
        <v>2568</v>
      </c>
      <c r="U732">
        <v>997</v>
      </c>
      <c r="V732">
        <v>12</v>
      </c>
      <c r="W732">
        <v>60.52</v>
      </c>
      <c r="X732" s="10">
        <v>0.22384163649926631</v>
      </c>
      <c r="Y732" s="9">
        <v>4820</v>
      </c>
      <c r="Z732" s="9">
        <v>3305</v>
      </c>
      <c r="AA732" s="9">
        <v>4130</v>
      </c>
      <c r="AB732">
        <v>0.54455445544554459</v>
      </c>
      <c r="AC732" s="11">
        <v>7.4727702139483174</v>
      </c>
      <c r="AD732" s="9">
        <v>3828.4971751412427</v>
      </c>
      <c r="AE732" s="8">
        <v>0.24962178517397882</v>
      </c>
    </row>
    <row r="733" spans="1:31" x14ac:dyDescent="0.35">
      <c r="A733" s="6" t="s">
        <v>754</v>
      </c>
      <c r="B733" s="7">
        <v>0</v>
      </c>
      <c r="C733" s="7">
        <v>3</v>
      </c>
      <c r="D733" s="7">
        <v>1</v>
      </c>
      <c r="E733" s="7">
        <v>14</v>
      </c>
      <c r="F733">
        <v>71</v>
      </c>
      <c r="G733">
        <v>-53</v>
      </c>
      <c r="H733">
        <v>-75.510000000000005</v>
      </c>
      <c r="I733">
        <v>-143</v>
      </c>
      <c r="J733">
        <v>-201.99</v>
      </c>
      <c r="K733">
        <v>189</v>
      </c>
      <c r="L733">
        <v>92</v>
      </c>
      <c r="M733">
        <v>97</v>
      </c>
      <c r="N733">
        <v>-12.66</v>
      </c>
      <c r="O733">
        <v>-134.58000000000001</v>
      </c>
      <c r="P733">
        <v>0</v>
      </c>
      <c r="Q733">
        <v>7.09</v>
      </c>
      <c r="R733">
        <v>3.23</v>
      </c>
      <c r="S733">
        <v>-816</v>
      </c>
      <c r="T733">
        <v>184</v>
      </c>
      <c r="U733">
        <v>404</v>
      </c>
      <c r="V733">
        <v>-65</v>
      </c>
      <c r="W733">
        <v>-5.78</v>
      </c>
      <c r="X733" s="10">
        <v>0.16991423226360686</v>
      </c>
      <c r="Y733" s="9">
        <v>1495</v>
      </c>
      <c r="Z733" s="9">
        <v>1090</v>
      </c>
      <c r="AA733" s="9">
        <v>1275</v>
      </c>
      <c r="AB733">
        <v>0.4567901234567901</v>
      </c>
      <c r="AC733" s="11">
        <v>1.9087246457349263</v>
      </c>
      <c r="AD733" s="9">
        <v>1251.0338983050847</v>
      </c>
      <c r="AE733" s="8">
        <v>8.5106382978723402E-2</v>
      </c>
    </row>
    <row r="734" spans="1:31" x14ac:dyDescent="0.35">
      <c r="A734" s="6" t="s">
        <v>755</v>
      </c>
      <c r="B734" s="7">
        <v>5</v>
      </c>
      <c r="C734" s="7">
        <v>3</v>
      </c>
      <c r="D734" s="7">
        <v>5</v>
      </c>
      <c r="E734" s="7">
        <v>5</v>
      </c>
      <c r="F734">
        <v>3230</v>
      </c>
      <c r="G734">
        <v>69</v>
      </c>
      <c r="H734">
        <v>2.13</v>
      </c>
      <c r="I734">
        <v>315</v>
      </c>
      <c r="J734">
        <v>9.74</v>
      </c>
      <c r="K734">
        <v>2215</v>
      </c>
      <c r="L734">
        <v>177</v>
      </c>
      <c r="M734">
        <v>2038</v>
      </c>
      <c r="N734">
        <v>1965.39</v>
      </c>
      <c r="O734">
        <v>12.97</v>
      </c>
      <c r="P734">
        <v>7.24</v>
      </c>
      <c r="Q734">
        <v>0.77</v>
      </c>
      <c r="R734">
        <v>0.71</v>
      </c>
      <c r="S734">
        <v>1044</v>
      </c>
      <c r="T734">
        <v>9787</v>
      </c>
      <c r="U734">
        <v>10713</v>
      </c>
      <c r="V734">
        <v>198</v>
      </c>
      <c r="W734">
        <v>12.09</v>
      </c>
      <c r="X734" s="10">
        <v>0.59842941157169494</v>
      </c>
      <c r="Y734" s="9">
        <v>7880</v>
      </c>
      <c r="Z734" s="9">
        <v>5650</v>
      </c>
      <c r="AA734" s="9">
        <v>7880</v>
      </c>
      <c r="AB734">
        <v>1</v>
      </c>
      <c r="AC734" s="11">
        <v>23.694359544317869</v>
      </c>
      <c r="AD734" s="9">
        <v>6050.9887005649716</v>
      </c>
      <c r="AE734" s="8">
        <v>0.19756838905775076</v>
      </c>
    </row>
    <row r="735" spans="1:31" x14ac:dyDescent="0.35">
      <c r="A735" s="6" t="s">
        <v>756</v>
      </c>
      <c r="B735" s="7">
        <v>0</v>
      </c>
      <c r="C735" s="7">
        <v>11</v>
      </c>
      <c r="D735" s="7">
        <v>0</v>
      </c>
      <c r="E735" s="7">
        <v>7</v>
      </c>
      <c r="F735">
        <v>246</v>
      </c>
      <c r="G735">
        <v>16</v>
      </c>
      <c r="H735">
        <v>6.48</v>
      </c>
      <c r="I735">
        <v>14</v>
      </c>
      <c r="J735">
        <v>5.72</v>
      </c>
      <c r="K735">
        <v>1939</v>
      </c>
      <c r="L735">
        <v>867</v>
      </c>
      <c r="M735">
        <v>1072</v>
      </c>
      <c r="N735">
        <v>1843.91</v>
      </c>
      <c r="O735">
        <v>1.31</v>
      </c>
      <c r="P735">
        <v>0</v>
      </c>
      <c r="Q735">
        <v>0</v>
      </c>
      <c r="R735">
        <v>0</v>
      </c>
      <c r="S735">
        <v>127</v>
      </c>
      <c r="T735">
        <v>9682</v>
      </c>
      <c r="U735">
        <v>2226</v>
      </c>
      <c r="V735">
        <v>0</v>
      </c>
      <c r="W735">
        <v>0</v>
      </c>
      <c r="X735" s="10">
        <v>0.71056700452277621</v>
      </c>
      <c r="Y735" s="9">
        <v>14000</v>
      </c>
      <c r="Z735" s="9">
        <v>9250</v>
      </c>
      <c r="AA735" s="9">
        <v>12750</v>
      </c>
      <c r="AB735">
        <v>0.73684210526315785</v>
      </c>
      <c r="AC735" s="11">
        <v>75.618367346938768</v>
      </c>
      <c r="AD735" s="9">
        <v>9332.6367346938787</v>
      </c>
      <c r="AE735" s="8">
        <v>0</v>
      </c>
    </row>
    <row r="736" spans="1:31" x14ac:dyDescent="0.35">
      <c r="A736" s="6" t="s">
        <v>757</v>
      </c>
      <c r="B736" s="7">
        <v>0</v>
      </c>
      <c r="C736" s="7">
        <v>1</v>
      </c>
      <c r="D736" s="7">
        <v>4</v>
      </c>
      <c r="E736" s="7">
        <v>13</v>
      </c>
      <c r="F736">
        <v>250</v>
      </c>
      <c r="G736">
        <v>-27</v>
      </c>
      <c r="H736">
        <v>-10.59</v>
      </c>
      <c r="I736">
        <v>-22</v>
      </c>
      <c r="J736">
        <v>-8.7200000000000006</v>
      </c>
      <c r="K736">
        <v>254</v>
      </c>
      <c r="L736">
        <v>30</v>
      </c>
      <c r="M736">
        <v>223</v>
      </c>
      <c r="N736">
        <v>456.23</v>
      </c>
      <c r="O736">
        <v>-9.2899999999999991</v>
      </c>
      <c r="P736">
        <v>0</v>
      </c>
      <c r="Q736">
        <v>0.73</v>
      </c>
      <c r="R736">
        <v>0.59</v>
      </c>
      <c r="S736">
        <v>-276</v>
      </c>
      <c r="T736">
        <v>2572</v>
      </c>
      <c r="U736">
        <v>3159</v>
      </c>
      <c r="V736">
        <v>-22</v>
      </c>
      <c r="W736">
        <v>-7.16</v>
      </c>
      <c r="X736" s="10">
        <v>0.5068941134249989</v>
      </c>
      <c r="Y736" s="9">
        <v>2220</v>
      </c>
      <c r="Z736" s="9">
        <v>1805</v>
      </c>
      <c r="AA736" s="9">
        <v>2160</v>
      </c>
      <c r="AB736">
        <v>0.85542168674698793</v>
      </c>
      <c r="AC736" s="11">
        <v>4.8684356765768273</v>
      </c>
      <c r="AD736" s="9">
        <v>1803.7627118644068</v>
      </c>
      <c r="AE736" s="8">
        <v>0.17711171662125341</v>
      </c>
    </row>
    <row r="737" spans="1:31" x14ac:dyDescent="0.35">
      <c r="A737" s="6" t="s">
        <v>758</v>
      </c>
      <c r="B737" s="7">
        <v>3</v>
      </c>
      <c r="C737" s="7">
        <v>1</v>
      </c>
      <c r="D737" s="7">
        <v>1</v>
      </c>
      <c r="E737" s="7">
        <v>13</v>
      </c>
      <c r="F737">
        <v>459</v>
      </c>
      <c r="G737">
        <v>-10</v>
      </c>
      <c r="H737">
        <v>-2.1800000000000002</v>
      </c>
      <c r="I737">
        <v>-13</v>
      </c>
      <c r="J737">
        <v>-2.9</v>
      </c>
      <c r="K737">
        <v>824</v>
      </c>
      <c r="L737">
        <v>509</v>
      </c>
      <c r="M737">
        <v>315</v>
      </c>
      <c r="N737">
        <v>227.66</v>
      </c>
      <c r="O737">
        <v>-5.52</v>
      </c>
      <c r="P737">
        <v>0</v>
      </c>
      <c r="Q737">
        <v>0.59</v>
      </c>
      <c r="R737">
        <v>0.3</v>
      </c>
      <c r="S737">
        <v>-92</v>
      </c>
      <c r="T737">
        <v>1612</v>
      </c>
      <c r="U737">
        <v>3187</v>
      </c>
      <c r="V737">
        <v>15</v>
      </c>
      <c r="W737">
        <v>33.53</v>
      </c>
      <c r="X737" s="10">
        <v>0.57695639822317835</v>
      </c>
      <c r="Y737" s="9">
        <v>1675</v>
      </c>
      <c r="Z737" s="9">
        <v>831</v>
      </c>
      <c r="AA737" s="9">
        <v>1375</v>
      </c>
      <c r="AB737">
        <v>0.64454976303317535</v>
      </c>
      <c r="AC737" s="11">
        <v>8.7722422895248702</v>
      </c>
      <c r="AD737" s="9">
        <v>791.72994350282477</v>
      </c>
      <c r="AE737" s="8">
        <v>0.65463297232250306</v>
      </c>
    </row>
    <row r="738" spans="1:31" x14ac:dyDescent="0.35">
      <c r="A738" s="6" t="s">
        <v>759</v>
      </c>
      <c r="B738" s="7">
        <v>1</v>
      </c>
      <c r="C738" s="7">
        <v>13</v>
      </c>
      <c r="D738" s="7">
        <v>1</v>
      </c>
      <c r="E738" s="7">
        <v>3</v>
      </c>
      <c r="F738">
        <v>198</v>
      </c>
      <c r="G738">
        <v>0</v>
      </c>
      <c r="H738">
        <v>0.18</v>
      </c>
      <c r="I738">
        <v>10</v>
      </c>
      <c r="J738">
        <v>5.29</v>
      </c>
      <c r="K738">
        <v>567</v>
      </c>
      <c r="L738">
        <v>53</v>
      </c>
      <c r="M738">
        <v>514</v>
      </c>
      <c r="N738">
        <v>1054.31</v>
      </c>
      <c r="O738">
        <v>2.74</v>
      </c>
      <c r="P738">
        <v>19.010000000000002</v>
      </c>
      <c r="Q738">
        <v>0.53</v>
      </c>
      <c r="R738">
        <v>1.01</v>
      </c>
      <c r="S738">
        <v>157</v>
      </c>
      <c r="T738">
        <v>5628</v>
      </c>
      <c r="U738">
        <v>2965</v>
      </c>
      <c r="V738">
        <v>7</v>
      </c>
      <c r="W738">
        <v>38.950000000000003</v>
      </c>
      <c r="X738" s="10">
        <v>0.82126405170707362</v>
      </c>
      <c r="Y738" s="9">
        <v>2925</v>
      </c>
      <c r="Z738" s="9">
        <v>2405</v>
      </c>
      <c r="AA738" s="9">
        <v>2880</v>
      </c>
      <c r="AB738">
        <v>0.91346153846153844</v>
      </c>
      <c r="AC738" s="11">
        <v>8.7071408724645742</v>
      </c>
      <c r="AD738" s="9">
        <v>2365.7655367231641</v>
      </c>
      <c r="AE738" s="8">
        <v>0.12941176470588237</v>
      </c>
    </row>
    <row r="739" spans="1:31" x14ac:dyDescent="0.35">
      <c r="A739" s="6" t="s">
        <v>760</v>
      </c>
      <c r="B739" s="7">
        <v>0</v>
      </c>
      <c r="C739" s="7">
        <v>1</v>
      </c>
      <c r="D739" s="7">
        <v>13</v>
      </c>
      <c r="E739" s="7">
        <v>4</v>
      </c>
      <c r="F739">
        <v>772</v>
      </c>
      <c r="G739">
        <v>19</v>
      </c>
      <c r="H739">
        <v>2.4700000000000002</v>
      </c>
      <c r="I739">
        <v>-64</v>
      </c>
      <c r="J739">
        <v>-8.24</v>
      </c>
      <c r="K739">
        <v>1032</v>
      </c>
      <c r="L739">
        <v>491</v>
      </c>
      <c r="M739">
        <v>541</v>
      </c>
      <c r="N739">
        <v>1927.4</v>
      </c>
      <c r="O739">
        <v>-10.99</v>
      </c>
      <c r="P739">
        <v>0</v>
      </c>
      <c r="Q739">
        <v>0.75</v>
      </c>
      <c r="R739">
        <v>0.5</v>
      </c>
      <c r="S739">
        <v>-1159</v>
      </c>
      <c r="T739">
        <v>9249</v>
      </c>
      <c r="U739">
        <v>14071</v>
      </c>
      <c r="V739">
        <v>81</v>
      </c>
      <c r="W739">
        <v>8.2200000000000006</v>
      </c>
      <c r="X739" s="10">
        <v>0.29752454211364698</v>
      </c>
      <c r="Y739" s="9">
        <v>9610</v>
      </c>
      <c r="Z739" s="9">
        <v>6960</v>
      </c>
      <c r="AA739" s="9">
        <v>9340</v>
      </c>
      <c r="AB739">
        <v>0.89811320754716983</v>
      </c>
      <c r="AC739" s="11">
        <v>21.216171158655182</v>
      </c>
      <c r="AD739" s="9">
        <v>7859.740112994351</v>
      </c>
      <c r="AE739" s="8">
        <v>0.34195402298850575</v>
      </c>
    </row>
    <row r="740" spans="1:31" x14ac:dyDescent="0.35">
      <c r="A740" s="6" t="s">
        <v>761</v>
      </c>
      <c r="B740" s="7">
        <v>13</v>
      </c>
      <c r="C740" s="7">
        <v>2</v>
      </c>
      <c r="D740" s="7">
        <v>1</v>
      </c>
      <c r="E740" s="7">
        <v>2</v>
      </c>
      <c r="F740">
        <v>487</v>
      </c>
      <c r="G740">
        <v>85</v>
      </c>
      <c r="H740">
        <v>17.48</v>
      </c>
      <c r="I740">
        <v>71</v>
      </c>
      <c r="J740">
        <v>14.6</v>
      </c>
      <c r="K740">
        <v>683</v>
      </c>
      <c r="L740">
        <v>82</v>
      </c>
      <c r="M740">
        <v>601</v>
      </c>
      <c r="N740">
        <v>472.9</v>
      </c>
      <c r="O740">
        <v>16.53</v>
      </c>
      <c r="P740">
        <v>8.34</v>
      </c>
      <c r="Q740">
        <v>2.25</v>
      </c>
      <c r="R740">
        <v>1.22</v>
      </c>
      <c r="S740">
        <v>508</v>
      </c>
      <c r="T740">
        <v>1886</v>
      </c>
      <c r="U740">
        <v>3475</v>
      </c>
      <c r="V740">
        <v>146</v>
      </c>
      <c r="W740">
        <v>6.34</v>
      </c>
      <c r="X740" s="10">
        <v>0.15566426061854624</v>
      </c>
      <c r="Y740" s="9">
        <v>4400</v>
      </c>
      <c r="Z740" s="9">
        <v>3840</v>
      </c>
      <c r="AA740" s="9">
        <v>4290</v>
      </c>
      <c r="AB740">
        <v>0.8035714285714286</v>
      </c>
      <c r="AC740" s="11">
        <v>3.1462906362878575</v>
      </c>
      <c r="AD740" s="9">
        <v>4035.4548022598874</v>
      </c>
      <c r="AE740" s="8">
        <v>5.8616647127784291E-3</v>
      </c>
    </row>
    <row r="741" spans="1:31" x14ac:dyDescent="0.35">
      <c r="A741" s="6" t="s">
        <v>762</v>
      </c>
      <c r="B741" s="7">
        <v>6</v>
      </c>
      <c r="C741" s="7">
        <v>3</v>
      </c>
      <c r="D741" s="7">
        <v>0</v>
      </c>
      <c r="E741" s="7">
        <v>9</v>
      </c>
      <c r="F741">
        <v>331</v>
      </c>
      <c r="G741">
        <v>33</v>
      </c>
      <c r="H741">
        <v>9.8699999999999992</v>
      </c>
      <c r="I741">
        <v>38</v>
      </c>
      <c r="J741">
        <v>11.47</v>
      </c>
      <c r="K741">
        <v>640</v>
      </c>
      <c r="L741">
        <v>59</v>
      </c>
      <c r="M741">
        <v>580</v>
      </c>
      <c r="N741">
        <v>212.77</v>
      </c>
      <c r="O741">
        <v>6.67</v>
      </c>
      <c r="P741">
        <v>35.200000000000003</v>
      </c>
      <c r="Q741">
        <v>2.39</v>
      </c>
      <c r="R741">
        <v>4.03</v>
      </c>
      <c r="S741">
        <v>102</v>
      </c>
      <c r="T741">
        <v>1501</v>
      </c>
      <c r="U741">
        <v>891</v>
      </c>
      <c r="V741">
        <v>67</v>
      </c>
      <c r="W741">
        <v>19.989999999999998</v>
      </c>
      <c r="X741" s="10">
        <v>0.31077523155273301</v>
      </c>
      <c r="Y741" s="9">
        <v>5060</v>
      </c>
      <c r="Z741" s="9">
        <v>3330</v>
      </c>
      <c r="AA741" s="9">
        <v>4605</v>
      </c>
      <c r="AB741">
        <v>0.73699421965317924</v>
      </c>
      <c r="AC741" s="11">
        <v>13.566685190330647</v>
      </c>
      <c r="AD741" s="9">
        <v>3832.9661016949153</v>
      </c>
      <c r="AE741" s="8">
        <v>0.24966078697421981</v>
      </c>
    </row>
    <row r="742" spans="1:31" x14ac:dyDescent="0.35">
      <c r="A742" s="6" t="s">
        <v>763</v>
      </c>
      <c r="B742" s="7">
        <v>7</v>
      </c>
      <c r="C742" s="7">
        <v>3</v>
      </c>
      <c r="D742" s="7">
        <v>6</v>
      </c>
      <c r="E742" s="7">
        <v>2</v>
      </c>
      <c r="F742">
        <v>360</v>
      </c>
      <c r="G742">
        <v>52</v>
      </c>
      <c r="H742">
        <v>14.5</v>
      </c>
      <c r="I742">
        <v>73</v>
      </c>
      <c r="J742">
        <v>20.329999999999998</v>
      </c>
      <c r="K742">
        <v>648</v>
      </c>
      <c r="L742">
        <v>296</v>
      </c>
      <c r="M742">
        <v>353</v>
      </c>
      <c r="N742">
        <v>320.52</v>
      </c>
      <c r="O742">
        <v>22.96</v>
      </c>
      <c r="P742">
        <v>5.78</v>
      </c>
      <c r="Q742">
        <v>1.27</v>
      </c>
      <c r="R742">
        <v>1.17</v>
      </c>
      <c r="S742">
        <v>351</v>
      </c>
      <c r="T742">
        <v>1594</v>
      </c>
      <c r="U742">
        <v>1729</v>
      </c>
      <c r="V742">
        <v>59</v>
      </c>
      <c r="W742">
        <v>10.88</v>
      </c>
      <c r="X742" s="10">
        <v>0.65515606489516232</v>
      </c>
      <c r="Y742" s="9">
        <v>2375</v>
      </c>
      <c r="Z742" s="9">
        <v>1985</v>
      </c>
      <c r="AA742" s="9">
        <v>2260</v>
      </c>
      <c r="AB742">
        <v>0.70512820512820518</v>
      </c>
      <c r="AC742" s="11">
        <v>5.0844679077521535</v>
      </c>
      <c r="AD742" s="9">
        <v>2026.4237288135594</v>
      </c>
      <c r="AE742" s="8">
        <v>0.11330049261083744</v>
      </c>
    </row>
    <row r="743" spans="1:31" x14ac:dyDescent="0.35">
      <c r="A743" s="6" t="s">
        <v>764</v>
      </c>
      <c r="B743" s="7">
        <v>6</v>
      </c>
      <c r="C743" s="7">
        <v>2</v>
      </c>
      <c r="D743" s="7">
        <v>3</v>
      </c>
      <c r="E743" s="7">
        <v>7</v>
      </c>
      <c r="F743">
        <v>440</v>
      </c>
      <c r="G743">
        <v>53</v>
      </c>
      <c r="H743">
        <v>11.96</v>
      </c>
      <c r="I743">
        <v>41</v>
      </c>
      <c r="J743">
        <v>9.27</v>
      </c>
      <c r="K743">
        <v>953</v>
      </c>
      <c r="L743">
        <v>238</v>
      </c>
      <c r="M743">
        <v>715</v>
      </c>
      <c r="N743">
        <v>1744.2</v>
      </c>
      <c r="O743">
        <v>7.81</v>
      </c>
      <c r="P743">
        <v>10.01</v>
      </c>
      <c r="Q743">
        <v>0.79</v>
      </c>
      <c r="R743">
        <v>0.93</v>
      </c>
      <c r="S743">
        <v>711</v>
      </c>
      <c r="T743">
        <v>8963</v>
      </c>
      <c r="U743">
        <v>7660</v>
      </c>
      <c r="V743">
        <v>87</v>
      </c>
      <c r="W743">
        <v>6.46</v>
      </c>
      <c r="X743" s="10">
        <v>0.46345048997893901</v>
      </c>
      <c r="Y743" s="9">
        <v>6800</v>
      </c>
      <c r="Z743" s="9">
        <v>6250</v>
      </c>
      <c r="AA743" s="9">
        <v>6680</v>
      </c>
      <c r="AB743">
        <v>0.78181818181818186</v>
      </c>
      <c r="AC743" s="11">
        <v>5.8132814670741872</v>
      </c>
      <c r="AD743" s="9">
        <v>6373.3615819209044</v>
      </c>
      <c r="AE743" s="8">
        <v>6.88E-2</v>
      </c>
    </row>
    <row r="744" spans="1:31" x14ac:dyDescent="0.35">
      <c r="A744" s="6" t="s">
        <v>765</v>
      </c>
      <c r="B744" s="7">
        <v>8</v>
      </c>
      <c r="C744" s="7">
        <v>2</v>
      </c>
      <c r="D744" s="7">
        <v>0</v>
      </c>
      <c r="E744" s="7">
        <v>8</v>
      </c>
      <c r="F744">
        <v>213</v>
      </c>
      <c r="G744">
        <v>81</v>
      </c>
      <c r="H744">
        <v>37.979999999999997</v>
      </c>
      <c r="I744">
        <v>66</v>
      </c>
      <c r="J744">
        <v>31.11</v>
      </c>
      <c r="K744">
        <v>431</v>
      </c>
      <c r="L744">
        <v>196</v>
      </c>
      <c r="M744">
        <v>234</v>
      </c>
      <c r="N744">
        <v>546.97</v>
      </c>
      <c r="O744">
        <v>42.95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 s="10">
        <v>0.1234928890386759</v>
      </c>
      <c r="Y744" s="9">
        <v>29550</v>
      </c>
      <c r="Z744" s="9">
        <v>22350</v>
      </c>
      <c r="AA744" s="9">
        <v>27350</v>
      </c>
      <c r="AB744">
        <v>0.69444444444444442</v>
      </c>
      <c r="AC744" s="11">
        <v>37.802167268685743</v>
      </c>
      <c r="AD744" s="9">
        <v>25397.033898305086</v>
      </c>
      <c r="AE744" s="8">
        <v>8.74751491053678E-2</v>
      </c>
    </row>
    <row r="745" spans="1:31" x14ac:dyDescent="0.35">
      <c r="A745" s="6" t="s">
        <v>766</v>
      </c>
      <c r="B745" s="7">
        <v>7</v>
      </c>
      <c r="C745" s="7">
        <v>5</v>
      </c>
      <c r="D745" s="7">
        <v>4</v>
      </c>
      <c r="E745" s="7">
        <v>2</v>
      </c>
      <c r="F745">
        <v>363</v>
      </c>
      <c r="G745">
        <v>13</v>
      </c>
      <c r="H745">
        <v>3.57</v>
      </c>
      <c r="I745">
        <v>26</v>
      </c>
      <c r="J745">
        <v>7.05</v>
      </c>
      <c r="K745">
        <v>1063</v>
      </c>
      <c r="L745">
        <v>172</v>
      </c>
      <c r="M745">
        <v>891</v>
      </c>
      <c r="N745">
        <v>376.06</v>
      </c>
      <c r="O745">
        <v>2.88</v>
      </c>
      <c r="P745">
        <v>52.17</v>
      </c>
      <c r="Q745">
        <v>1.77</v>
      </c>
      <c r="R745">
        <v>3.7</v>
      </c>
      <c r="S745">
        <v>69</v>
      </c>
      <c r="T745">
        <v>2032</v>
      </c>
      <c r="U745">
        <v>974</v>
      </c>
      <c r="V745">
        <v>17</v>
      </c>
      <c r="W745">
        <v>90.77</v>
      </c>
      <c r="X745" s="10">
        <v>0.61949790708608066</v>
      </c>
      <c r="Y745" s="9">
        <v>4680</v>
      </c>
      <c r="Z745" s="9">
        <v>3590</v>
      </c>
      <c r="AA745" s="9">
        <v>4300</v>
      </c>
      <c r="AB745">
        <v>0.65137614678899081</v>
      </c>
      <c r="AC745" s="11">
        <v>12.924840233398164</v>
      </c>
      <c r="AD745" s="9">
        <v>3816.2090395480227</v>
      </c>
      <c r="AE745" s="8">
        <v>0.19444444444444445</v>
      </c>
    </row>
    <row r="746" spans="1:31" x14ac:dyDescent="0.35">
      <c r="A746" s="6" t="s">
        <v>767</v>
      </c>
      <c r="B746" s="7">
        <v>6</v>
      </c>
      <c r="C746" s="7">
        <v>8</v>
      </c>
      <c r="D746" s="7">
        <v>4</v>
      </c>
      <c r="E746" s="7">
        <v>0</v>
      </c>
      <c r="F746">
        <v>362</v>
      </c>
      <c r="G746">
        <v>32</v>
      </c>
      <c r="H746">
        <v>8.8800000000000008</v>
      </c>
      <c r="I746">
        <v>41</v>
      </c>
      <c r="J746">
        <v>11.21</v>
      </c>
      <c r="K746">
        <v>529</v>
      </c>
      <c r="L746">
        <v>29</v>
      </c>
      <c r="M746">
        <v>500</v>
      </c>
      <c r="N746">
        <v>1619.39</v>
      </c>
      <c r="O746">
        <v>8.34</v>
      </c>
      <c r="P746">
        <v>13.04</v>
      </c>
      <c r="Q746">
        <v>1.1000000000000001</v>
      </c>
      <c r="R746">
        <v>1.46</v>
      </c>
      <c r="S746">
        <v>140</v>
      </c>
      <c r="T746">
        <v>1663</v>
      </c>
      <c r="U746">
        <v>1251</v>
      </c>
      <c r="V746">
        <v>35</v>
      </c>
      <c r="W746">
        <v>15.19</v>
      </c>
      <c r="X746" s="10">
        <v>0.17772336363569599</v>
      </c>
      <c r="Y746" s="9">
        <v>2160</v>
      </c>
      <c r="Z746" s="9">
        <v>1825</v>
      </c>
      <c r="AA746" s="9">
        <v>2040</v>
      </c>
      <c r="AB746">
        <v>0.64179104477611937</v>
      </c>
      <c r="AC746" s="11">
        <v>1.5418171714365099</v>
      </c>
      <c r="AD746" s="9">
        <v>1926.1412429378531</v>
      </c>
      <c r="AE746" s="8">
        <v>9.6774193548387094E-2</v>
      </c>
    </row>
    <row r="747" spans="1:31" x14ac:dyDescent="0.35">
      <c r="A747" s="6" t="s">
        <v>768</v>
      </c>
      <c r="B747" s="7">
        <v>1</v>
      </c>
      <c r="C747" s="7">
        <v>1</v>
      </c>
      <c r="D747" s="7">
        <v>3</v>
      </c>
      <c r="E747" s="7">
        <v>13</v>
      </c>
      <c r="F747">
        <v>111</v>
      </c>
      <c r="G747">
        <v>-28</v>
      </c>
      <c r="H747">
        <v>-24.88</v>
      </c>
      <c r="I747">
        <v>-15</v>
      </c>
      <c r="J747">
        <v>-13.18</v>
      </c>
      <c r="K747">
        <v>150</v>
      </c>
      <c r="L747">
        <v>50</v>
      </c>
      <c r="M747">
        <v>100</v>
      </c>
      <c r="N747">
        <v>-37.21</v>
      </c>
      <c r="O747">
        <v>-13.8</v>
      </c>
      <c r="P747">
        <v>0</v>
      </c>
      <c r="Q747">
        <v>4.42</v>
      </c>
      <c r="R747">
        <v>3.12</v>
      </c>
      <c r="S747">
        <v>-46</v>
      </c>
      <c r="T747">
        <v>249</v>
      </c>
      <c r="U747">
        <v>352</v>
      </c>
      <c r="V747">
        <v>-23</v>
      </c>
      <c r="W747">
        <v>-15.52</v>
      </c>
      <c r="X747" s="10">
        <v>5.4879871376589597E-2</v>
      </c>
      <c r="Y747" s="9">
        <v>1570</v>
      </c>
      <c r="Z747" s="9">
        <v>1090</v>
      </c>
      <c r="AA747" s="9">
        <v>1440</v>
      </c>
      <c r="AB747">
        <v>0.72916666666666663</v>
      </c>
      <c r="AC747" s="11">
        <v>1.263545429285913</v>
      </c>
      <c r="AD747" s="9">
        <v>1400.8785310734463</v>
      </c>
      <c r="AE747" s="8">
        <v>0.32110091743119268</v>
      </c>
    </row>
    <row r="748" spans="1:31" x14ac:dyDescent="0.35">
      <c r="A748" s="6" t="s">
        <v>769</v>
      </c>
      <c r="B748" s="7">
        <v>1</v>
      </c>
      <c r="C748" s="7">
        <v>7</v>
      </c>
      <c r="D748" s="7">
        <v>4</v>
      </c>
      <c r="E748" s="7">
        <v>6</v>
      </c>
      <c r="F748">
        <v>372</v>
      </c>
      <c r="G748">
        <v>3</v>
      </c>
      <c r="H748">
        <v>0.88</v>
      </c>
      <c r="I748">
        <v>-24</v>
      </c>
      <c r="J748">
        <v>-6.49</v>
      </c>
      <c r="K748">
        <v>449</v>
      </c>
      <c r="L748">
        <v>37</v>
      </c>
      <c r="M748">
        <v>412</v>
      </c>
      <c r="N748">
        <v>125.94</v>
      </c>
      <c r="O748">
        <v>-5.68</v>
      </c>
      <c r="P748">
        <v>0</v>
      </c>
      <c r="Q748">
        <v>1.25</v>
      </c>
      <c r="R748">
        <v>1.37</v>
      </c>
      <c r="S748">
        <v>-66</v>
      </c>
      <c r="T748">
        <v>1114</v>
      </c>
      <c r="U748">
        <v>1019</v>
      </c>
      <c r="V748">
        <v>15</v>
      </c>
      <c r="W748">
        <v>33.58</v>
      </c>
      <c r="X748" s="10">
        <v>0.68685757942024639</v>
      </c>
      <c r="Y748" s="9">
        <v>1535</v>
      </c>
      <c r="Z748" s="9">
        <v>1380</v>
      </c>
      <c r="AA748" s="9">
        <v>1470</v>
      </c>
      <c r="AB748">
        <v>0.58064516129032262</v>
      </c>
      <c r="AC748" s="11">
        <v>2.0025006946373987</v>
      </c>
      <c r="AD748" s="9">
        <v>1404.7570621468926</v>
      </c>
      <c r="AE748" s="8">
        <v>6.1371841155234655E-2</v>
      </c>
    </row>
    <row r="749" spans="1:31" x14ac:dyDescent="0.35">
      <c r="A749" s="6" t="s">
        <v>770</v>
      </c>
      <c r="B749" s="7">
        <v>10</v>
      </c>
      <c r="C749" s="7">
        <v>0</v>
      </c>
      <c r="D749" s="7">
        <v>1</v>
      </c>
      <c r="E749" s="7">
        <v>7</v>
      </c>
      <c r="F749">
        <v>1140</v>
      </c>
      <c r="G749">
        <v>182</v>
      </c>
      <c r="H749">
        <v>15.99</v>
      </c>
      <c r="I749">
        <v>100</v>
      </c>
      <c r="J749">
        <v>8.8000000000000007</v>
      </c>
      <c r="K749">
        <v>879</v>
      </c>
      <c r="L749">
        <v>87</v>
      </c>
      <c r="M749">
        <v>792</v>
      </c>
      <c r="N749">
        <v>1519.7</v>
      </c>
      <c r="O749">
        <v>13.05</v>
      </c>
      <c r="P749">
        <v>36.31</v>
      </c>
      <c r="Q749">
        <v>3.06</v>
      </c>
      <c r="R749">
        <v>3.2</v>
      </c>
      <c r="S749">
        <v>650</v>
      </c>
      <c r="T749">
        <v>7713</v>
      </c>
      <c r="U749">
        <v>7385</v>
      </c>
      <c r="V749">
        <v>204</v>
      </c>
      <c r="W749">
        <v>11.74</v>
      </c>
      <c r="X749" s="10">
        <v>4.6082995147246633E-2</v>
      </c>
      <c r="Y749" s="9">
        <v>20850</v>
      </c>
      <c r="Z749" s="9">
        <v>15801</v>
      </c>
      <c r="AA749" s="9">
        <v>17300</v>
      </c>
      <c r="AB749">
        <v>0.29689047336106161</v>
      </c>
      <c r="AC749" s="11">
        <v>14.470047235343147</v>
      </c>
      <c r="AD749" s="9">
        <v>18337.280225988699</v>
      </c>
      <c r="AE749" s="8">
        <v>6.5533382606553336E-2</v>
      </c>
    </row>
    <row r="750" spans="1:31" x14ac:dyDescent="0.35">
      <c r="A750" s="6" t="s">
        <v>771</v>
      </c>
      <c r="B750" s="7">
        <v>8</v>
      </c>
      <c r="C750" s="7">
        <v>1</v>
      </c>
      <c r="D750" s="7">
        <v>5</v>
      </c>
      <c r="E750" s="7">
        <v>4</v>
      </c>
      <c r="F750">
        <v>1941</v>
      </c>
      <c r="G750">
        <v>23</v>
      </c>
      <c r="H750">
        <v>1.18</v>
      </c>
      <c r="I750">
        <v>213</v>
      </c>
      <c r="J750">
        <v>10.97</v>
      </c>
      <c r="K750">
        <v>6400</v>
      </c>
      <c r="L750">
        <v>1104</v>
      </c>
      <c r="M750">
        <v>5296</v>
      </c>
      <c r="N750">
        <v>1909.53</v>
      </c>
      <c r="O750">
        <v>4.07</v>
      </c>
      <c r="P750">
        <v>29.01</v>
      </c>
      <c r="Q750">
        <v>1.2</v>
      </c>
      <c r="R750">
        <v>3.18</v>
      </c>
      <c r="S750">
        <v>393</v>
      </c>
      <c r="T750">
        <v>9465</v>
      </c>
      <c r="U750">
        <v>3582</v>
      </c>
      <c r="V750">
        <v>79</v>
      </c>
      <c r="W750">
        <v>80.709999999999994</v>
      </c>
      <c r="X750" s="10">
        <v>0.43612851667657165</v>
      </c>
      <c r="Y750" s="9">
        <v>12800</v>
      </c>
      <c r="Z750" s="9">
        <v>10000</v>
      </c>
      <c r="AA750" s="9">
        <v>12450</v>
      </c>
      <c r="AB750">
        <v>0.875</v>
      </c>
      <c r="AC750" s="11">
        <v>32.753542650736314</v>
      </c>
      <c r="AD750" s="9">
        <v>10097.683615819209</v>
      </c>
      <c r="AE750" s="8">
        <v>0.10176991150442478</v>
      </c>
    </row>
    <row r="751" spans="1:31" x14ac:dyDescent="0.35">
      <c r="A751" s="6" t="s">
        <v>772</v>
      </c>
      <c r="B751" s="7">
        <v>3</v>
      </c>
      <c r="C751" s="7">
        <v>1</v>
      </c>
      <c r="D751" s="7">
        <v>8</v>
      </c>
      <c r="E751" s="7">
        <v>6</v>
      </c>
      <c r="F751">
        <v>242</v>
      </c>
      <c r="G751">
        <v>-20</v>
      </c>
      <c r="H751">
        <v>-8.2799999999999994</v>
      </c>
      <c r="I751">
        <v>-28</v>
      </c>
      <c r="J751">
        <v>-11.57</v>
      </c>
      <c r="K751">
        <v>606</v>
      </c>
      <c r="L751">
        <v>358</v>
      </c>
      <c r="M751">
        <v>248</v>
      </c>
      <c r="N751">
        <v>466.66</v>
      </c>
      <c r="O751">
        <v>-10.69</v>
      </c>
      <c r="P751">
        <v>0</v>
      </c>
      <c r="Q751">
        <v>1.34</v>
      </c>
      <c r="R751">
        <v>1.32</v>
      </c>
      <c r="S751">
        <v>-320</v>
      </c>
      <c r="T751">
        <v>2728</v>
      </c>
      <c r="U751">
        <v>2763</v>
      </c>
      <c r="V751">
        <v>11</v>
      </c>
      <c r="W751">
        <v>58.87</v>
      </c>
      <c r="X751" s="10">
        <v>0.40500301647369569</v>
      </c>
      <c r="Y751" s="9">
        <v>5670</v>
      </c>
      <c r="Z751" s="9">
        <v>3620</v>
      </c>
      <c r="AA751" s="9">
        <v>4590</v>
      </c>
      <c r="AB751">
        <v>0.47317073170731705</v>
      </c>
      <c r="AC751" s="11">
        <v>22.060989163656565</v>
      </c>
      <c r="AD751" s="9">
        <v>3902.2231638418079</v>
      </c>
      <c r="AE751" s="8">
        <v>0.24559023066485752</v>
      </c>
    </row>
    <row r="752" spans="1:31" x14ac:dyDescent="0.35">
      <c r="A752" s="6" t="s">
        <v>773</v>
      </c>
      <c r="B752" s="7">
        <v>13</v>
      </c>
      <c r="C752" s="7">
        <v>0</v>
      </c>
      <c r="D752" s="7">
        <v>3</v>
      </c>
      <c r="E752" s="7">
        <v>2</v>
      </c>
      <c r="F752">
        <v>113</v>
      </c>
      <c r="G752">
        <v>16</v>
      </c>
      <c r="H752">
        <v>13.87</v>
      </c>
      <c r="I752">
        <v>14</v>
      </c>
      <c r="J752">
        <v>12.1</v>
      </c>
      <c r="K752">
        <v>267</v>
      </c>
      <c r="L752">
        <v>106</v>
      </c>
      <c r="M752">
        <v>160</v>
      </c>
      <c r="N752">
        <v>766.22</v>
      </c>
      <c r="O752">
        <v>18.75</v>
      </c>
      <c r="P752">
        <v>15.76</v>
      </c>
      <c r="Q752">
        <v>3.47</v>
      </c>
      <c r="R752">
        <v>1.91</v>
      </c>
      <c r="S752">
        <v>768</v>
      </c>
      <c r="T752">
        <v>3490</v>
      </c>
      <c r="U752">
        <v>6346</v>
      </c>
      <c r="V752">
        <v>0</v>
      </c>
      <c r="W752">
        <v>0</v>
      </c>
      <c r="X752" s="10">
        <v>0.68562456239240921</v>
      </c>
      <c r="Y752" s="9">
        <v>36900</v>
      </c>
      <c r="Z752" s="9">
        <v>15800</v>
      </c>
      <c r="AA752" s="9">
        <v>34300</v>
      </c>
      <c r="AB752">
        <v>0.87677725118483407</v>
      </c>
      <c r="AC752" s="11">
        <v>269.53042511808837</v>
      </c>
      <c r="AD752" s="9">
        <v>19115.988700564973</v>
      </c>
      <c r="AE752" s="8">
        <v>1.1708860759493671</v>
      </c>
    </row>
    <row r="753" spans="1:31" x14ac:dyDescent="0.35">
      <c r="A753" s="6" t="s">
        <v>774</v>
      </c>
      <c r="B753" s="7">
        <v>7</v>
      </c>
      <c r="C753" s="7">
        <v>2</v>
      </c>
      <c r="D753" s="7">
        <v>2</v>
      </c>
      <c r="E753" s="7">
        <v>7</v>
      </c>
      <c r="F753">
        <v>9</v>
      </c>
      <c r="G753">
        <v>-85</v>
      </c>
      <c r="H753">
        <v>-972.02</v>
      </c>
      <c r="I753">
        <v>-87</v>
      </c>
      <c r="J753">
        <v>-998.3</v>
      </c>
      <c r="K753">
        <v>338</v>
      </c>
      <c r="L753">
        <v>137</v>
      </c>
      <c r="M753">
        <v>200</v>
      </c>
      <c r="N753">
        <v>423.58</v>
      </c>
      <c r="O753">
        <v>-45.56</v>
      </c>
      <c r="P753">
        <v>0</v>
      </c>
      <c r="Q753">
        <v>6.65</v>
      </c>
      <c r="R753">
        <v>144.16999999999999</v>
      </c>
      <c r="S753">
        <v>-1201</v>
      </c>
      <c r="T753">
        <v>2602</v>
      </c>
      <c r="U753">
        <v>120</v>
      </c>
      <c r="V753">
        <v>-81</v>
      </c>
      <c r="W753">
        <v>-16.329999999999998</v>
      </c>
      <c r="X753" s="10">
        <v>5.6205166265109401E-2</v>
      </c>
      <c r="Y753" s="9">
        <v>21500</v>
      </c>
      <c r="Z753" s="9">
        <v>17150</v>
      </c>
      <c r="AA753" s="9">
        <v>18050</v>
      </c>
      <c r="AB753">
        <v>0.20689655172413793</v>
      </c>
      <c r="AC753" s="11">
        <v>18.519033064740206</v>
      </c>
      <c r="AD753" s="9">
        <v>18860.169491525423</v>
      </c>
      <c r="AE753" s="8">
        <v>5.2478134110787174E-2</v>
      </c>
    </row>
    <row r="754" spans="1:31" x14ac:dyDescent="0.35">
      <c r="A754" s="6" t="s">
        <v>775</v>
      </c>
      <c r="B754" s="7">
        <v>7</v>
      </c>
      <c r="C754" s="7">
        <v>0</v>
      </c>
      <c r="D754" s="7">
        <v>11</v>
      </c>
      <c r="E754" s="7">
        <v>0</v>
      </c>
      <c r="F754">
        <v>555</v>
      </c>
      <c r="G754">
        <v>90</v>
      </c>
      <c r="H754">
        <v>16.149999999999999</v>
      </c>
      <c r="I754">
        <v>22</v>
      </c>
      <c r="J754">
        <v>4.05</v>
      </c>
      <c r="K754">
        <v>915</v>
      </c>
      <c r="L754">
        <v>236</v>
      </c>
      <c r="M754">
        <v>678</v>
      </c>
      <c r="N754">
        <v>447.8</v>
      </c>
      <c r="O754">
        <v>3.39</v>
      </c>
      <c r="P754">
        <v>62.97</v>
      </c>
      <c r="Q754">
        <v>2.13</v>
      </c>
      <c r="R754">
        <v>2.54</v>
      </c>
      <c r="S754">
        <v>91</v>
      </c>
      <c r="T754">
        <v>2688</v>
      </c>
      <c r="U754">
        <v>2256</v>
      </c>
      <c r="V754">
        <v>109</v>
      </c>
      <c r="W754">
        <v>14.44</v>
      </c>
      <c r="X754" s="10">
        <v>0.43283709705980855</v>
      </c>
      <c r="Y754" s="9">
        <v>7470</v>
      </c>
      <c r="Z754" s="9">
        <v>5580</v>
      </c>
      <c r="AA754" s="9">
        <v>6450</v>
      </c>
      <c r="AB754">
        <v>0.46031746031746029</v>
      </c>
      <c r="AC754" s="11">
        <v>18.509585996110022</v>
      </c>
      <c r="AD754" s="9">
        <v>5803.7909604519773</v>
      </c>
      <c r="AE754" s="8">
        <v>0.15591397849462366</v>
      </c>
    </row>
    <row r="755" spans="1:31" x14ac:dyDescent="0.35">
      <c r="A755" s="6" t="s">
        <v>776</v>
      </c>
      <c r="B755" s="7">
        <v>14</v>
      </c>
      <c r="C755" s="7">
        <v>2</v>
      </c>
      <c r="D755" s="7">
        <v>0</v>
      </c>
      <c r="E755" s="7">
        <v>2</v>
      </c>
      <c r="F755">
        <v>1930</v>
      </c>
      <c r="G755">
        <v>264</v>
      </c>
      <c r="H755">
        <v>13.7</v>
      </c>
      <c r="I755">
        <v>169</v>
      </c>
      <c r="J755">
        <v>8.75</v>
      </c>
      <c r="K755">
        <v>3186</v>
      </c>
      <c r="L755">
        <v>1920</v>
      </c>
      <c r="M755">
        <v>1266</v>
      </c>
      <c r="N755">
        <v>2928.15</v>
      </c>
      <c r="O755">
        <v>14</v>
      </c>
      <c r="P755">
        <v>15.63</v>
      </c>
      <c r="Q755">
        <v>2.19</v>
      </c>
      <c r="R755">
        <v>1.37</v>
      </c>
      <c r="S755">
        <v>2012</v>
      </c>
      <c r="T755">
        <v>14374</v>
      </c>
      <c r="U755">
        <v>22996</v>
      </c>
      <c r="V755">
        <v>1030</v>
      </c>
      <c r="W755">
        <v>3.91</v>
      </c>
      <c r="X755" s="10">
        <v>0.28834465462155739</v>
      </c>
      <c r="Y755" s="9">
        <v>33550</v>
      </c>
      <c r="Z755" s="9">
        <v>28950</v>
      </c>
      <c r="AA755" s="9">
        <v>30300</v>
      </c>
      <c r="AB755">
        <v>0.29347826086956524</v>
      </c>
      <c r="AC755" s="11">
        <v>-29.752709085857184</v>
      </c>
      <c r="AD755" s="9">
        <v>32207.457627118645</v>
      </c>
      <c r="AE755" s="8">
        <v>-5.3124999999999999E-2</v>
      </c>
    </row>
    <row r="756" spans="1:31" x14ac:dyDescent="0.35">
      <c r="A756" s="6" t="s">
        <v>777</v>
      </c>
      <c r="B756" s="7">
        <v>0</v>
      </c>
      <c r="C756" s="7">
        <v>15</v>
      </c>
      <c r="D756" s="7">
        <v>3</v>
      </c>
      <c r="E756" s="7">
        <v>0</v>
      </c>
      <c r="F756">
        <v>987</v>
      </c>
      <c r="G756">
        <v>25</v>
      </c>
      <c r="H756">
        <v>2.58</v>
      </c>
      <c r="I756">
        <v>10</v>
      </c>
      <c r="J756">
        <v>0.97</v>
      </c>
      <c r="K756">
        <v>1071</v>
      </c>
      <c r="L756">
        <v>473</v>
      </c>
      <c r="M756">
        <v>598</v>
      </c>
      <c r="N756">
        <v>686.34</v>
      </c>
      <c r="O756">
        <v>1.62</v>
      </c>
      <c r="P756">
        <v>22.88</v>
      </c>
      <c r="Q756">
        <v>0.43</v>
      </c>
      <c r="R756">
        <v>0.22</v>
      </c>
      <c r="S756">
        <v>66</v>
      </c>
      <c r="T756">
        <v>3486</v>
      </c>
      <c r="U756">
        <v>6833</v>
      </c>
      <c r="V756">
        <v>65</v>
      </c>
      <c r="W756">
        <v>7.39</v>
      </c>
      <c r="X756" s="10">
        <v>0.70687224111274327</v>
      </c>
      <c r="Y756" s="9">
        <v>1990</v>
      </c>
      <c r="Z756" s="9">
        <v>1480</v>
      </c>
      <c r="AA756" s="9">
        <v>1845</v>
      </c>
      <c r="AB756">
        <v>0.71568627450980393</v>
      </c>
      <c r="AC756" s="11">
        <v>8.1237843845512643</v>
      </c>
      <c r="AD756" s="9">
        <v>1514.4745762711864</v>
      </c>
      <c r="AE756" s="8">
        <v>0.22185430463576158</v>
      </c>
    </row>
    <row r="757" spans="1:31" x14ac:dyDescent="0.35">
      <c r="A757" s="6" t="s">
        <v>778</v>
      </c>
      <c r="B757" s="7">
        <v>10</v>
      </c>
      <c r="C757" s="7">
        <v>5</v>
      </c>
      <c r="D757" s="7">
        <v>1</v>
      </c>
      <c r="E757" s="7">
        <v>2</v>
      </c>
      <c r="F757">
        <v>1583</v>
      </c>
      <c r="G757">
        <v>108</v>
      </c>
      <c r="H757">
        <v>6.84</v>
      </c>
      <c r="I757">
        <v>89</v>
      </c>
      <c r="J757">
        <v>5.62</v>
      </c>
      <c r="K757">
        <v>1187</v>
      </c>
      <c r="L757">
        <v>437</v>
      </c>
      <c r="M757">
        <v>750</v>
      </c>
      <c r="N757">
        <v>779.09</v>
      </c>
      <c r="O757">
        <v>12.94</v>
      </c>
      <c r="P757">
        <v>28.5</v>
      </c>
      <c r="Q757">
        <v>3.83</v>
      </c>
      <c r="R757">
        <v>1.6</v>
      </c>
      <c r="S757">
        <v>586</v>
      </c>
      <c r="T757">
        <v>4366</v>
      </c>
      <c r="U757">
        <v>10438</v>
      </c>
      <c r="V757">
        <v>146</v>
      </c>
      <c r="W757">
        <v>19.72</v>
      </c>
      <c r="X757" s="10">
        <v>0.35344895503621149</v>
      </c>
      <c r="Y757" s="9">
        <v>16900</v>
      </c>
      <c r="Z757" s="9">
        <v>14000</v>
      </c>
      <c r="AA757" s="9">
        <v>14050</v>
      </c>
      <c r="AB757">
        <v>1.7241379310344827E-2</v>
      </c>
      <c r="AC757" s="11">
        <v>-27.113086968602389</v>
      </c>
      <c r="AD757" s="9">
        <v>16365.282485875707</v>
      </c>
      <c r="AE757" s="8">
        <v>-0.1458966565349544</v>
      </c>
    </row>
    <row r="758" spans="1:31" x14ac:dyDescent="0.35">
      <c r="A758" s="6" t="s">
        <v>779</v>
      </c>
      <c r="B758" s="7">
        <v>10</v>
      </c>
      <c r="C758" s="7">
        <v>0</v>
      </c>
      <c r="D758" s="7">
        <v>6</v>
      </c>
      <c r="E758" s="7">
        <v>2</v>
      </c>
      <c r="F758">
        <v>909</v>
      </c>
      <c r="G758">
        <v>23</v>
      </c>
      <c r="H758">
        <v>2.5299999999999998</v>
      </c>
      <c r="I758">
        <v>24</v>
      </c>
      <c r="J758">
        <v>2.65</v>
      </c>
      <c r="K758">
        <v>740</v>
      </c>
      <c r="L758">
        <v>449</v>
      </c>
      <c r="M758">
        <v>291</v>
      </c>
      <c r="N758">
        <v>646.44000000000005</v>
      </c>
      <c r="O758">
        <v>8.68</v>
      </c>
      <c r="P758">
        <v>12.67</v>
      </c>
      <c r="Q758">
        <v>1.18</v>
      </c>
      <c r="R758">
        <v>0.34</v>
      </c>
      <c r="S758">
        <v>309</v>
      </c>
      <c r="T758">
        <v>3315</v>
      </c>
      <c r="U758">
        <v>11656</v>
      </c>
      <c r="V758">
        <v>44</v>
      </c>
      <c r="W758">
        <v>7.37</v>
      </c>
      <c r="X758" s="10">
        <v>0.89210372986164155</v>
      </c>
      <c r="Y758" s="9">
        <v>5220</v>
      </c>
      <c r="Z758" s="9">
        <v>3770</v>
      </c>
      <c r="AA758" s="9">
        <v>4950</v>
      </c>
      <c r="AB758">
        <v>0.81379310344827582</v>
      </c>
      <c r="AC758" s="11">
        <v>21.381633787163096</v>
      </c>
      <c r="AD758" s="9">
        <v>3738.9435028248586</v>
      </c>
      <c r="AE758" s="8">
        <v>0.24060150375939848</v>
      </c>
    </row>
    <row r="759" spans="1:31" x14ac:dyDescent="0.35">
      <c r="A759" s="6" t="s">
        <v>780</v>
      </c>
      <c r="B759" s="7">
        <v>13</v>
      </c>
      <c r="C759" s="7">
        <v>5</v>
      </c>
      <c r="D759" s="7">
        <v>0</v>
      </c>
      <c r="E759" s="7">
        <v>0</v>
      </c>
      <c r="F759">
        <v>3152</v>
      </c>
      <c r="G759">
        <v>575</v>
      </c>
      <c r="H759">
        <v>18.23</v>
      </c>
      <c r="I759">
        <v>450</v>
      </c>
      <c r="J759">
        <v>14.26</v>
      </c>
      <c r="K759">
        <v>2969</v>
      </c>
      <c r="L759">
        <v>953</v>
      </c>
      <c r="M759">
        <v>2016</v>
      </c>
      <c r="N759">
        <v>1494.03</v>
      </c>
      <c r="O759">
        <v>25.08</v>
      </c>
      <c r="P759">
        <v>24.69</v>
      </c>
      <c r="Q759">
        <v>6.12</v>
      </c>
      <c r="R759">
        <v>3.52</v>
      </c>
      <c r="S759">
        <v>1778</v>
      </c>
      <c r="T759">
        <v>7176</v>
      </c>
      <c r="U759">
        <v>12462</v>
      </c>
      <c r="V759">
        <v>733</v>
      </c>
      <c r="W759">
        <v>15.15</v>
      </c>
      <c r="X759" s="10">
        <v>0.20536183566536784</v>
      </c>
      <c r="Y759" s="9">
        <v>54800</v>
      </c>
      <c r="Z759" s="9">
        <v>41000</v>
      </c>
      <c r="AA759" s="9">
        <v>48900</v>
      </c>
      <c r="AB759">
        <v>0.57246376811594202</v>
      </c>
      <c r="AC759" s="11">
        <v>84.913864962489583</v>
      </c>
      <c r="AD759" s="9">
        <v>45992.627118644064</v>
      </c>
      <c r="AE759" s="8">
        <v>0.1926829268292683</v>
      </c>
    </row>
    <row r="760" spans="1:31" x14ac:dyDescent="0.35">
      <c r="A760" s="6" t="s">
        <v>781</v>
      </c>
      <c r="B760" s="7">
        <v>9</v>
      </c>
      <c r="C760" s="7">
        <v>3</v>
      </c>
      <c r="D760" s="7">
        <v>3</v>
      </c>
      <c r="E760" s="7">
        <v>3</v>
      </c>
      <c r="F760">
        <v>176</v>
      </c>
      <c r="G760">
        <v>-45</v>
      </c>
      <c r="H760">
        <v>-25.49</v>
      </c>
      <c r="I760">
        <v>-49</v>
      </c>
      <c r="J760">
        <v>-28.19</v>
      </c>
      <c r="K760">
        <v>292</v>
      </c>
      <c r="L760">
        <v>54</v>
      </c>
      <c r="M760">
        <v>238</v>
      </c>
      <c r="N760">
        <v>-19.86</v>
      </c>
      <c r="O760">
        <v>-28.16</v>
      </c>
      <c r="P760">
        <v>0</v>
      </c>
      <c r="Q760">
        <v>4.3899999999999997</v>
      </c>
      <c r="R760">
        <v>4.3099999999999996</v>
      </c>
      <c r="S760">
        <v>-116</v>
      </c>
      <c r="T760">
        <v>396</v>
      </c>
      <c r="U760">
        <v>404</v>
      </c>
      <c r="V760">
        <v>-55</v>
      </c>
      <c r="W760">
        <v>-19.03</v>
      </c>
      <c r="X760" s="10">
        <v>0.41742216151357764</v>
      </c>
      <c r="Y760" s="9">
        <v>2255</v>
      </c>
      <c r="Z760" s="9">
        <v>1590</v>
      </c>
      <c r="AA760" s="9">
        <v>1590</v>
      </c>
      <c r="AB760">
        <v>0</v>
      </c>
      <c r="AC760" s="11">
        <v>-5.3299527646568494</v>
      </c>
      <c r="AD760" s="9">
        <v>2148.8135593220341</v>
      </c>
      <c r="AE760" s="8">
        <v>-0.20100502512562815</v>
      </c>
    </row>
    <row r="761" spans="1:31" x14ac:dyDescent="0.35">
      <c r="A761" s="6" t="s">
        <v>782</v>
      </c>
      <c r="B761" s="7">
        <v>0</v>
      </c>
      <c r="C761" s="7">
        <v>1</v>
      </c>
      <c r="D761" s="7">
        <v>15</v>
      </c>
      <c r="E761" s="7">
        <v>2</v>
      </c>
      <c r="F761">
        <v>352</v>
      </c>
      <c r="G761">
        <v>-38</v>
      </c>
      <c r="H761">
        <v>-10.74</v>
      </c>
      <c r="I761">
        <v>-27</v>
      </c>
      <c r="J761">
        <v>-7.7</v>
      </c>
      <c r="K761">
        <v>514</v>
      </c>
      <c r="L761">
        <v>95</v>
      </c>
      <c r="M761">
        <v>420</v>
      </c>
      <c r="N761">
        <v>936.29</v>
      </c>
      <c r="O761">
        <v>-6.18</v>
      </c>
      <c r="P761">
        <v>0</v>
      </c>
      <c r="Q761">
        <v>0.53</v>
      </c>
      <c r="R761">
        <v>0.61</v>
      </c>
      <c r="S761">
        <v>-335</v>
      </c>
      <c r="T761">
        <v>5040</v>
      </c>
      <c r="U761">
        <v>4346</v>
      </c>
      <c r="V761">
        <v>-26</v>
      </c>
      <c r="W761">
        <v>-8.27</v>
      </c>
      <c r="X761" s="10">
        <v>0.66292096515102472</v>
      </c>
      <c r="Y761" s="9">
        <v>3445</v>
      </c>
      <c r="Z761" s="9">
        <v>2660</v>
      </c>
      <c r="AA761" s="9">
        <v>3180</v>
      </c>
      <c r="AB761">
        <v>0.66242038216560506</v>
      </c>
      <c r="AC761" s="11">
        <v>10.39260905807169</v>
      </c>
      <c r="AD761" s="9">
        <v>2736.3587570621471</v>
      </c>
      <c r="AE761" s="8">
        <v>0.19548872180451127</v>
      </c>
    </row>
    <row r="762" spans="1:31" x14ac:dyDescent="0.35">
      <c r="A762" s="6" t="s">
        <v>783</v>
      </c>
      <c r="B762" s="7">
        <v>1</v>
      </c>
      <c r="C762" s="7">
        <v>7</v>
      </c>
      <c r="D762" s="7">
        <v>2</v>
      </c>
      <c r="E762" s="7">
        <v>8</v>
      </c>
      <c r="F762">
        <v>77</v>
      </c>
      <c r="G762">
        <v>-69</v>
      </c>
      <c r="H762">
        <v>-89.03</v>
      </c>
      <c r="I762">
        <v>-73</v>
      </c>
      <c r="J762">
        <v>-94.38</v>
      </c>
      <c r="K762">
        <v>207</v>
      </c>
      <c r="L762">
        <v>32</v>
      </c>
      <c r="M762">
        <v>175</v>
      </c>
      <c r="N762">
        <v>114.2</v>
      </c>
      <c r="O762">
        <v>-76.73</v>
      </c>
      <c r="P762">
        <v>0</v>
      </c>
      <c r="Q762">
        <v>2.7</v>
      </c>
      <c r="R762">
        <v>2.5299999999999998</v>
      </c>
      <c r="S762">
        <v>-1075</v>
      </c>
      <c r="T762">
        <v>1066</v>
      </c>
      <c r="U762">
        <v>1139</v>
      </c>
      <c r="V762">
        <v>-66</v>
      </c>
      <c r="W762">
        <v>-7.14</v>
      </c>
      <c r="X762" s="10">
        <v>0.30457703734240454</v>
      </c>
      <c r="Y762" s="9">
        <v>3645</v>
      </c>
      <c r="Z762" s="9">
        <v>2800</v>
      </c>
      <c r="AA762" s="9">
        <v>3015</v>
      </c>
      <c r="AB762">
        <v>0.25443786982248523</v>
      </c>
      <c r="AC762" s="11">
        <v>-5.4195609891636565</v>
      </c>
      <c r="AD762" s="9">
        <v>3231.963276836158</v>
      </c>
      <c r="AE762" s="8">
        <v>3.9655172413793106E-2</v>
      </c>
    </row>
    <row r="763" spans="1:31" x14ac:dyDescent="0.35">
      <c r="A763" s="6" t="s">
        <v>784</v>
      </c>
      <c r="B763" s="7">
        <v>6</v>
      </c>
      <c r="C763" s="7">
        <v>5</v>
      </c>
      <c r="D763" s="7">
        <v>2</v>
      </c>
      <c r="E763" s="7">
        <v>5</v>
      </c>
      <c r="F763">
        <v>379</v>
      </c>
      <c r="G763">
        <v>-8</v>
      </c>
      <c r="H763">
        <v>-2.23</v>
      </c>
      <c r="I763">
        <v>3</v>
      </c>
      <c r="J763">
        <v>0.72</v>
      </c>
      <c r="K763">
        <v>1368</v>
      </c>
      <c r="L763">
        <v>259</v>
      </c>
      <c r="M763">
        <v>1108</v>
      </c>
      <c r="N763">
        <v>800.61</v>
      </c>
      <c r="O763">
        <v>0.25</v>
      </c>
      <c r="P763">
        <v>1268.18</v>
      </c>
      <c r="Q763">
        <v>3.13</v>
      </c>
      <c r="R763">
        <v>9.0500000000000007</v>
      </c>
      <c r="S763">
        <v>11</v>
      </c>
      <c r="T763">
        <v>4450</v>
      </c>
      <c r="U763">
        <v>1542</v>
      </c>
      <c r="V763">
        <v>0</v>
      </c>
      <c r="W763">
        <v>-11522.54</v>
      </c>
      <c r="X763" s="10">
        <v>0.41008384398636616</v>
      </c>
      <c r="Y763" s="9">
        <v>19550</v>
      </c>
      <c r="Z763" s="9">
        <v>13300</v>
      </c>
      <c r="AA763" s="9">
        <v>16700</v>
      </c>
      <c r="AB763">
        <v>0.54400000000000004</v>
      </c>
      <c r="AC763" s="11">
        <v>36.492081133648234</v>
      </c>
      <c r="AD763" s="9">
        <v>13722.824858757063</v>
      </c>
      <c r="AE763" s="8">
        <v>0.25563909774436089</v>
      </c>
    </row>
    <row r="764" spans="1:31" x14ac:dyDescent="0.35">
      <c r="A764" s="6" t="s">
        <v>785</v>
      </c>
      <c r="B764" s="7">
        <v>8</v>
      </c>
      <c r="C764" s="7">
        <v>5</v>
      </c>
      <c r="D764" s="7">
        <v>2</v>
      </c>
      <c r="E764" s="7">
        <v>3</v>
      </c>
      <c r="F764">
        <v>24950</v>
      </c>
      <c r="G764">
        <v>70</v>
      </c>
      <c r="H764">
        <v>0.28000000000000003</v>
      </c>
      <c r="I764">
        <v>25</v>
      </c>
      <c r="J764">
        <v>0.1</v>
      </c>
      <c r="K764">
        <v>67278</v>
      </c>
      <c r="L764">
        <v>64233</v>
      </c>
      <c r="M764">
        <v>3045</v>
      </c>
      <c r="N764">
        <v>354.23</v>
      </c>
      <c r="O764">
        <v>0.9</v>
      </c>
      <c r="P764">
        <v>69.62</v>
      </c>
      <c r="Q764">
        <v>0.64</v>
      </c>
      <c r="R764">
        <v>7.0000000000000007E-2</v>
      </c>
      <c r="S764">
        <v>39</v>
      </c>
      <c r="T764">
        <v>4228</v>
      </c>
      <c r="U764">
        <v>37772</v>
      </c>
      <c r="V764">
        <v>0</v>
      </c>
      <c r="W764">
        <v>0</v>
      </c>
      <c r="X764" s="10">
        <v>0.32484986271880334</v>
      </c>
      <c r="Y764" s="9">
        <v>3530</v>
      </c>
      <c r="Z764" s="9">
        <v>2660</v>
      </c>
      <c r="AA764" s="9">
        <v>2875</v>
      </c>
      <c r="AB764">
        <v>0.2471264367816092</v>
      </c>
      <c r="AC764" s="11">
        <v>9.8025840511253097</v>
      </c>
      <c r="AD764" s="9">
        <v>2638.4378531073444</v>
      </c>
      <c r="AE764" s="8">
        <v>5.1188299817184646E-2</v>
      </c>
    </row>
    <row r="765" spans="1:31" x14ac:dyDescent="0.35">
      <c r="A765" s="6" t="s">
        <v>786</v>
      </c>
      <c r="B765" s="7">
        <v>4</v>
      </c>
      <c r="C765" s="7">
        <v>0</v>
      </c>
      <c r="D765" s="7">
        <v>10</v>
      </c>
      <c r="E765" s="7">
        <v>4</v>
      </c>
      <c r="F765">
        <v>161116</v>
      </c>
      <c r="G765">
        <v>9935</v>
      </c>
      <c r="H765">
        <v>6.17</v>
      </c>
      <c r="I765">
        <v>5453</v>
      </c>
      <c r="J765">
        <v>3.38</v>
      </c>
      <c r="K765">
        <v>268180</v>
      </c>
      <c r="L765">
        <v>108532</v>
      </c>
      <c r="M765">
        <v>159648</v>
      </c>
      <c r="N765">
        <v>10040.44</v>
      </c>
      <c r="O765">
        <v>3.47</v>
      </c>
      <c r="P765">
        <v>15.06</v>
      </c>
      <c r="Q765">
        <v>0.57999999999999996</v>
      </c>
      <c r="R765">
        <v>0.5</v>
      </c>
      <c r="S765">
        <v>18126</v>
      </c>
      <c r="T765">
        <v>472869</v>
      </c>
      <c r="U765">
        <v>545193</v>
      </c>
      <c r="V765">
        <v>15773</v>
      </c>
      <c r="W765">
        <v>7.52</v>
      </c>
      <c r="X765" s="10">
        <v>0.33843143791891434</v>
      </c>
      <c r="Y765" s="9">
        <v>279500</v>
      </c>
      <c r="Z765" s="9">
        <v>232500</v>
      </c>
      <c r="AA765" s="9">
        <v>235500</v>
      </c>
      <c r="AB765">
        <v>6.3829787234042548E-2</v>
      </c>
      <c r="AC765" s="11">
        <v>-325.3681578216171</v>
      </c>
      <c r="AD765" s="9">
        <v>255423.72881355931</v>
      </c>
      <c r="AE765" s="8">
        <v>-0.15742397137745975</v>
      </c>
    </row>
    <row r="766" spans="1:31" x14ac:dyDescent="0.35">
      <c r="A766" s="6" t="s">
        <v>787</v>
      </c>
      <c r="B766" s="7">
        <v>4</v>
      </c>
      <c r="C766" s="7">
        <v>1</v>
      </c>
      <c r="D766" s="7">
        <v>7</v>
      </c>
      <c r="E766" s="7">
        <v>6</v>
      </c>
      <c r="F766">
        <v>17046</v>
      </c>
      <c r="G766">
        <v>1062</v>
      </c>
      <c r="H766">
        <v>6.23</v>
      </c>
      <c r="I766">
        <v>275</v>
      </c>
      <c r="J766">
        <v>1.62</v>
      </c>
      <c r="K766">
        <v>39035</v>
      </c>
      <c r="L766">
        <v>12278</v>
      </c>
      <c r="M766">
        <v>26757</v>
      </c>
      <c r="N766">
        <v>37636.92</v>
      </c>
      <c r="O766">
        <v>0.98</v>
      </c>
      <c r="P766">
        <v>90.96</v>
      </c>
      <c r="Q766">
        <v>0.95</v>
      </c>
      <c r="R766">
        <v>1.47</v>
      </c>
      <c r="S766">
        <v>19568</v>
      </c>
      <c r="T766">
        <v>1877506</v>
      </c>
      <c r="U766">
        <v>1211167</v>
      </c>
      <c r="V766">
        <v>1733</v>
      </c>
      <c r="W766">
        <v>17.23</v>
      </c>
      <c r="X766" s="10">
        <v>9.4495331152546561E-2</v>
      </c>
      <c r="Y766" s="9">
        <v>1896000</v>
      </c>
      <c r="Z766" s="9">
        <v>1715000</v>
      </c>
      <c r="AA766" s="9">
        <v>1764000</v>
      </c>
      <c r="AB766">
        <v>0.27071823204419887</v>
      </c>
      <c r="AC766" s="11">
        <v>-979.18866351764382</v>
      </c>
      <c r="AD766" s="9">
        <v>1842815.2542372881</v>
      </c>
      <c r="AE766" s="8">
        <v>-1.452513966480447E-2</v>
      </c>
    </row>
    <row r="767" spans="1:31" x14ac:dyDescent="0.35">
      <c r="A767" s="6" t="s">
        <v>788</v>
      </c>
      <c r="B767" s="7">
        <v>4</v>
      </c>
      <c r="C767" s="7">
        <v>3</v>
      </c>
      <c r="D767" s="7">
        <v>9</v>
      </c>
      <c r="E767" s="7">
        <v>2</v>
      </c>
      <c r="F767">
        <v>20837</v>
      </c>
      <c r="G767">
        <v>956</v>
      </c>
      <c r="H767">
        <v>4.59</v>
      </c>
      <c r="I767">
        <v>266</v>
      </c>
      <c r="J767">
        <v>1.28</v>
      </c>
      <c r="K767">
        <v>39457</v>
      </c>
      <c r="L767">
        <v>16563</v>
      </c>
      <c r="M767">
        <v>22894</v>
      </c>
      <c r="N767">
        <v>33636.449999999997</v>
      </c>
      <c r="O767">
        <v>1.1299999999999999</v>
      </c>
      <c r="P767">
        <v>75.87</v>
      </c>
      <c r="Q767">
        <v>1</v>
      </c>
      <c r="R767">
        <v>0.97</v>
      </c>
      <c r="S767">
        <v>19572</v>
      </c>
      <c r="T767">
        <v>1481383</v>
      </c>
      <c r="U767">
        <v>1535256</v>
      </c>
      <c r="V767">
        <v>2048</v>
      </c>
      <c r="W767">
        <v>13.03</v>
      </c>
      <c r="X767" s="10">
        <v>0.12367994624188967</v>
      </c>
      <c r="Y767" s="9">
        <v>1881000</v>
      </c>
      <c r="Z767" s="9">
        <v>1461000</v>
      </c>
      <c r="AA767" s="9">
        <v>1629000</v>
      </c>
      <c r="AB767">
        <v>0.4</v>
      </c>
      <c r="AC767" s="11">
        <v>1999.0275076410114</v>
      </c>
      <c r="AD767" s="9">
        <v>1612146.327683616</v>
      </c>
      <c r="AE767" s="8">
        <v>8.2392026578073096E-2</v>
      </c>
    </row>
    <row r="768" spans="1:31" x14ac:dyDescent="0.35">
      <c r="A768" s="6" t="s">
        <v>789</v>
      </c>
      <c r="B768" s="7">
        <v>0</v>
      </c>
      <c r="C768" s="7">
        <v>0</v>
      </c>
      <c r="D768" s="7">
        <v>0</v>
      </c>
      <c r="E768" s="7">
        <v>18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 s="10">
        <v>0.32912959607697106</v>
      </c>
      <c r="Y768" s="9">
        <v>933000</v>
      </c>
      <c r="Z768" s="9">
        <v>681000</v>
      </c>
      <c r="AA768" s="9">
        <v>812000</v>
      </c>
      <c r="AB768">
        <v>0.51984126984126988</v>
      </c>
      <c r="AC768" s="11">
        <v>2222.3673242567379</v>
      </c>
      <c r="AD768" s="9">
        <v>757767.79661016946</v>
      </c>
      <c r="AE768" s="8">
        <v>0.16332378223495703</v>
      </c>
    </row>
    <row r="769" spans="1:31" x14ac:dyDescent="0.35">
      <c r="A769" s="6" t="s">
        <v>790</v>
      </c>
      <c r="B769" s="7">
        <v>4</v>
      </c>
      <c r="C769" s="7">
        <v>0</v>
      </c>
      <c r="D769" s="7">
        <v>6</v>
      </c>
      <c r="E769" s="7">
        <v>8</v>
      </c>
      <c r="F769">
        <v>111942</v>
      </c>
      <c r="G769">
        <v>3744</v>
      </c>
      <c r="H769">
        <v>3.34</v>
      </c>
      <c r="I769">
        <v>2256</v>
      </c>
      <c r="J769">
        <v>2.0099999999999998</v>
      </c>
      <c r="K769">
        <v>96434</v>
      </c>
      <c r="L769">
        <v>30240</v>
      </c>
      <c r="M769">
        <v>66194</v>
      </c>
      <c r="N769">
        <v>3762.47</v>
      </c>
      <c r="O769">
        <v>3.46</v>
      </c>
      <c r="P769">
        <v>23.9</v>
      </c>
      <c r="Q769">
        <v>0.83</v>
      </c>
      <c r="R769">
        <v>0.48</v>
      </c>
      <c r="S769">
        <v>6695</v>
      </c>
      <c r="T769">
        <v>192733</v>
      </c>
      <c r="U769">
        <v>332251</v>
      </c>
      <c r="V769">
        <v>7295</v>
      </c>
      <c r="W769">
        <v>8.91</v>
      </c>
      <c r="X769" s="10">
        <v>0.85957420636768056</v>
      </c>
      <c r="Y769" s="9">
        <v>205000</v>
      </c>
      <c r="Z769" s="9">
        <v>142000</v>
      </c>
      <c r="AA769" s="9">
        <v>202500</v>
      </c>
      <c r="AB769">
        <v>0.96031746031746035</v>
      </c>
      <c r="AC769" s="11">
        <v>1007.8910808557931</v>
      </c>
      <c r="AD769" s="9">
        <v>144775.98870056495</v>
      </c>
      <c r="AE769" s="8">
        <v>0.25</v>
      </c>
    </row>
    <row r="770" spans="1:31" x14ac:dyDescent="0.35">
      <c r="A770" s="6" t="s">
        <v>791</v>
      </c>
      <c r="B770" s="7">
        <v>7</v>
      </c>
      <c r="C770" s="7">
        <v>1</v>
      </c>
      <c r="D770" s="7">
        <v>6</v>
      </c>
      <c r="E770" s="7">
        <v>4</v>
      </c>
      <c r="F770">
        <v>16330</v>
      </c>
      <c r="G770">
        <v>659</v>
      </c>
      <c r="H770">
        <v>4.04</v>
      </c>
      <c r="I770">
        <v>599</v>
      </c>
      <c r="J770">
        <v>3.67</v>
      </c>
      <c r="K770">
        <v>11932</v>
      </c>
      <c r="L770">
        <v>3612</v>
      </c>
      <c r="M770">
        <v>8320</v>
      </c>
      <c r="N770">
        <v>12050.72</v>
      </c>
      <c r="O770">
        <v>7.46</v>
      </c>
      <c r="P770">
        <v>13.27</v>
      </c>
      <c r="Q770">
        <v>1.03</v>
      </c>
      <c r="R770">
        <v>0.49</v>
      </c>
      <c r="S770">
        <v>43723</v>
      </c>
      <c r="T770">
        <v>564073</v>
      </c>
      <c r="U770">
        <v>1192522</v>
      </c>
      <c r="V770">
        <v>1117</v>
      </c>
      <c r="W770">
        <v>7.97</v>
      </c>
      <c r="X770" s="10">
        <v>0.75156449082304144</v>
      </c>
      <c r="Y770" s="9">
        <v>713000</v>
      </c>
      <c r="Z770" s="9">
        <v>559000</v>
      </c>
      <c r="AA770" s="9">
        <v>685000</v>
      </c>
      <c r="AB770">
        <v>0.81818181818181823</v>
      </c>
      <c r="AC770" s="11">
        <v>1775.5765490414003</v>
      </c>
      <c r="AD770" s="9">
        <v>581194.91525423725</v>
      </c>
      <c r="AE770" s="8">
        <v>0.1570945945945946</v>
      </c>
    </row>
    <row r="771" spans="1:31" x14ac:dyDescent="0.35">
      <c r="A771" s="6" t="s">
        <v>792</v>
      </c>
      <c r="B771" s="7">
        <v>6</v>
      </c>
      <c r="C771" s="7">
        <v>0</v>
      </c>
      <c r="D771" s="7">
        <v>10</v>
      </c>
      <c r="E771" s="7">
        <v>2</v>
      </c>
      <c r="F771">
        <v>37543</v>
      </c>
      <c r="G771">
        <v>1444</v>
      </c>
      <c r="H771">
        <v>3.85</v>
      </c>
      <c r="I771">
        <v>964</v>
      </c>
      <c r="J771">
        <v>2.57</v>
      </c>
      <c r="K771">
        <v>27746</v>
      </c>
      <c r="L771">
        <v>10895</v>
      </c>
      <c r="M771">
        <v>16851</v>
      </c>
      <c r="N771">
        <v>1327.61</v>
      </c>
      <c r="O771">
        <v>5.88</v>
      </c>
      <c r="P771">
        <v>16.52</v>
      </c>
      <c r="Q771">
        <v>0</v>
      </c>
      <c r="R771">
        <v>0.42</v>
      </c>
      <c r="S771">
        <v>4085</v>
      </c>
      <c r="T771">
        <v>-360</v>
      </c>
      <c r="U771">
        <v>159028</v>
      </c>
      <c r="V771">
        <v>1975</v>
      </c>
      <c r="W771">
        <v>11.24</v>
      </c>
      <c r="X771" s="10">
        <v>0.14311304766015034</v>
      </c>
      <c r="Y771" s="9">
        <v>67500</v>
      </c>
      <c r="Z771" s="9">
        <v>51600</v>
      </c>
      <c r="AA771" s="9">
        <v>64800</v>
      </c>
      <c r="AB771">
        <v>0.83018867924528306</v>
      </c>
      <c r="AC771" s="11">
        <v>108.24395665462629</v>
      </c>
      <c r="AD771" s="9">
        <v>54570.225988700564</v>
      </c>
      <c r="AE771" s="8">
        <v>-1.0687022900763359E-2</v>
      </c>
    </row>
    <row r="772" spans="1:31" x14ac:dyDescent="0.35">
      <c r="A772" s="6" t="s">
        <v>793</v>
      </c>
      <c r="B772" s="7">
        <v>4</v>
      </c>
      <c r="C772" s="7">
        <v>3</v>
      </c>
      <c r="D772" s="7">
        <v>11</v>
      </c>
      <c r="E772" s="7">
        <v>0</v>
      </c>
      <c r="F772">
        <v>3577</v>
      </c>
      <c r="G772">
        <v>148</v>
      </c>
      <c r="H772">
        <v>4.1399999999999997</v>
      </c>
      <c r="I772">
        <v>143</v>
      </c>
      <c r="J772">
        <v>3.99</v>
      </c>
      <c r="K772">
        <v>3620</v>
      </c>
      <c r="L772">
        <v>1323</v>
      </c>
      <c r="M772">
        <v>2297</v>
      </c>
      <c r="N772">
        <v>890.63</v>
      </c>
      <c r="O772">
        <v>8.7899999999999991</v>
      </c>
      <c r="P772">
        <v>17.16</v>
      </c>
      <c r="Q772">
        <v>1.49</v>
      </c>
      <c r="R772">
        <v>0</v>
      </c>
      <c r="S772">
        <v>415</v>
      </c>
      <c r="T772">
        <v>4778</v>
      </c>
      <c r="U772">
        <v>0</v>
      </c>
      <c r="V772">
        <v>197</v>
      </c>
      <c r="W772">
        <v>17.059999999999999</v>
      </c>
      <c r="X772" s="10">
        <v>0.45920430851069033</v>
      </c>
      <c r="Y772" s="9">
        <v>7280</v>
      </c>
      <c r="Z772" s="9">
        <v>5930</v>
      </c>
      <c r="AA772" s="9">
        <v>6230</v>
      </c>
      <c r="AB772">
        <v>0.22222222222222221</v>
      </c>
      <c r="AC772" s="11">
        <v>-14.185329258127256</v>
      </c>
      <c r="AD772" s="9">
        <v>6996.4858757062148</v>
      </c>
      <c r="AE772" s="8">
        <v>-0.14305364511691884</v>
      </c>
    </row>
    <row r="773" spans="1:31" x14ac:dyDescent="0.35">
      <c r="A773" s="6" t="s">
        <v>794</v>
      </c>
      <c r="B773" s="7">
        <v>1</v>
      </c>
      <c r="C773" s="7">
        <v>4</v>
      </c>
      <c r="D773" s="7">
        <v>7</v>
      </c>
      <c r="E773" s="7">
        <v>6</v>
      </c>
      <c r="F773">
        <v>1007</v>
      </c>
      <c r="G773">
        <v>-3</v>
      </c>
      <c r="H773">
        <v>-0.33</v>
      </c>
      <c r="I773">
        <v>-18</v>
      </c>
      <c r="J773">
        <v>-1.79</v>
      </c>
      <c r="K773">
        <v>628</v>
      </c>
      <c r="L773">
        <v>294</v>
      </c>
      <c r="M773">
        <v>334</v>
      </c>
      <c r="N773">
        <v>75.92</v>
      </c>
      <c r="O773">
        <v>-7.01</v>
      </c>
      <c r="P773">
        <v>0</v>
      </c>
      <c r="Q773">
        <v>2.0699999999999998</v>
      </c>
      <c r="R773">
        <v>0.45</v>
      </c>
      <c r="S773">
        <v>-64</v>
      </c>
      <c r="T773">
        <v>773</v>
      </c>
      <c r="U773">
        <v>3541</v>
      </c>
      <c r="V773">
        <v>51</v>
      </c>
      <c r="W773">
        <v>14.19</v>
      </c>
      <c r="X773" s="10">
        <v>6.0426978831551043E-3</v>
      </c>
      <c r="Y773" s="9">
        <v>1555</v>
      </c>
      <c r="Z773" s="9">
        <v>1265</v>
      </c>
      <c r="AA773" s="9">
        <v>1555</v>
      </c>
      <c r="AB773">
        <v>1</v>
      </c>
      <c r="AC773" s="11">
        <v>-0.25632120033342598</v>
      </c>
      <c r="AD773" s="9">
        <v>1433.9011299435028</v>
      </c>
      <c r="AE773" s="8">
        <v>0.11071428571428571</v>
      </c>
    </row>
    <row r="774" spans="1:31" x14ac:dyDescent="0.35">
      <c r="A774" s="6" t="s">
        <v>795</v>
      </c>
      <c r="B774" s="7">
        <v>1</v>
      </c>
      <c r="C774" s="7">
        <v>0</v>
      </c>
      <c r="D774" s="7">
        <v>12</v>
      </c>
      <c r="E774" s="7">
        <v>5</v>
      </c>
      <c r="F774">
        <v>351</v>
      </c>
      <c r="G774">
        <v>-32</v>
      </c>
      <c r="H774">
        <v>-9.14</v>
      </c>
      <c r="I774">
        <v>-40</v>
      </c>
      <c r="J774">
        <v>-11.47</v>
      </c>
      <c r="K774">
        <v>633</v>
      </c>
      <c r="L774">
        <v>349</v>
      </c>
      <c r="M774">
        <v>285</v>
      </c>
      <c r="N774">
        <v>169.41</v>
      </c>
      <c r="O774">
        <v>-12.93</v>
      </c>
      <c r="P774">
        <v>0</v>
      </c>
      <c r="Q774">
        <v>0.65</v>
      </c>
      <c r="R774">
        <v>0.51</v>
      </c>
      <c r="S774">
        <v>-191</v>
      </c>
      <c r="T774">
        <v>1309</v>
      </c>
      <c r="U774">
        <v>1662</v>
      </c>
      <c r="V774">
        <v>-16</v>
      </c>
      <c r="W774">
        <v>-25.4</v>
      </c>
      <c r="X774" s="10">
        <v>0.75393571236695056</v>
      </c>
      <c r="Y774" s="9">
        <v>1640</v>
      </c>
      <c r="Z774" s="9">
        <v>827</v>
      </c>
      <c r="AA774" s="9">
        <v>1280</v>
      </c>
      <c r="AB774">
        <v>0.55719557195571956</v>
      </c>
      <c r="AC774" s="11">
        <v>8.7959988885801597</v>
      </c>
      <c r="AD774" s="9">
        <v>798.6887005649719</v>
      </c>
      <c r="AE774" s="8">
        <v>0.54776299879081014</v>
      </c>
    </row>
    <row r="775" spans="1:31" x14ac:dyDescent="0.35">
      <c r="A775" s="6" t="s">
        <v>796</v>
      </c>
      <c r="B775" s="7">
        <v>11</v>
      </c>
      <c r="C775" s="7">
        <v>5</v>
      </c>
      <c r="D775" s="7">
        <v>2</v>
      </c>
      <c r="E775" s="7">
        <v>0</v>
      </c>
      <c r="F775">
        <v>638</v>
      </c>
      <c r="G775">
        <v>62</v>
      </c>
      <c r="H775">
        <v>9.67</v>
      </c>
      <c r="I775">
        <v>52</v>
      </c>
      <c r="J775">
        <v>8.15</v>
      </c>
      <c r="K775">
        <v>905</v>
      </c>
      <c r="L775">
        <v>419</v>
      </c>
      <c r="M775">
        <v>486</v>
      </c>
      <c r="N775">
        <v>877.63</v>
      </c>
      <c r="O775">
        <v>11.32</v>
      </c>
      <c r="P775">
        <v>41.43</v>
      </c>
      <c r="Q775">
        <v>8.3000000000000007</v>
      </c>
      <c r="R775">
        <v>3.38</v>
      </c>
      <c r="S775">
        <v>525</v>
      </c>
      <c r="T775">
        <v>2619</v>
      </c>
      <c r="U775">
        <v>6437</v>
      </c>
      <c r="V775">
        <v>99</v>
      </c>
      <c r="W775">
        <v>25.38</v>
      </c>
      <c r="X775" s="10">
        <v>0.8587549465915123</v>
      </c>
      <c r="Y775" s="9">
        <v>36700</v>
      </c>
      <c r="Z775" s="9">
        <v>21750</v>
      </c>
      <c r="AA775" s="9">
        <v>34000</v>
      </c>
      <c r="AB775">
        <v>0.8193979933110368</v>
      </c>
      <c r="AC775" s="11">
        <v>197.18393998332868</v>
      </c>
      <c r="AD775" s="9">
        <v>22076.723163841809</v>
      </c>
      <c r="AE775" s="8">
        <v>0.5280898876404494</v>
      </c>
    </row>
    <row r="776" spans="1:31" x14ac:dyDescent="0.35">
      <c r="A776" s="6" t="s">
        <v>797</v>
      </c>
      <c r="B776" s="7">
        <v>3</v>
      </c>
      <c r="C776" s="7">
        <v>3</v>
      </c>
      <c r="D776" s="7">
        <v>10</v>
      </c>
      <c r="E776" s="7">
        <v>2</v>
      </c>
      <c r="F776">
        <v>223</v>
      </c>
      <c r="G776">
        <v>-45</v>
      </c>
      <c r="H776">
        <v>-20.260000000000002</v>
      </c>
      <c r="I776">
        <v>-66</v>
      </c>
      <c r="J776">
        <v>-29.81</v>
      </c>
      <c r="K776">
        <v>221</v>
      </c>
      <c r="L776">
        <v>151</v>
      </c>
      <c r="M776">
        <v>69</v>
      </c>
      <c r="N776">
        <v>-31.11</v>
      </c>
      <c r="O776">
        <v>-68.13</v>
      </c>
      <c r="P776">
        <v>0</v>
      </c>
      <c r="Q776">
        <v>1.45</v>
      </c>
      <c r="R776">
        <v>0.41</v>
      </c>
      <c r="S776">
        <v>-361</v>
      </c>
      <c r="T776">
        <v>344</v>
      </c>
      <c r="U776">
        <v>1211</v>
      </c>
      <c r="V776">
        <v>-44</v>
      </c>
      <c r="W776">
        <v>-2.92</v>
      </c>
      <c r="X776" s="10">
        <v>7.4327635044796889E-4</v>
      </c>
      <c r="Y776" s="9">
        <v>656</v>
      </c>
      <c r="Z776" s="9">
        <v>409</v>
      </c>
      <c r="AA776" s="9">
        <v>465</v>
      </c>
      <c r="AB776">
        <v>0.22672064777327935</v>
      </c>
      <c r="AC776" s="11">
        <v>-9.235898860794664E-2</v>
      </c>
      <c r="AD776" s="9">
        <v>507.95028248587568</v>
      </c>
      <c r="AE776" s="8">
        <v>-5.8704453441295545E-2</v>
      </c>
    </row>
    <row r="777" spans="1:31" x14ac:dyDescent="0.35">
      <c r="A777" s="6" t="s">
        <v>798</v>
      </c>
      <c r="B777" s="7">
        <v>7</v>
      </c>
      <c r="C777" s="7">
        <v>8</v>
      </c>
      <c r="D777" s="7">
        <v>3</v>
      </c>
      <c r="E777" s="7">
        <v>0</v>
      </c>
      <c r="F777">
        <v>726</v>
      </c>
      <c r="G777">
        <v>272</v>
      </c>
      <c r="H777">
        <v>37.51</v>
      </c>
      <c r="I777">
        <v>246</v>
      </c>
      <c r="J777">
        <v>33.880000000000003</v>
      </c>
      <c r="K777">
        <v>1733</v>
      </c>
      <c r="L777">
        <v>177</v>
      </c>
      <c r="M777">
        <v>1556</v>
      </c>
      <c r="N777">
        <v>1942.03</v>
      </c>
      <c r="O777">
        <v>22.23</v>
      </c>
      <c r="P777">
        <v>18.899999999999999</v>
      </c>
      <c r="Q777">
        <v>4.0199999999999996</v>
      </c>
      <c r="R777">
        <v>6.4</v>
      </c>
      <c r="S777">
        <v>2151</v>
      </c>
      <c r="T777">
        <v>10114</v>
      </c>
      <c r="U777">
        <v>6349</v>
      </c>
      <c r="V777">
        <v>412</v>
      </c>
      <c r="W777">
        <v>15.03</v>
      </c>
      <c r="X777" s="10">
        <v>0.47535453226980945</v>
      </c>
      <c r="Y777" s="9">
        <v>43100</v>
      </c>
      <c r="Z777" s="9">
        <v>35700</v>
      </c>
      <c r="AA777" s="9">
        <v>36850</v>
      </c>
      <c r="AB777">
        <v>0.1554054054054054</v>
      </c>
      <c r="AC777" s="11">
        <v>-79.256737982772989</v>
      </c>
      <c r="AD777" s="9">
        <v>41194.830508474573</v>
      </c>
      <c r="AE777" s="8">
        <v>-6.4720812182741116E-2</v>
      </c>
    </row>
    <row r="778" spans="1:31" x14ac:dyDescent="0.35">
      <c r="A778" s="6" t="s">
        <v>799</v>
      </c>
      <c r="B778" s="7">
        <v>3</v>
      </c>
      <c r="C778" s="7">
        <v>15</v>
      </c>
      <c r="D778" s="7">
        <v>0</v>
      </c>
      <c r="E778" s="7">
        <v>0</v>
      </c>
      <c r="F778">
        <v>913</v>
      </c>
      <c r="G778">
        <v>66</v>
      </c>
      <c r="H778">
        <v>7.22</v>
      </c>
      <c r="I778">
        <v>40</v>
      </c>
      <c r="J778">
        <v>4.43</v>
      </c>
      <c r="K778">
        <v>763</v>
      </c>
      <c r="L778">
        <v>237</v>
      </c>
      <c r="M778">
        <v>526</v>
      </c>
      <c r="N778">
        <v>205.07</v>
      </c>
      <c r="O778">
        <v>8.2799999999999994</v>
      </c>
      <c r="P778">
        <v>23.87</v>
      </c>
      <c r="Q778">
        <v>1.96</v>
      </c>
      <c r="R778">
        <v>1.06</v>
      </c>
      <c r="S778">
        <v>115</v>
      </c>
      <c r="T778">
        <v>1398</v>
      </c>
      <c r="U778">
        <v>2594</v>
      </c>
      <c r="V778">
        <v>75</v>
      </c>
      <c r="W778">
        <v>14.16</v>
      </c>
      <c r="X778" s="10">
        <v>0.34875051319427863</v>
      </c>
      <c r="Y778" s="9">
        <v>3300</v>
      </c>
      <c r="Z778" s="9">
        <v>2660</v>
      </c>
      <c r="AA778" s="9">
        <v>2945</v>
      </c>
      <c r="AB778">
        <v>0.4453125</v>
      </c>
      <c r="AC778" s="11">
        <v>6.1229508196721305</v>
      </c>
      <c r="AD778" s="9">
        <v>2728.8333333333335</v>
      </c>
      <c r="AE778" s="8">
        <v>8.8724584103512014E-2</v>
      </c>
    </row>
    <row r="779" spans="1:31" x14ac:dyDescent="0.35">
      <c r="A779" s="6" t="s">
        <v>800</v>
      </c>
      <c r="B779" s="7">
        <v>10</v>
      </c>
      <c r="C779" s="7">
        <v>1</v>
      </c>
      <c r="D779" s="7">
        <v>7</v>
      </c>
      <c r="E779" s="7">
        <v>0</v>
      </c>
      <c r="F779">
        <v>2416</v>
      </c>
      <c r="G779">
        <v>316</v>
      </c>
      <c r="H779">
        <v>13.08</v>
      </c>
      <c r="I779">
        <v>238</v>
      </c>
      <c r="J779">
        <v>9.85</v>
      </c>
      <c r="K779">
        <v>4929</v>
      </c>
      <c r="L779">
        <v>2960</v>
      </c>
      <c r="M779">
        <v>1969</v>
      </c>
      <c r="N779">
        <v>1330.56</v>
      </c>
      <c r="O779">
        <v>17.02</v>
      </c>
      <c r="P779">
        <v>12.11</v>
      </c>
      <c r="Q779">
        <v>1.96</v>
      </c>
      <c r="R779">
        <v>1.19</v>
      </c>
      <c r="S779">
        <v>1189</v>
      </c>
      <c r="T779">
        <v>7329</v>
      </c>
      <c r="U779">
        <v>12079</v>
      </c>
      <c r="V779">
        <v>617</v>
      </c>
      <c r="W779">
        <v>10.31</v>
      </c>
      <c r="X779" s="10">
        <v>0.21664787899723997</v>
      </c>
      <c r="Y779" s="9">
        <v>17350</v>
      </c>
      <c r="Z779" s="9">
        <v>15300</v>
      </c>
      <c r="AA779" s="9">
        <v>15300</v>
      </c>
      <c r="AB779">
        <v>0</v>
      </c>
      <c r="AC779" s="11">
        <v>-13.853848291191996</v>
      </c>
      <c r="AD779" s="9">
        <v>16784.209039548023</v>
      </c>
      <c r="AE779" s="8">
        <v>-1.9230769230769232E-2</v>
      </c>
    </row>
    <row r="780" spans="1:31" x14ac:dyDescent="0.35">
      <c r="A780" s="6" t="s">
        <v>801</v>
      </c>
      <c r="B780" s="7">
        <v>0</v>
      </c>
      <c r="C780" s="7">
        <v>10</v>
      </c>
      <c r="D780" s="7">
        <v>5</v>
      </c>
      <c r="E780" s="7">
        <v>3</v>
      </c>
      <c r="F780">
        <v>221</v>
      </c>
      <c r="G780">
        <v>-23</v>
      </c>
      <c r="H780">
        <v>-10.19</v>
      </c>
      <c r="I780">
        <v>-75</v>
      </c>
      <c r="J780">
        <v>-33.79</v>
      </c>
      <c r="K780">
        <v>232</v>
      </c>
      <c r="L780">
        <v>52</v>
      </c>
      <c r="M780">
        <v>180</v>
      </c>
      <c r="N780">
        <v>-7.8</v>
      </c>
      <c r="O780">
        <v>-63.51</v>
      </c>
      <c r="P780">
        <v>0</v>
      </c>
      <c r="Q780">
        <v>4.3899999999999997</v>
      </c>
      <c r="R780">
        <v>2.16</v>
      </c>
      <c r="S780">
        <v>-312</v>
      </c>
      <c r="T780">
        <v>454</v>
      </c>
      <c r="U780">
        <v>923</v>
      </c>
      <c r="V780">
        <v>-20</v>
      </c>
      <c r="W780">
        <v>-39.68</v>
      </c>
      <c r="X780" s="10">
        <v>0.439691236432531</v>
      </c>
      <c r="Y780" s="9">
        <v>4600</v>
      </c>
      <c r="Z780" s="9">
        <v>1995</v>
      </c>
      <c r="AA780" s="9">
        <v>4210</v>
      </c>
      <c r="AB780">
        <v>0.85028790786948172</v>
      </c>
      <c r="AC780" s="11">
        <v>30.662545151430955</v>
      </c>
      <c r="AD780" s="9">
        <v>2456.2090395480222</v>
      </c>
      <c r="AE780" s="8">
        <v>1.1102756892230576</v>
      </c>
    </row>
    <row r="781" spans="1:31" x14ac:dyDescent="0.35">
      <c r="A781" s="6" t="s">
        <v>802</v>
      </c>
      <c r="B781" s="7">
        <v>4</v>
      </c>
      <c r="C781" s="7">
        <v>2</v>
      </c>
      <c r="D781" s="7">
        <v>2</v>
      </c>
      <c r="E781" s="7">
        <v>10</v>
      </c>
      <c r="F781">
        <v>389</v>
      </c>
      <c r="G781">
        <v>-10</v>
      </c>
      <c r="H781">
        <v>-2.46</v>
      </c>
      <c r="I781">
        <v>-9</v>
      </c>
      <c r="J781">
        <v>-2.39</v>
      </c>
      <c r="K781">
        <v>1141</v>
      </c>
      <c r="L781">
        <v>626</v>
      </c>
      <c r="M781">
        <v>515</v>
      </c>
      <c r="N781">
        <v>1220.93</v>
      </c>
      <c r="O781">
        <v>-2.5299999999999998</v>
      </c>
      <c r="P781">
        <v>0</v>
      </c>
      <c r="Q781">
        <v>0.56999999999999995</v>
      </c>
      <c r="R781">
        <v>0.53</v>
      </c>
      <c r="S781">
        <v>-168</v>
      </c>
      <c r="T781">
        <v>6534</v>
      </c>
      <c r="U781">
        <v>7036</v>
      </c>
      <c r="V781">
        <v>36</v>
      </c>
      <c r="W781">
        <v>23.03</v>
      </c>
      <c r="X781" s="10">
        <v>0.23690682979982744</v>
      </c>
      <c r="Y781" s="9">
        <v>3100</v>
      </c>
      <c r="Z781" s="9">
        <v>2350</v>
      </c>
      <c r="AA781" s="9">
        <v>3070</v>
      </c>
      <c r="AB781">
        <v>0.96</v>
      </c>
      <c r="AC781" s="11">
        <v>6.6005834954153935</v>
      </c>
      <c r="AD781" s="9">
        <v>2491.4322033898306</v>
      </c>
      <c r="AE781" s="8">
        <v>0.14126394052044611</v>
      </c>
    </row>
    <row r="782" spans="1:31" x14ac:dyDescent="0.35">
      <c r="A782" s="6" t="s">
        <v>803</v>
      </c>
      <c r="B782" s="7">
        <v>12</v>
      </c>
      <c r="C782" s="7">
        <v>0</v>
      </c>
      <c r="D782" s="7">
        <v>5</v>
      </c>
      <c r="E782" s="7">
        <v>1</v>
      </c>
      <c r="F782">
        <v>3822</v>
      </c>
      <c r="G782">
        <v>181</v>
      </c>
      <c r="H782">
        <v>4.75</v>
      </c>
      <c r="I782">
        <v>151</v>
      </c>
      <c r="J782">
        <v>3.96</v>
      </c>
      <c r="K782">
        <v>2346</v>
      </c>
      <c r="L782">
        <v>650</v>
      </c>
      <c r="M782">
        <v>1697</v>
      </c>
      <c r="N782">
        <v>905.63</v>
      </c>
      <c r="O782">
        <v>9.31</v>
      </c>
      <c r="P782">
        <v>22.71</v>
      </c>
      <c r="Q782">
        <v>2.2000000000000002</v>
      </c>
      <c r="R782">
        <v>0.9</v>
      </c>
      <c r="S782">
        <v>458</v>
      </c>
      <c r="T782">
        <v>4737</v>
      </c>
      <c r="U782">
        <v>11569</v>
      </c>
      <c r="V782">
        <v>251</v>
      </c>
      <c r="W782">
        <v>14.5</v>
      </c>
      <c r="X782" s="10">
        <v>0.30531009073433879</v>
      </c>
      <c r="Y782" s="9">
        <v>12700</v>
      </c>
      <c r="Z782" s="9">
        <v>9650</v>
      </c>
      <c r="AA782" s="9">
        <v>9650</v>
      </c>
      <c r="AB782">
        <v>0</v>
      </c>
      <c r="AC782" s="11">
        <v>-28.253403723256461</v>
      </c>
      <c r="AD782" s="9">
        <v>11621.728813559323</v>
      </c>
      <c r="AE782" s="8">
        <v>-5.8536585365853662E-2</v>
      </c>
    </row>
    <row r="783" spans="1:31" x14ac:dyDescent="0.35">
      <c r="A783" s="6" t="s">
        <v>804</v>
      </c>
      <c r="B783" s="7">
        <v>12</v>
      </c>
      <c r="C783" s="7">
        <v>0</v>
      </c>
      <c r="D783" s="7">
        <v>6</v>
      </c>
      <c r="E783" s="7">
        <v>0</v>
      </c>
      <c r="F783">
        <v>1137</v>
      </c>
      <c r="G783">
        <v>59</v>
      </c>
      <c r="H783">
        <v>5.16</v>
      </c>
      <c r="I783">
        <v>49</v>
      </c>
      <c r="J783">
        <v>4.3</v>
      </c>
      <c r="K783">
        <v>754</v>
      </c>
      <c r="L783">
        <v>328</v>
      </c>
      <c r="M783">
        <v>427</v>
      </c>
      <c r="N783">
        <v>504.75</v>
      </c>
      <c r="O783">
        <v>12.72</v>
      </c>
      <c r="P783">
        <v>16.989999999999998</v>
      </c>
      <c r="Q783">
        <v>2.15</v>
      </c>
      <c r="R783">
        <v>0.73</v>
      </c>
      <c r="S783">
        <v>365</v>
      </c>
      <c r="T783">
        <v>2890</v>
      </c>
      <c r="U783">
        <v>8482</v>
      </c>
      <c r="V783">
        <v>61</v>
      </c>
      <c r="W783">
        <v>14.73</v>
      </c>
      <c r="X783" s="10">
        <v>0.83996013812155135</v>
      </c>
      <c r="Y783" s="9">
        <v>6710</v>
      </c>
      <c r="Z783" s="9">
        <v>4880</v>
      </c>
      <c r="AA783" s="9">
        <v>5000</v>
      </c>
      <c r="AB783">
        <v>6.5573770491803282E-2</v>
      </c>
      <c r="AC783" s="11">
        <v>-25.585023617671574</v>
      </c>
      <c r="AD783" s="9">
        <v>6328.093220338983</v>
      </c>
      <c r="AE783" s="8">
        <v>-0.17898193760262726</v>
      </c>
    </row>
    <row r="784" spans="1:31" x14ac:dyDescent="0.35">
      <c r="A784" s="6" t="s">
        <v>805</v>
      </c>
      <c r="B784" s="7">
        <v>0</v>
      </c>
      <c r="C784" s="7">
        <v>2</v>
      </c>
      <c r="D784" s="7">
        <v>14</v>
      </c>
      <c r="E784" s="7">
        <v>2</v>
      </c>
      <c r="F784">
        <v>2859</v>
      </c>
      <c r="G784">
        <v>-106</v>
      </c>
      <c r="H784">
        <v>-3.7</v>
      </c>
      <c r="I784">
        <v>-172</v>
      </c>
      <c r="J784">
        <v>-6.03</v>
      </c>
      <c r="K784">
        <v>1986</v>
      </c>
      <c r="L784">
        <v>1215</v>
      </c>
      <c r="M784">
        <v>771</v>
      </c>
      <c r="N784">
        <v>119.71</v>
      </c>
      <c r="O784">
        <v>-21.85</v>
      </c>
      <c r="P784">
        <v>0</v>
      </c>
      <c r="Q784">
        <v>0.56999999999999995</v>
      </c>
      <c r="R784">
        <v>0.15</v>
      </c>
      <c r="S784">
        <v>-245</v>
      </c>
      <c r="T784">
        <v>1054</v>
      </c>
      <c r="U784">
        <v>4065</v>
      </c>
      <c r="V784">
        <v>-57</v>
      </c>
      <c r="W784">
        <v>-23.01</v>
      </c>
      <c r="X784" s="10">
        <v>0.72861394979576277</v>
      </c>
      <c r="Y784" s="9">
        <v>665</v>
      </c>
      <c r="Z784" s="9">
        <v>585</v>
      </c>
      <c r="AA784" s="9">
        <v>646</v>
      </c>
      <c r="AB784">
        <v>0.76249999999999996</v>
      </c>
      <c r="AC784" s="11">
        <v>1.0937760489024728</v>
      </c>
      <c r="AD784" s="9">
        <v>590.18983050847453</v>
      </c>
      <c r="AE784" s="8">
        <v>5.5555555555555552E-2</v>
      </c>
    </row>
    <row r="785" spans="1:31" x14ac:dyDescent="0.35">
      <c r="A785" s="6" t="s">
        <v>806</v>
      </c>
      <c r="B785" s="7">
        <v>0</v>
      </c>
      <c r="C785" s="7">
        <v>0</v>
      </c>
      <c r="D785" s="7">
        <v>0</v>
      </c>
      <c r="E785" s="7">
        <v>18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 s="10">
        <v>0.81329775693035478</v>
      </c>
      <c r="Y785" s="9">
        <v>10465</v>
      </c>
      <c r="Z785" s="9">
        <v>9755</v>
      </c>
      <c r="AA785" s="9">
        <v>10340</v>
      </c>
      <c r="AB785">
        <v>0.823943661971831</v>
      </c>
      <c r="AC785" s="11">
        <v>9.033620450125035</v>
      </c>
      <c r="AD785" s="9">
        <v>9885.6412429378524</v>
      </c>
      <c r="AE785" s="8">
        <v>3.2451323015476784E-2</v>
      </c>
    </row>
    <row r="786" spans="1:31" x14ac:dyDescent="0.35">
      <c r="A786" s="6" t="s">
        <v>807</v>
      </c>
      <c r="B786" s="7">
        <v>15</v>
      </c>
      <c r="C786" s="7">
        <v>3</v>
      </c>
      <c r="D786" s="7">
        <v>0</v>
      </c>
      <c r="E786" s="7">
        <v>0</v>
      </c>
      <c r="F786">
        <v>441</v>
      </c>
      <c r="G786">
        <v>107</v>
      </c>
      <c r="H786">
        <v>24.31</v>
      </c>
      <c r="I786">
        <v>91</v>
      </c>
      <c r="J786">
        <v>20.71</v>
      </c>
      <c r="K786">
        <v>479</v>
      </c>
      <c r="L786">
        <v>76</v>
      </c>
      <c r="M786">
        <v>403</v>
      </c>
      <c r="N786">
        <v>870.03</v>
      </c>
      <c r="O786">
        <v>25.19</v>
      </c>
      <c r="P786">
        <v>11.07</v>
      </c>
      <c r="Q786">
        <v>2.5499999999999998</v>
      </c>
      <c r="R786">
        <v>2.29</v>
      </c>
      <c r="S786">
        <v>1098</v>
      </c>
      <c r="T786">
        <v>4767</v>
      </c>
      <c r="U786">
        <v>5302</v>
      </c>
      <c r="V786">
        <v>115</v>
      </c>
      <c r="W786">
        <v>8.74</v>
      </c>
      <c r="X786" s="10">
        <v>2.979317058318361E-2</v>
      </c>
      <c r="Y786" s="9">
        <v>14050</v>
      </c>
      <c r="Z786" s="9">
        <v>11750</v>
      </c>
      <c r="AA786" s="9">
        <v>12850</v>
      </c>
      <c r="AB786">
        <v>0.47826086956521741</v>
      </c>
      <c r="AC786" s="11">
        <v>5.1041956098916357</v>
      </c>
      <c r="AD786" s="9">
        <v>12602.655367231639</v>
      </c>
      <c r="AE786" s="8">
        <v>8.8983050847457626E-2</v>
      </c>
    </row>
    <row r="787" spans="1:31" x14ac:dyDescent="0.35">
      <c r="A787" s="6" t="s">
        <v>808</v>
      </c>
      <c r="B787" s="7">
        <v>0</v>
      </c>
      <c r="C787" s="7">
        <v>0</v>
      </c>
      <c r="D787" s="7">
        <v>0</v>
      </c>
      <c r="E787" s="7">
        <v>18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 s="10">
        <v>0.75310277509695145</v>
      </c>
      <c r="Y787" s="9">
        <v>19645</v>
      </c>
      <c r="Z787" s="9">
        <v>18300</v>
      </c>
      <c r="AA787" s="9">
        <v>19370</v>
      </c>
      <c r="AB787">
        <v>0.79553903345724908</v>
      </c>
      <c r="AC787" s="11">
        <v>16.087524312308975</v>
      </c>
      <c r="AD787" s="9">
        <v>18545.663841807909</v>
      </c>
      <c r="AE787" s="8">
        <v>2.8677642060541689E-2</v>
      </c>
    </row>
    <row r="788" spans="1:31" x14ac:dyDescent="0.35">
      <c r="A788" s="6" t="s">
        <v>809</v>
      </c>
      <c r="B788" s="7">
        <v>0</v>
      </c>
      <c r="C788" s="7">
        <v>0</v>
      </c>
      <c r="D788" s="7">
        <v>0</v>
      </c>
      <c r="E788" s="7">
        <v>18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 s="10">
        <v>0.86564349438309618</v>
      </c>
      <c r="Y788" s="9">
        <v>11580</v>
      </c>
      <c r="Z788" s="9">
        <v>10725</v>
      </c>
      <c r="AA788" s="9">
        <v>11535</v>
      </c>
      <c r="AB788">
        <v>0.94736842105263153</v>
      </c>
      <c r="AC788" s="11">
        <v>12.573631564323422</v>
      </c>
      <c r="AD788" s="9">
        <v>10738.420903954802</v>
      </c>
      <c r="AE788" s="8">
        <v>4.2005420054200542E-2</v>
      </c>
    </row>
    <row r="789" spans="1:31" x14ac:dyDescent="0.35">
      <c r="A789" s="6" t="s">
        <v>810</v>
      </c>
      <c r="B789" s="7">
        <v>3</v>
      </c>
      <c r="C789" s="7">
        <v>5</v>
      </c>
      <c r="D789" s="7">
        <v>7</v>
      </c>
      <c r="E789" s="7">
        <v>3</v>
      </c>
      <c r="F789">
        <v>353</v>
      </c>
      <c r="G789">
        <v>24</v>
      </c>
      <c r="H789">
        <v>6.83</v>
      </c>
      <c r="I789">
        <v>28</v>
      </c>
      <c r="J789">
        <v>7.83</v>
      </c>
      <c r="K789">
        <v>823</v>
      </c>
      <c r="L789">
        <v>156</v>
      </c>
      <c r="M789">
        <v>667</v>
      </c>
      <c r="N789">
        <v>2169.87</v>
      </c>
      <c r="O789">
        <v>5.7</v>
      </c>
      <c r="P789">
        <v>76.17</v>
      </c>
      <c r="Q789">
        <v>4.32</v>
      </c>
      <c r="R789">
        <v>5.96</v>
      </c>
      <c r="S789">
        <v>640</v>
      </c>
      <c r="T789">
        <v>11297</v>
      </c>
      <c r="U789">
        <v>8173</v>
      </c>
      <c r="V789">
        <v>99</v>
      </c>
      <c r="W789">
        <v>28.97</v>
      </c>
      <c r="X789" s="10">
        <v>0.57758856379506451</v>
      </c>
      <c r="Y789" s="9">
        <v>39533</v>
      </c>
      <c r="Z789" s="9">
        <v>25800</v>
      </c>
      <c r="AA789" s="9">
        <v>37200</v>
      </c>
      <c r="AB789">
        <v>0.83011723585523922</v>
      </c>
      <c r="AC789" s="11">
        <v>150.09905529313698</v>
      </c>
      <c r="AD789" s="9">
        <v>29937.462146892653</v>
      </c>
      <c r="AE789" s="8">
        <v>0.4144486692015209</v>
      </c>
    </row>
    <row r="790" spans="1:31" x14ac:dyDescent="0.35">
      <c r="A790" s="6" t="s">
        <v>811</v>
      </c>
      <c r="B790" s="7">
        <v>0</v>
      </c>
      <c r="C790" s="7">
        <v>16</v>
      </c>
      <c r="D790" s="7">
        <v>0</v>
      </c>
      <c r="E790" s="7">
        <v>2</v>
      </c>
      <c r="F790">
        <v>10472</v>
      </c>
      <c r="G790">
        <v>125</v>
      </c>
      <c r="H790">
        <v>1.2</v>
      </c>
      <c r="I790">
        <v>361</v>
      </c>
      <c r="J790">
        <v>3.45</v>
      </c>
      <c r="K790">
        <v>26958</v>
      </c>
      <c r="L790">
        <v>18762</v>
      </c>
      <c r="M790">
        <v>8197</v>
      </c>
      <c r="N790">
        <v>1656.75</v>
      </c>
      <c r="O790">
        <v>4.4000000000000004</v>
      </c>
      <c r="P790">
        <v>47.67</v>
      </c>
      <c r="Q790">
        <v>2.4</v>
      </c>
      <c r="R790">
        <v>1.64</v>
      </c>
      <c r="S790">
        <v>3849</v>
      </c>
      <c r="T790">
        <v>76347</v>
      </c>
      <c r="U790">
        <v>111719</v>
      </c>
      <c r="V790">
        <v>527</v>
      </c>
      <c r="W790">
        <v>49.67</v>
      </c>
      <c r="X790" s="10">
        <v>0.20984869311522769</v>
      </c>
      <c r="Y790" s="9">
        <v>183500</v>
      </c>
      <c r="Z790" s="9">
        <v>144500</v>
      </c>
      <c r="AA790" s="9">
        <v>158500</v>
      </c>
      <c r="AB790">
        <v>0.35897435897435898</v>
      </c>
      <c r="AC790" s="11">
        <v>-255.73770491803279</v>
      </c>
      <c r="AD790" s="9">
        <v>170850</v>
      </c>
      <c r="AE790" s="8">
        <v>-0.13387978142076504</v>
      </c>
    </row>
    <row r="791" spans="1:31" x14ac:dyDescent="0.35">
      <c r="A791" s="6" t="s">
        <v>812</v>
      </c>
      <c r="B791" s="7">
        <v>5</v>
      </c>
      <c r="C791" s="7">
        <v>8</v>
      </c>
      <c r="D791" s="7">
        <v>4</v>
      </c>
      <c r="E791" s="7">
        <v>1</v>
      </c>
      <c r="F791">
        <v>1168</v>
      </c>
      <c r="G791">
        <v>26</v>
      </c>
      <c r="H791">
        <v>2.2200000000000002</v>
      </c>
      <c r="I791">
        <v>34</v>
      </c>
      <c r="J791">
        <v>2.88</v>
      </c>
      <c r="K791">
        <v>2644</v>
      </c>
      <c r="L791">
        <v>471</v>
      </c>
      <c r="M791">
        <v>2174</v>
      </c>
      <c r="N791">
        <v>5533.13</v>
      </c>
      <c r="O791">
        <v>3.12</v>
      </c>
      <c r="P791">
        <v>8.4600000000000009</v>
      </c>
      <c r="Q791">
        <v>0.34</v>
      </c>
      <c r="R791">
        <v>0.24</v>
      </c>
      <c r="S791">
        <v>2098</v>
      </c>
      <c r="T791">
        <v>52340</v>
      </c>
      <c r="U791">
        <v>72738</v>
      </c>
      <c r="V791">
        <v>123</v>
      </c>
      <c r="W791">
        <v>6</v>
      </c>
      <c r="X791" s="10">
        <v>0.84882345069127618</v>
      </c>
      <c r="Y791" s="9">
        <v>24750</v>
      </c>
      <c r="Z791" s="9">
        <v>16250</v>
      </c>
      <c r="AA791" s="9">
        <v>24750</v>
      </c>
      <c r="AB791">
        <v>1</v>
      </c>
      <c r="AC791" s="11">
        <v>113.63989997221451</v>
      </c>
      <c r="AD791" s="9">
        <v>15618.983050847457</v>
      </c>
      <c r="AE791" s="8">
        <v>0.39830508474576271</v>
      </c>
    </row>
    <row r="792" spans="1:31" x14ac:dyDescent="0.35">
      <c r="A792" s="6" t="s">
        <v>813</v>
      </c>
      <c r="B792" s="7">
        <v>10</v>
      </c>
      <c r="C792" s="7">
        <v>1</v>
      </c>
      <c r="D792" s="7">
        <v>5</v>
      </c>
      <c r="E792" s="7">
        <v>2</v>
      </c>
      <c r="F792">
        <v>12026</v>
      </c>
      <c r="G792">
        <v>288</v>
      </c>
      <c r="H792">
        <v>2.39</v>
      </c>
      <c r="I792">
        <v>262</v>
      </c>
      <c r="J792">
        <v>2.1800000000000002</v>
      </c>
      <c r="K792">
        <v>6578</v>
      </c>
      <c r="L792">
        <v>3226</v>
      </c>
      <c r="M792">
        <v>3352</v>
      </c>
      <c r="N792">
        <v>5079.46</v>
      </c>
      <c r="O792">
        <v>8.01</v>
      </c>
      <c r="P792">
        <v>18.02</v>
      </c>
      <c r="Q792">
        <v>1.52</v>
      </c>
      <c r="R792">
        <v>0.39</v>
      </c>
      <c r="S792">
        <v>2067</v>
      </c>
      <c r="T792">
        <v>24458</v>
      </c>
      <c r="U792">
        <v>94809</v>
      </c>
      <c r="V792">
        <v>573</v>
      </c>
      <c r="W792">
        <v>10.1</v>
      </c>
      <c r="X792" s="10">
        <v>0.33303897547519445</v>
      </c>
      <c r="Y792" s="9">
        <v>40100</v>
      </c>
      <c r="Z792" s="9">
        <v>31100</v>
      </c>
      <c r="AA792" s="9">
        <v>37900</v>
      </c>
      <c r="AB792">
        <v>0.75555555555555554</v>
      </c>
      <c r="AC792" s="11">
        <v>88.078632953598202</v>
      </c>
      <c r="AD792" s="9">
        <v>32179.43502824859</v>
      </c>
      <c r="AE792" s="8">
        <v>6.6401062416998674E-3</v>
      </c>
    </row>
    <row r="793" spans="1:31" x14ac:dyDescent="0.35">
      <c r="A793" s="6" t="s">
        <v>814</v>
      </c>
      <c r="B793" s="7">
        <v>10</v>
      </c>
      <c r="C793" s="7">
        <v>1</v>
      </c>
      <c r="D793" s="7">
        <v>6</v>
      </c>
      <c r="E793" s="7">
        <v>1</v>
      </c>
      <c r="F793">
        <v>615</v>
      </c>
      <c r="G793">
        <v>74</v>
      </c>
      <c r="H793">
        <v>12.06</v>
      </c>
      <c r="I793">
        <v>55</v>
      </c>
      <c r="J793">
        <v>8.8800000000000008</v>
      </c>
      <c r="K793">
        <v>632</v>
      </c>
      <c r="L793">
        <v>232</v>
      </c>
      <c r="M793">
        <v>400</v>
      </c>
      <c r="N793">
        <v>408.49</v>
      </c>
      <c r="O793">
        <v>14.62</v>
      </c>
      <c r="P793">
        <v>6.7</v>
      </c>
      <c r="Q793">
        <v>0.99</v>
      </c>
      <c r="R793">
        <v>0.59</v>
      </c>
      <c r="S793">
        <v>364</v>
      </c>
      <c r="T793">
        <v>2471</v>
      </c>
      <c r="U793">
        <v>4104</v>
      </c>
      <c r="V793">
        <v>75</v>
      </c>
      <c r="W793">
        <v>5.23</v>
      </c>
      <c r="X793" s="10">
        <v>0.52709722502527756</v>
      </c>
      <c r="Y793" s="9">
        <v>3145</v>
      </c>
      <c r="Z793" s="9">
        <v>2380</v>
      </c>
      <c r="AA793" s="9">
        <v>2950</v>
      </c>
      <c r="AB793">
        <v>0.74509803921568629</v>
      </c>
      <c r="AC793" s="11">
        <v>6.5275076410113924</v>
      </c>
      <c r="AD793" s="9">
        <v>2385.1610169491523</v>
      </c>
      <c r="AE793" s="8">
        <v>0.19675456389452334</v>
      </c>
    </row>
    <row r="794" spans="1:31" x14ac:dyDescent="0.35">
      <c r="A794" s="6" t="s">
        <v>815</v>
      </c>
      <c r="B794" s="7">
        <v>0</v>
      </c>
      <c r="C794" s="7">
        <v>13</v>
      </c>
      <c r="D794" s="7">
        <v>2</v>
      </c>
      <c r="E794" s="7">
        <v>3</v>
      </c>
      <c r="F794">
        <v>272</v>
      </c>
      <c r="G794">
        <v>26</v>
      </c>
      <c r="H794">
        <v>9.56</v>
      </c>
      <c r="I794">
        <v>4</v>
      </c>
      <c r="J794">
        <v>1.38</v>
      </c>
      <c r="K794">
        <v>712</v>
      </c>
      <c r="L794">
        <v>481</v>
      </c>
      <c r="M794">
        <v>231</v>
      </c>
      <c r="N794">
        <v>743.13</v>
      </c>
      <c r="O794">
        <v>2.16</v>
      </c>
      <c r="P794">
        <v>45.82</v>
      </c>
      <c r="Q794">
        <v>1.18</v>
      </c>
      <c r="R794">
        <v>0.63</v>
      </c>
      <c r="S794">
        <v>91</v>
      </c>
      <c r="T794">
        <v>3528</v>
      </c>
      <c r="U794">
        <v>6576</v>
      </c>
      <c r="V794">
        <v>67</v>
      </c>
      <c r="W794">
        <v>8.25</v>
      </c>
      <c r="X794" s="10">
        <v>0.81034482317134171</v>
      </c>
      <c r="Y794" s="9">
        <v>5070</v>
      </c>
      <c r="Z794" s="9">
        <v>3905</v>
      </c>
      <c r="AA794" s="9">
        <v>4820</v>
      </c>
      <c r="AB794">
        <v>0.78540772532188841</v>
      </c>
      <c r="AC794" s="11">
        <v>17.253542650736314</v>
      </c>
      <c r="AD794" s="9">
        <v>4075.8502824858756</v>
      </c>
      <c r="AE794" s="8">
        <v>0.22025316455696203</v>
      </c>
    </row>
    <row r="795" spans="1:31" x14ac:dyDescent="0.35">
      <c r="A795" s="6" t="s">
        <v>816</v>
      </c>
      <c r="B795" s="7">
        <v>9</v>
      </c>
      <c r="C795" s="7">
        <v>0</v>
      </c>
      <c r="D795" s="7">
        <v>4</v>
      </c>
      <c r="E795" s="7">
        <v>5</v>
      </c>
      <c r="F795">
        <v>2129</v>
      </c>
      <c r="G795">
        <v>1587</v>
      </c>
      <c r="H795">
        <v>74.53</v>
      </c>
      <c r="I795">
        <v>1587</v>
      </c>
      <c r="J795">
        <v>74.53</v>
      </c>
      <c r="K795">
        <v>20422</v>
      </c>
      <c r="L795">
        <v>3271</v>
      </c>
      <c r="M795">
        <v>17151</v>
      </c>
      <c r="N795">
        <v>2.64</v>
      </c>
      <c r="O795">
        <v>9.26</v>
      </c>
      <c r="P795">
        <v>12.76</v>
      </c>
      <c r="Q795">
        <v>1.18</v>
      </c>
      <c r="R795">
        <v>9.52</v>
      </c>
      <c r="S795">
        <v>479</v>
      </c>
      <c r="T795">
        <v>5174</v>
      </c>
      <c r="U795">
        <v>642</v>
      </c>
      <c r="V795">
        <v>0</v>
      </c>
      <c r="W795">
        <v>0</v>
      </c>
      <c r="X795" s="10">
        <v>0.90421665192267209</v>
      </c>
      <c r="Y795" s="9">
        <v>7940</v>
      </c>
      <c r="Z795" s="9">
        <v>6850</v>
      </c>
      <c r="AA795" s="9">
        <v>7810</v>
      </c>
      <c r="AB795">
        <v>0.88073394495412849</v>
      </c>
      <c r="AC795" s="11">
        <v>15.569880522367324</v>
      </c>
      <c r="AD795" s="9">
        <v>6880.7853107344636</v>
      </c>
      <c r="AE795" s="8">
        <v>0.13188405797101449</v>
      </c>
    </row>
    <row r="796" spans="1:31" x14ac:dyDescent="0.35">
      <c r="A796" s="6" t="s">
        <v>817</v>
      </c>
      <c r="B796" s="7">
        <v>4</v>
      </c>
      <c r="C796" s="7">
        <v>3</v>
      </c>
      <c r="D796" s="7">
        <v>3</v>
      </c>
      <c r="E796" s="7">
        <v>8</v>
      </c>
      <c r="F796">
        <v>2028</v>
      </c>
      <c r="G796">
        <v>359</v>
      </c>
      <c r="H796">
        <v>17.72</v>
      </c>
      <c r="I796">
        <v>315</v>
      </c>
      <c r="J796">
        <v>15.53</v>
      </c>
      <c r="K796">
        <v>4412</v>
      </c>
      <c r="L796">
        <v>572</v>
      </c>
      <c r="M796">
        <v>3840</v>
      </c>
      <c r="N796">
        <v>12642.74</v>
      </c>
      <c r="O796">
        <v>8.4</v>
      </c>
      <c r="P796">
        <v>10.57</v>
      </c>
      <c r="Q796">
        <v>0.95</v>
      </c>
      <c r="R796">
        <v>1.64</v>
      </c>
      <c r="S796">
        <v>5043</v>
      </c>
      <c r="T796">
        <v>56257</v>
      </c>
      <c r="U796">
        <v>32479</v>
      </c>
      <c r="V796">
        <v>468</v>
      </c>
      <c r="W796">
        <v>7.22</v>
      </c>
      <c r="X796" s="10">
        <v>0.71768283235274266</v>
      </c>
      <c r="Y796" s="9">
        <v>68000</v>
      </c>
      <c r="Z796" s="9">
        <v>52300</v>
      </c>
      <c r="AA796" s="9">
        <v>67600</v>
      </c>
      <c r="AB796">
        <v>0.97452229299363058</v>
      </c>
      <c r="AC796" s="11">
        <v>250.50013892747981</v>
      </c>
      <c r="AD796" s="9">
        <v>53651.412429378528</v>
      </c>
      <c r="AE796" s="8">
        <v>0.24036697247706423</v>
      </c>
    </row>
    <row r="797" spans="1:31" x14ac:dyDescent="0.35">
      <c r="A797" s="6" t="s">
        <v>818</v>
      </c>
      <c r="B797" s="7">
        <v>13</v>
      </c>
      <c r="C797" s="7">
        <v>3</v>
      </c>
      <c r="D797" s="7">
        <v>1</v>
      </c>
      <c r="E797" s="7">
        <v>1</v>
      </c>
      <c r="F797">
        <v>381</v>
      </c>
      <c r="G797">
        <v>43</v>
      </c>
      <c r="H797">
        <v>11.29</v>
      </c>
      <c r="I797">
        <v>37</v>
      </c>
      <c r="J797">
        <v>9.59</v>
      </c>
      <c r="K797">
        <v>375</v>
      </c>
      <c r="L797">
        <v>103</v>
      </c>
      <c r="M797">
        <v>272</v>
      </c>
      <c r="N797">
        <v>663.68</v>
      </c>
      <c r="O797">
        <v>17.18</v>
      </c>
      <c r="P797">
        <v>19.899999999999999</v>
      </c>
      <c r="Q797">
        <v>3.61</v>
      </c>
      <c r="R797">
        <v>1.91</v>
      </c>
      <c r="S797">
        <v>603</v>
      </c>
      <c r="T797">
        <v>3325</v>
      </c>
      <c r="U797">
        <v>6289</v>
      </c>
      <c r="V797">
        <v>57</v>
      </c>
      <c r="W797">
        <v>15.22</v>
      </c>
      <c r="X797" s="10">
        <v>0.54553952229523139</v>
      </c>
      <c r="Y797" s="9">
        <v>23500</v>
      </c>
      <c r="Z797" s="9">
        <v>11200</v>
      </c>
      <c r="AA797" s="9">
        <v>20800</v>
      </c>
      <c r="AB797">
        <v>0.78048780487804881</v>
      </c>
      <c r="AC797" s="11">
        <v>142.0575159766602</v>
      </c>
      <c r="AD797" s="9">
        <v>12141.412429378532</v>
      </c>
      <c r="AE797" s="8">
        <v>0.74789915966386555</v>
      </c>
    </row>
    <row r="798" spans="1:31" x14ac:dyDescent="0.35">
      <c r="A798" s="6" t="s">
        <v>819</v>
      </c>
      <c r="B798" s="7">
        <v>6</v>
      </c>
      <c r="C798" s="7">
        <v>9</v>
      </c>
      <c r="D798" s="7">
        <v>3</v>
      </c>
      <c r="E798" s="7">
        <v>0</v>
      </c>
      <c r="F798">
        <v>695</v>
      </c>
      <c r="G798">
        <v>483</v>
      </c>
      <c r="H798">
        <v>69.55</v>
      </c>
      <c r="I798">
        <v>426</v>
      </c>
      <c r="J798">
        <v>61.27</v>
      </c>
      <c r="K798">
        <v>1642</v>
      </c>
      <c r="L798">
        <v>857</v>
      </c>
      <c r="M798">
        <v>785</v>
      </c>
      <c r="N798">
        <v>3558.24</v>
      </c>
      <c r="O798">
        <v>62.13</v>
      </c>
      <c r="P798">
        <v>40.44</v>
      </c>
      <c r="Q798">
        <v>26.4</v>
      </c>
      <c r="R798">
        <v>24.78</v>
      </c>
      <c r="S798">
        <v>7913</v>
      </c>
      <c r="T798">
        <v>12121</v>
      </c>
      <c r="U798">
        <v>12914</v>
      </c>
      <c r="V798">
        <v>512</v>
      </c>
      <c r="W798">
        <v>35.369999999999997</v>
      </c>
      <c r="X798" s="10">
        <v>3.9943945295904457E-6</v>
      </c>
      <c r="Y798" s="9">
        <v>404900</v>
      </c>
      <c r="Z798" s="9">
        <v>305000</v>
      </c>
      <c r="AA798" s="9">
        <v>324000</v>
      </c>
      <c r="AB798">
        <v>0.19019019019019018</v>
      </c>
      <c r="AC798" s="11">
        <v>2.4173381494859685</v>
      </c>
      <c r="AD798" s="9">
        <v>354586.27118644066</v>
      </c>
      <c r="AE798" s="8">
        <v>6.2295081967213117E-2</v>
      </c>
    </row>
    <row r="799" spans="1:31" x14ac:dyDescent="0.35">
      <c r="A799" s="6" t="s">
        <v>820</v>
      </c>
      <c r="B799" s="7">
        <v>5</v>
      </c>
      <c r="C799" s="7">
        <v>0</v>
      </c>
      <c r="D799" s="7">
        <v>4</v>
      </c>
      <c r="E799" s="7">
        <v>9</v>
      </c>
      <c r="F799">
        <v>297</v>
      </c>
      <c r="G799">
        <v>-4</v>
      </c>
      <c r="H799">
        <v>-1.31</v>
      </c>
      <c r="I799">
        <v>-3</v>
      </c>
      <c r="J799">
        <v>-1.17</v>
      </c>
      <c r="K799">
        <v>1826</v>
      </c>
      <c r="L799">
        <v>623</v>
      </c>
      <c r="M799">
        <v>1202</v>
      </c>
      <c r="N799">
        <v>3309.04</v>
      </c>
      <c r="O799">
        <v>-0.28999999999999998</v>
      </c>
      <c r="P799">
        <v>0</v>
      </c>
      <c r="Q799">
        <v>4.29</v>
      </c>
      <c r="R799">
        <v>10.88</v>
      </c>
      <c r="S799">
        <v>-48</v>
      </c>
      <c r="T799">
        <v>10456</v>
      </c>
      <c r="U799">
        <v>4128</v>
      </c>
      <c r="V799">
        <v>26</v>
      </c>
      <c r="W799">
        <v>127.58</v>
      </c>
      <c r="X799" s="10">
        <v>0.85027736599581027</v>
      </c>
      <c r="Y799" s="9">
        <v>87200</v>
      </c>
      <c r="Z799" s="9">
        <v>42000</v>
      </c>
      <c r="AA799" s="9">
        <v>80400</v>
      </c>
      <c r="AB799">
        <v>0.84955752212389379</v>
      </c>
      <c r="AC799" s="11">
        <v>832.73131425395945</v>
      </c>
      <c r="AD799" s="9">
        <v>38615.028248587572</v>
      </c>
      <c r="AE799" s="8">
        <v>0.91428571428571426</v>
      </c>
    </row>
    <row r="800" spans="1:31" x14ac:dyDescent="0.35">
      <c r="A800" s="6" t="s">
        <v>821</v>
      </c>
      <c r="B800" s="7">
        <v>4</v>
      </c>
      <c r="C800" s="7">
        <v>2</v>
      </c>
      <c r="D800" s="7">
        <v>7</v>
      </c>
      <c r="E800" s="7">
        <v>5</v>
      </c>
      <c r="F800">
        <v>42</v>
      </c>
      <c r="G800">
        <v>-15</v>
      </c>
      <c r="H800">
        <v>-35.4</v>
      </c>
      <c r="I800">
        <v>-16</v>
      </c>
      <c r="J800">
        <v>-37.03</v>
      </c>
      <c r="K800">
        <v>334</v>
      </c>
      <c r="L800">
        <v>15</v>
      </c>
      <c r="M800">
        <v>320</v>
      </c>
      <c r="N800">
        <v>159.08000000000001</v>
      </c>
      <c r="O800">
        <v>-6.33</v>
      </c>
      <c r="P800">
        <v>0</v>
      </c>
      <c r="Q800">
        <v>18.440000000000001</v>
      </c>
      <c r="R800">
        <v>14.63</v>
      </c>
      <c r="S800">
        <v>-84</v>
      </c>
      <c r="T800">
        <v>180</v>
      </c>
      <c r="U800">
        <v>227</v>
      </c>
      <c r="V800">
        <v>-19</v>
      </c>
      <c r="W800">
        <v>-43.31</v>
      </c>
      <c r="X800" s="10">
        <v>0.69807036245257903</v>
      </c>
      <c r="Y800" s="9">
        <v>3395</v>
      </c>
      <c r="Z800" s="9">
        <v>2480</v>
      </c>
      <c r="AA800" s="9">
        <v>3165</v>
      </c>
      <c r="AB800">
        <v>0.74863387978142082</v>
      </c>
      <c r="AC800" s="11">
        <v>11.639344262295081</v>
      </c>
      <c r="AD800" s="9">
        <v>2459.5</v>
      </c>
      <c r="AE800" s="8">
        <v>0.27620967741935482</v>
      </c>
    </row>
    <row r="801" spans="1:31" x14ac:dyDescent="0.35">
      <c r="A801" s="6" t="s">
        <v>822</v>
      </c>
      <c r="B801" s="7">
        <v>7</v>
      </c>
      <c r="C801" s="7">
        <v>1</v>
      </c>
      <c r="D801" s="7">
        <v>5</v>
      </c>
      <c r="E801" s="7">
        <v>5</v>
      </c>
      <c r="F801">
        <v>420</v>
      </c>
      <c r="G801">
        <v>219</v>
      </c>
      <c r="H801">
        <v>51.99</v>
      </c>
      <c r="I801">
        <v>201</v>
      </c>
      <c r="J801">
        <v>47.84</v>
      </c>
      <c r="K801">
        <v>10891</v>
      </c>
      <c r="L801">
        <v>2873</v>
      </c>
      <c r="M801">
        <v>8018</v>
      </c>
      <c r="N801">
        <v>1046.31</v>
      </c>
      <c r="O801">
        <v>2.82</v>
      </c>
      <c r="P801">
        <v>53.57</v>
      </c>
      <c r="Q801">
        <v>1.62</v>
      </c>
      <c r="R801">
        <v>25.64</v>
      </c>
      <c r="S801">
        <v>168</v>
      </c>
      <c r="T801">
        <v>5553</v>
      </c>
      <c r="U801">
        <v>351</v>
      </c>
      <c r="V801">
        <v>0</v>
      </c>
      <c r="W801">
        <v>0</v>
      </c>
      <c r="X801" s="10">
        <v>0.87036400785444834</v>
      </c>
      <c r="Y801" s="9">
        <v>12600</v>
      </c>
      <c r="Z801" s="9">
        <v>8950</v>
      </c>
      <c r="AA801" s="9">
        <v>12600</v>
      </c>
      <c r="AB801">
        <v>1</v>
      </c>
      <c r="AC801" s="11">
        <v>55.840789108085588</v>
      </c>
      <c r="AD801" s="9">
        <v>8757.6892655367228</v>
      </c>
      <c r="AE801" s="8">
        <v>0.40782122905027934</v>
      </c>
    </row>
    <row r="802" spans="1:31" x14ac:dyDescent="0.35">
      <c r="A802" s="6" t="s">
        <v>823</v>
      </c>
      <c r="B802" s="7">
        <v>7</v>
      </c>
      <c r="C802" s="7">
        <v>8</v>
      </c>
      <c r="D802" s="7">
        <v>1</v>
      </c>
      <c r="E802" s="7">
        <v>2</v>
      </c>
      <c r="F802">
        <v>14632</v>
      </c>
      <c r="G802">
        <v>1651</v>
      </c>
      <c r="H802">
        <v>11.28</v>
      </c>
      <c r="I802">
        <v>1259</v>
      </c>
      <c r="J802">
        <v>8.61</v>
      </c>
      <c r="K802">
        <v>104665</v>
      </c>
      <c r="L802">
        <v>96372</v>
      </c>
      <c r="M802">
        <v>8292</v>
      </c>
      <c r="N802">
        <v>169.07</v>
      </c>
      <c r="O802">
        <v>16.29</v>
      </c>
      <c r="P802">
        <v>9.5299999999999994</v>
      </c>
      <c r="Q802">
        <v>1.55</v>
      </c>
      <c r="R802">
        <v>0.82</v>
      </c>
      <c r="S802">
        <v>413</v>
      </c>
      <c r="T802">
        <v>2537</v>
      </c>
      <c r="U802">
        <v>4799</v>
      </c>
      <c r="V802">
        <v>0</v>
      </c>
      <c r="W802">
        <v>0</v>
      </c>
      <c r="X802" s="10">
        <v>0.79391695307017296</v>
      </c>
      <c r="Y802" s="9">
        <v>5280</v>
      </c>
      <c r="Z802" s="9">
        <v>3700</v>
      </c>
      <c r="AA802" s="9">
        <v>5230</v>
      </c>
      <c r="AB802">
        <v>0.96835443037974689</v>
      </c>
      <c r="AC802" s="11">
        <v>24.13364823562101</v>
      </c>
      <c r="AD802" s="9">
        <v>3535.5903954802261</v>
      </c>
      <c r="AE802" s="8">
        <v>0.33759590792838873</v>
      </c>
    </row>
    <row r="803" spans="1:31" x14ac:dyDescent="0.35">
      <c r="A803" s="6" t="s">
        <v>824</v>
      </c>
      <c r="B803" s="7">
        <v>2</v>
      </c>
      <c r="C803" s="7">
        <v>5</v>
      </c>
      <c r="D803" s="7">
        <v>5</v>
      </c>
      <c r="E803" s="7">
        <v>6</v>
      </c>
      <c r="F803">
        <v>60246</v>
      </c>
      <c r="G803">
        <v>1542</v>
      </c>
      <c r="H803">
        <v>2.56</v>
      </c>
      <c r="I803">
        <v>1127</v>
      </c>
      <c r="J803">
        <v>1.87</v>
      </c>
      <c r="K803">
        <v>129815</v>
      </c>
      <c r="L803">
        <v>115817</v>
      </c>
      <c r="M803">
        <v>13998</v>
      </c>
      <c r="N803">
        <v>2564.75</v>
      </c>
      <c r="O803">
        <v>9.24</v>
      </c>
      <c r="P803">
        <v>11.22</v>
      </c>
      <c r="Q803">
        <v>1.02</v>
      </c>
      <c r="R803">
        <v>0.21</v>
      </c>
      <c r="S803">
        <v>1110</v>
      </c>
      <c r="T803">
        <v>12238</v>
      </c>
      <c r="U803">
        <v>59312</v>
      </c>
      <c r="V803">
        <v>0</v>
      </c>
      <c r="W803">
        <v>0</v>
      </c>
      <c r="X803" s="10">
        <v>0.23045155615826921</v>
      </c>
      <c r="Y803" s="9">
        <v>13300</v>
      </c>
      <c r="Z803" s="9">
        <v>11400</v>
      </c>
      <c r="AA803" s="9">
        <v>11400</v>
      </c>
      <c r="AB803">
        <v>0</v>
      </c>
      <c r="AC803" s="11">
        <v>-10.373714920811336</v>
      </c>
      <c r="AD803" s="9">
        <v>12678.898305084746</v>
      </c>
      <c r="AE803" s="8">
        <v>-6.5573770491803282E-2</v>
      </c>
    </row>
    <row r="804" spans="1:31" x14ac:dyDescent="0.35">
      <c r="A804" s="6" t="s">
        <v>825</v>
      </c>
      <c r="B804" s="7">
        <v>1</v>
      </c>
      <c r="C804" s="7">
        <v>7</v>
      </c>
      <c r="D804" s="7">
        <v>0</v>
      </c>
      <c r="E804" s="7">
        <v>10</v>
      </c>
      <c r="F804">
        <v>49</v>
      </c>
      <c r="G804">
        <v>-49</v>
      </c>
      <c r="H804">
        <v>-101.22</v>
      </c>
      <c r="I804">
        <v>-26</v>
      </c>
      <c r="J804">
        <v>-52.86</v>
      </c>
      <c r="K804">
        <v>779</v>
      </c>
      <c r="L804">
        <v>117</v>
      </c>
      <c r="M804">
        <v>662</v>
      </c>
      <c r="N804">
        <v>1745.63</v>
      </c>
      <c r="O804">
        <v>-4</v>
      </c>
      <c r="P804">
        <v>0</v>
      </c>
      <c r="Q804">
        <v>4.53</v>
      </c>
      <c r="R804">
        <v>55.17</v>
      </c>
      <c r="S804">
        <v>-337</v>
      </c>
      <c r="T804">
        <v>7776</v>
      </c>
      <c r="U804">
        <v>638</v>
      </c>
      <c r="V804">
        <v>-48</v>
      </c>
      <c r="W804">
        <v>-59.96</v>
      </c>
      <c r="X804" s="10">
        <v>0.36222976068065199</v>
      </c>
      <c r="Y804" s="9">
        <v>39250</v>
      </c>
      <c r="Z804" s="9">
        <v>29900</v>
      </c>
      <c r="AA804" s="9">
        <v>29900</v>
      </c>
      <c r="AB804">
        <v>0</v>
      </c>
      <c r="AC804" s="11">
        <v>-68.238399555432068</v>
      </c>
      <c r="AD804" s="9">
        <v>37416.271186440681</v>
      </c>
      <c r="AE804" s="8">
        <v>-0.14326647564469913</v>
      </c>
    </row>
    <row r="805" spans="1:31" x14ac:dyDescent="0.35">
      <c r="A805" s="6" t="s">
        <v>826</v>
      </c>
      <c r="B805" s="7">
        <v>6</v>
      </c>
      <c r="C805" s="7">
        <v>0</v>
      </c>
      <c r="D805" s="7">
        <v>10</v>
      </c>
      <c r="E805" s="7">
        <v>2</v>
      </c>
      <c r="F805">
        <v>253</v>
      </c>
      <c r="G805">
        <v>16</v>
      </c>
      <c r="H805">
        <v>6.29</v>
      </c>
      <c r="I805">
        <v>5</v>
      </c>
      <c r="J805">
        <v>1.79</v>
      </c>
      <c r="K805">
        <v>827</v>
      </c>
      <c r="L805">
        <v>350</v>
      </c>
      <c r="M805">
        <v>476</v>
      </c>
      <c r="N805">
        <v>449.97</v>
      </c>
      <c r="O805">
        <v>1.28</v>
      </c>
      <c r="P805">
        <v>90.29</v>
      </c>
      <c r="Q805">
        <v>1.33</v>
      </c>
      <c r="R805">
        <v>1.61</v>
      </c>
      <c r="S805">
        <v>35</v>
      </c>
      <c r="T805">
        <v>2373</v>
      </c>
      <c r="U805">
        <v>1968</v>
      </c>
      <c r="V805">
        <v>49</v>
      </c>
      <c r="W805">
        <v>16.350000000000001</v>
      </c>
      <c r="X805" s="10">
        <v>0.45289387172867657</v>
      </c>
      <c r="Y805" s="9">
        <v>3980</v>
      </c>
      <c r="Z805" s="9">
        <v>2545</v>
      </c>
      <c r="AA805" s="9">
        <v>3980</v>
      </c>
      <c r="AB805">
        <v>1</v>
      </c>
      <c r="AC805" s="11">
        <v>9.2896637954987504</v>
      </c>
      <c r="AD805" s="9">
        <v>2563.5819209039546</v>
      </c>
      <c r="AE805" s="8">
        <v>0.54263565891472865</v>
      </c>
    </row>
    <row r="806" spans="1:31" x14ac:dyDescent="0.35">
      <c r="A806" s="6" t="s">
        <v>827</v>
      </c>
      <c r="B806" s="7">
        <v>0</v>
      </c>
      <c r="C806" s="7">
        <v>1</v>
      </c>
      <c r="D806" s="7">
        <v>2</v>
      </c>
      <c r="E806" s="7">
        <v>15</v>
      </c>
      <c r="F806">
        <v>2719</v>
      </c>
      <c r="G806">
        <v>-215</v>
      </c>
      <c r="H806">
        <v>-7.89</v>
      </c>
      <c r="I806">
        <v>-275</v>
      </c>
      <c r="J806">
        <v>-10.130000000000001</v>
      </c>
      <c r="K806">
        <v>2182</v>
      </c>
      <c r="L806">
        <v>996</v>
      </c>
      <c r="M806">
        <v>1186</v>
      </c>
      <c r="N806">
        <v>1271.53</v>
      </c>
      <c r="O806">
        <v>-20.81</v>
      </c>
      <c r="P806">
        <v>0</v>
      </c>
      <c r="Q806">
        <v>0.92</v>
      </c>
      <c r="R806">
        <v>0.39</v>
      </c>
      <c r="S806">
        <v>-1551</v>
      </c>
      <c r="T806">
        <v>6513</v>
      </c>
      <c r="U806">
        <v>15307</v>
      </c>
      <c r="V806">
        <v>-78</v>
      </c>
      <c r="W806">
        <v>-20.09</v>
      </c>
      <c r="X806" s="10">
        <v>0.60459657462275929</v>
      </c>
      <c r="Y806" s="9">
        <v>6450</v>
      </c>
      <c r="Z806" s="9">
        <v>5010</v>
      </c>
      <c r="AA806" s="9">
        <v>5080</v>
      </c>
      <c r="AB806">
        <v>4.8611111111111112E-2</v>
      </c>
      <c r="AC806" s="11">
        <v>-19.698805223673251</v>
      </c>
      <c r="AD806" s="9">
        <v>6108.1468926553671</v>
      </c>
      <c r="AE806" s="8">
        <v>-0.15614617940199335</v>
      </c>
    </row>
    <row r="807" spans="1:31" x14ac:dyDescent="0.35">
      <c r="A807" s="6" t="s">
        <v>828</v>
      </c>
      <c r="B807" s="7">
        <v>4</v>
      </c>
      <c r="C807" s="7">
        <v>2</v>
      </c>
      <c r="D807" s="7">
        <v>12</v>
      </c>
      <c r="E807" s="7">
        <v>0</v>
      </c>
      <c r="F807">
        <v>739</v>
      </c>
      <c r="G807">
        <v>32</v>
      </c>
      <c r="H807">
        <v>4.33</v>
      </c>
      <c r="I807">
        <v>19</v>
      </c>
      <c r="J807">
        <v>2.58</v>
      </c>
      <c r="K807">
        <v>1576</v>
      </c>
      <c r="L807">
        <v>831</v>
      </c>
      <c r="M807">
        <v>745</v>
      </c>
      <c r="N807">
        <v>756.04</v>
      </c>
      <c r="O807">
        <v>3.45</v>
      </c>
      <c r="P807">
        <v>17.690000000000001</v>
      </c>
      <c r="Q807">
        <v>0.64</v>
      </c>
      <c r="R807">
        <v>0.46</v>
      </c>
      <c r="S807">
        <v>147</v>
      </c>
      <c r="T807">
        <v>4069</v>
      </c>
      <c r="U807">
        <v>5668</v>
      </c>
      <c r="V807">
        <v>58</v>
      </c>
      <c r="W807">
        <v>15.25</v>
      </c>
      <c r="X807" s="10">
        <v>0.74451364764939465</v>
      </c>
      <c r="Y807" s="9">
        <v>3190</v>
      </c>
      <c r="Z807" s="9">
        <v>2440</v>
      </c>
      <c r="AA807" s="9">
        <v>2980</v>
      </c>
      <c r="AB807">
        <v>0.72</v>
      </c>
      <c r="AC807" s="11">
        <v>8.3125868296749097</v>
      </c>
      <c r="AD807" s="9">
        <v>2431.9661016949153</v>
      </c>
      <c r="AE807" s="8">
        <v>0.20161290322580644</v>
      </c>
    </row>
    <row r="808" spans="1:31" x14ac:dyDescent="0.35">
      <c r="A808" s="6" t="s">
        <v>829</v>
      </c>
      <c r="B808" s="7">
        <v>4</v>
      </c>
      <c r="C808" s="7">
        <v>4</v>
      </c>
      <c r="D808" s="7">
        <v>0</v>
      </c>
      <c r="E808" s="7">
        <v>10</v>
      </c>
      <c r="F808">
        <v>912</v>
      </c>
      <c r="G808">
        <v>60</v>
      </c>
      <c r="H808">
        <v>6.53</v>
      </c>
      <c r="I808">
        <v>36</v>
      </c>
      <c r="J808">
        <v>3.95</v>
      </c>
      <c r="K808">
        <v>721</v>
      </c>
      <c r="L808">
        <v>140</v>
      </c>
      <c r="M808">
        <v>581</v>
      </c>
      <c r="N808">
        <v>207.61</v>
      </c>
      <c r="O808">
        <v>8.5399999999999991</v>
      </c>
      <c r="P808">
        <v>27.65</v>
      </c>
      <c r="Q808">
        <v>2.2999999999999998</v>
      </c>
      <c r="R808">
        <v>1.1000000000000001</v>
      </c>
      <c r="S808">
        <v>132</v>
      </c>
      <c r="T808">
        <v>1584</v>
      </c>
      <c r="U808">
        <v>3327</v>
      </c>
      <c r="V808">
        <v>108</v>
      </c>
      <c r="W808">
        <v>12.36</v>
      </c>
      <c r="X808" s="10">
        <v>0.63477486409897299</v>
      </c>
      <c r="Y808" s="9">
        <v>3590</v>
      </c>
      <c r="Z808" s="9">
        <v>2625</v>
      </c>
      <c r="AA808" s="9">
        <v>3590</v>
      </c>
      <c r="AB808">
        <v>1</v>
      </c>
      <c r="AC808" s="11">
        <v>8.5915532092247879</v>
      </c>
      <c r="AD808" s="9">
        <v>2621.1242937853103</v>
      </c>
      <c r="AE808" s="8">
        <v>0.36761904761904762</v>
      </c>
    </row>
    <row r="809" spans="1:31" x14ac:dyDescent="0.35">
      <c r="A809" s="6" t="s">
        <v>830</v>
      </c>
      <c r="B809" s="7">
        <v>0</v>
      </c>
      <c r="C809" s="7">
        <v>11</v>
      </c>
      <c r="D809" s="7">
        <v>0</v>
      </c>
      <c r="E809" s="7">
        <v>7</v>
      </c>
      <c r="F809">
        <v>1085</v>
      </c>
      <c r="G809">
        <v>43</v>
      </c>
      <c r="H809">
        <v>3.97</v>
      </c>
      <c r="I809">
        <v>2</v>
      </c>
      <c r="J809">
        <v>0.18</v>
      </c>
      <c r="K809">
        <v>1376</v>
      </c>
      <c r="L809">
        <v>904</v>
      </c>
      <c r="M809">
        <v>472</v>
      </c>
      <c r="N809">
        <v>239.31</v>
      </c>
      <c r="O809">
        <v>0.42</v>
      </c>
      <c r="P809">
        <v>211.43</v>
      </c>
      <c r="Q809">
        <v>0.92</v>
      </c>
      <c r="R809">
        <v>0.38</v>
      </c>
      <c r="S809">
        <v>14</v>
      </c>
      <c r="T809">
        <v>3227</v>
      </c>
      <c r="U809">
        <v>7809</v>
      </c>
      <c r="V809">
        <v>64</v>
      </c>
      <c r="W809">
        <v>16.600000000000001</v>
      </c>
      <c r="X809" s="10">
        <v>0.52116408048892882</v>
      </c>
      <c r="Y809" s="9">
        <v>3910</v>
      </c>
      <c r="Z809" s="9">
        <v>2945</v>
      </c>
      <c r="AA809" s="9">
        <v>3910</v>
      </c>
      <c r="AB809">
        <v>1</v>
      </c>
      <c r="AC809" s="11">
        <v>10.978327313142541</v>
      </c>
      <c r="AD809" s="9">
        <v>3159.9943502824858</v>
      </c>
      <c r="AE809" s="8">
        <v>0.32767402376910015</v>
      </c>
    </row>
    <row r="810" spans="1:31" x14ac:dyDescent="0.35">
      <c r="A810" s="6" t="s">
        <v>831</v>
      </c>
      <c r="B810" s="7">
        <v>2</v>
      </c>
      <c r="C810" s="7">
        <v>2</v>
      </c>
      <c r="D810" s="7">
        <v>3</v>
      </c>
      <c r="E810" s="7">
        <v>11</v>
      </c>
      <c r="F810">
        <v>193</v>
      </c>
      <c r="G810">
        <v>-69</v>
      </c>
      <c r="H810">
        <v>-36.04</v>
      </c>
      <c r="I810">
        <v>-64</v>
      </c>
      <c r="J810">
        <v>-33.29</v>
      </c>
      <c r="K810">
        <v>270</v>
      </c>
      <c r="L810">
        <v>98</v>
      </c>
      <c r="M810">
        <v>172</v>
      </c>
      <c r="N810">
        <v>250.03</v>
      </c>
      <c r="O810">
        <v>-33.06</v>
      </c>
      <c r="P810">
        <v>0</v>
      </c>
      <c r="Q810">
        <v>4.68</v>
      </c>
      <c r="R810">
        <v>3.17</v>
      </c>
      <c r="S810">
        <v>-653</v>
      </c>
      <c r="T810">
        <v>1330</v>
      </c>
      <c r="U810">
        <v>1963</v>
      </c>
      <c r="V810">
        <v>-50</v>
      </c>
      <c r="W810">
        <v>-12.21</v>
      </c>
      <c r="X810" s="10">
        <v>0.66115528840838267</v>
      </c>
      <c r="Y810" s="9">
        <v>7490</v>
      </c>
      <c r="Z810" s="9">
        <v>5340</v>
      </c>
      <c r="AA810" s="9">
        <v>5400</v>
      </c>
      <c r="AB810">
        <v>2.7906976744186046E-2</v>
      </c>
      <c r="AC810" s="11">
        <v>-30.419005279244242</v>
      </c>
      <c r="AD810" s="9">
        <v>7068.112994350282</v>
      </c>
      <c r="AE810" s="8">
        <v>-1.8484288354898336E-3</v>
      </c>
    </row>
    <row r="811" spans="1:31" x14ac:dyDescent="0.35">
      <c r="A811" s="6" t="s">
        <v>832</v>
      </c>
      <c r="B811" s="7">
        <v>6</v>
      </c>
      <c r="C811" s="7">
        <v>4</v>
      </c>
      <c r="D811" s="7">
        <v>2</v>
      </c>
      <c r="E811" s="7">
        <v>6</v>
      </c>
      <c r="F811">
        <v>1552</v>
      </c>
      <c r="G811">
        <v>211</v>
      </c>
      <c r="H811">
        <v>13.61</v>
      </c>
      <c r="I811">
        <v>171</v>
      </c>
      <c r="J811">
        <v>11.03</v>
      </c>
      <c r="K811">
        <v>1748</v>
      </c>
      <c r="L811">
        <v>739</v>
      </c>
      <c r="M811">
        <v>1009</v>
      </c>
      <c r="N811">
        <v>1727.76</v>
      </c>
      <c r="O811">
        <v>17.920000000000002</v>
      </c>
      <c r="P811">
        <v>16.98</v>
      </c>
      <c r="Q811">
        <v>3.05</v>
      </c>
      <c r="R811">
        <v>1.87</v>
      </c>
      <c r="S811">
        <v>1425</v>
      </c>
      <c r="T811">
        <v>7944</v>
      </c>
      <c r="U811">
        <v>12927</v>
      </c>
      <c r="V811">
        <v>224</v>
      </c>
      <c r="W811">
        <v>13.59</v>
      </c>
      <c r="X811" s="10">
        <v>0.89238077471833055</v>
      </c>
      <c r="Y811" s="9">
        <v>33100</v>
      </c>
      <c r="Z811" s="9">
        <v>24200</v>
      </c>
      <c r="AA811" s="9">
        <v>32950</v>
      </c>
      <c r="AB811">
        <v>0.9831460674157303</v>
      </c>
      <c r="AC811" s="11">
        <v>125.15420950263962</v>
      </c>
      <c r="AD811" s="9">
        <v>25037.796610169491</v>
      </c>
      <c r="AE811" s="8">
        <v>0.35876288659793815</v>
      </c>
    </row>
    <row r="812" spans="1:31" x14ac:dyDescent="0.35">
      <c r="A812" s="6" t="s">
        <v>833</v>
      </c>
      <c r="B812" s="7">
        <v>3</v>
      </c>
      <c r="C812" s="7">
        <v>4</v>
      </c>
      <c r="D812" s="7">
        <v>11</v>
      </c>
      <c r="E812" s="7">
        <v>0</v>
      </c>
      <c r="F812">
        <v>54</v>
      </c>
      <c r="G812">
        <v>1</v>
      </c>
      <c r="H812">
        <v>1.44</v>
      </c>
      <c r="I812">
        <v>10</v>
      </c>
      <c r="J812">
        <v>17.600000000000001</v>
      </c>
      <c r="K812">
        <v>312</v>
      </c>
      <c r="L812">
        <v>9</v>
      </c>
      <c r="M812">
        <v>303</v>
      </c>
      <c r="N812">
        <v>1955.89</v>
      </c>
      <c r="O812">
        <v>4.2300000000000004</v>
      </c>
      <c r="P812">
        <v>24.07</v>
      </c>
      <c r="Q812">
        <v>1.1499999999999999</v>
      </c>
      <c r="R812">
        <v>4.24</v>
      </c>
      <c r="S812">
        <v>432</v>
      </c>
      <c r="T812">
        <v>9081</v>
      </c>
      <c r="U812">
        <v>2452</v>
      </c>
      <c r="V812">
        <v>1</v>
      </c>
      <c r="W812">
        <v>328.25</v>
      </c>
      <c r="X812" s="10">
        <v>0.47344559022081267</v>
      </c>
      <c r="Y812" s="9">
        <v>12200</v>
      </c>
      <c r="Z812" s="9">
        <v>8250</v>
      </c>
      <c r="AA812" s="9">
        <v>10550</v>
      </c>
      <c r="AB812">
        <v>0.58227848101265822</v>
      </c>
      <c r="AC812" s="11">
        <v>42.280633509308153</v>
      </c>
      <c r="AD812" s="9">
        <v>8723.7740112994361</v>
      </c>
      <c r="AE812" s="8">
        <v>0.27878787878787881</v>
      </c>
    </row>
    <row r="813" spans="1:31" x14ac:dyDescent="0.35">
      <c r="A813" s="6" t="s">
        <v>834</v>
      </c>
      <c r="B813" s="7">
        <v>4</v>
      </c>
      <c r="C813" s="7">
        <v>3</v>
      </c>
      <c r="D813" s="7">
        <v>10</v>
      </c>
      <c r="E813" s="7">
        <v>1</v>
      </c>
      <c r="F813">
        <v>1199</v>
      </c>
      <c r="G813">
        <v>189</v>
      </c>
      <c r="H813">
        <v>15.8</v>
      </c>
      <c r="I813">
        <v>113</v>
      </c>
      <c r="J813">
        <v>9.44</v>
      </c>
      <c r="K813">
        <v>1077</v>
      </c>
      <c r="L813">
        <v>157</v>
      </c>
      <c r="M813">
        <v>920</v>
      </c>
      <c r="N813">
        <v>1610.56</v>
      </c>
      <c r="O813">
        <v>13.01</v>
      </c>
      <c r="P813">
        <v>10.25</v>
      </c>
      <c r="Q813">
        <v>1.28</v>
      </c>
      <c r="R813">
        <v>0.97</v>
      </c>
      <c r="S813">
        <v>1049</v>
      </c>
      <c r="T813">
        <v>8371</v>
      </c>
      <c r="U813">
        <v>11117</v>
      </c>
      <c r="V813">
        <v>211</v>
      </c>
      <c r="W813">
        <v>5.51</v>
      </c>
      <c r="X813" s="10">
        <v>0.91526459295978579</v>
      </c>
      <c r="Y813" s="9">
        <v>19100</v>
      </c>
      <c r="Z813" s="9">
        <v>8969</v>
      </c>
      <c r="AA813" s="9">
        <v>17350</v>
      </c>
      <c r="AB813">
        <v>0.82726285657881748</v>
      </c>
      <c r="AC813" s="11">
        <v>165.04170602945266</v>
      </c>
      <c r="AD813" s="9">
        <v>8478.1446327683589</v>
      </c>
      <c r="AE813" s="8">
        <v>0.88198286148172256</v>
      </c>
    </row>
    <row r="814" spans="1:31" x14ac:dyDescent="0.35">
      <c r="A814" s="6" t="s">
        <v>835</v>
      </c>
      <c r="B814" s="7">
        <v>1</v>
      </c>
      <c r="C814" s="7">
        <v>0</v>
      </c>
      <c r="D814" s="7">
        <v>3</v>
      </c>
      <c r="E814" s="7">
        <v>14</v>
      </c>
      <c r="F814">
        <v>812</v>
      </c>
      <c r="G814">
        <v>-61</v>
      </c>
      <c r="H814">
        <v>-7.49</v>
      </c>
      <c r="I814">
        <v>-77</v>
      </c>
      <c r="J814">
        <v>-9.48</v>
      </c>
      <c r="K814">
        <v>1225</v>
      </c>
      <c r="L814">
        <v>110</v>
      </c>
      <c r="M814">
        <v>1115</v>
      </c>
      <c r="N814">
        <v>1354.88</v>
      </c>
      <c r="O814">
        <v>-6.67</v>
      </c>
      <c r="P814">
        <v>0</v>
      </c>
      <c r="Q814">
        <v>0.37</v>
      </c>
      <c r="R814">
        <v>0.51</v>
      </c>
      <c r="S814">
        <v>-537</v>
      </c>
      <c r="T814">
        <v>7749</v>
      </c>
      <c r="U814">
        <v>5667</v>
      </c>
      <c r="V814">
        <v>-50</v>
      </c>
      <c r="W814">
        <v>-8.3699999999999992</v>
      </c>
      <c r="X814" s="10">
        <v>3.8659567149717126E-2</v>
      </c>
      <c r="Y814" s="9">
        <v>3250</v>
      </c>
      <c r="Z814" s="9">
        <v>2875</v>
      </c>
      <c r="AA814" s="9">
        <v>2990</v>
      </c>
      <c r="AB814">
        <v>0.30666666666666664</v>
      </c>
      <c r="AC814" s="11">
        <v>1.064184495693248</v>
      </c>
      <c r="AD814" s="9">
        <v>3027.8757062146892</v>
      </c>
      <c r="AE814" s="8">
        <v>1.8739352640545145E-2</v>
      </c>
    </row>
    <row r="815" spans="1:31" x14ac:dyDescent="0.35">
      <c r="A815" s="6" t="s">
        <v>836</v>
      </c>
      <c r="B815" s="7">
        <v>6</v>
      </c>
      <c r="C815" s="7">
        <v>5</v>
      </c>
      <c r="D815" s="7">
        <v>0</v>
      </c>
      <c r="E815" s="7">
        <v>7</v>
      </c>
      <c r="F815">
        <v>2034</v>
      </c>
      <c r="G815">
        <v>73</v>
      </c>
      <c r="H815">
        <v>3.6</v>
      </c>
      <c r="I815">
        <v>127</v>
      </c>
      <c r="J815">
        <v>6.26</v>
      </c>
      <c r="K815">
        <v>4212</v>
      </c>
      <c r="L815">
        <v>434</v>
      </c>
      <c r="M815">
        <v>3778</v>
      </c>
      <c r="N815">
        <v>2259.6999999999998</v>
      </c>
      <c r="O815">
        <v>3.47</v>
      </c>
      <c r="P815">
        <v>22.94</v>
      </c>
      <c r="Q815">
        <v>1.1200000000000001</v>
      </c>
      <c r="R815">
        <v>1.43</v>
      </c>
      <c r="S815">
        <v>558</v>
      </c>
      <c r="T815">
        <v>11436</v>
      </c>
      <c r="U815">
        <v>8930</v>
      </c>
      <c r="V815">
        <v>132</v>
      </c>
      <c r="W815">
        <v>31.98</v>
      </c>
      <c r="X815" s="10">
        <v>1.6402665537728024E-3</v>
      </c>
      <c r="Y815" s="9">
        <v>14600</v>
      </c>
      <c r="Z815" s="9">
        <v>12400</v>
      </c>
      <c r="AA815" s="9">
        <v>12600</v>
      </c>
      <c r="AB815">
        <v>9.0909090909090912E-2</v>
      </c>
      <c r="AC815" s="11">
        <v>-1.429563767713252</v>
      </c>
      <c r="AD815" s="9">
        <v>13362.768361581921</v>
      </c>
      <c r="AE815" s="8">
        <v>-1.5625E-2</v>
      </c>
    </row>
    <row r="816" spans="1:31" x14ac:dyDescent="0.35">
      <c r="A816" s="6" t="s">
        <v>837</v>
      </c>
      <c r="B816" s="7">
        <v>11</v>
      </c>
      <c r="C816" s="7">
        <v>2</v>
      </c>
      <c r="D816" s="7">
        <v>5</v>
      </c>
      <c r="E816" s="7">
        <v>0</v>
      </c>
      <c r="F816">
        <v>358</v>
      </c>
      <c r="G816">
        <v>9</v>
      </c>
      <c r="H816">
        <v>2.5</v>
      </c>
      <c r="I816">
        <v>9</v>
      </c>
      <c r="J816">
        <v>2.42</v>
      </c>
      <c r="K816">
        <v>254</v>
      </c>
      <c r="L816">
        <v>145</v>
      </c>
      <c r="M816">
        <v>109</v>
      </c>
      <c r="N816">
        <v>98.86</v>
      </c>
      <c r="O816">
        <v>8.2100000000000009</v>
      </c>
      <c r="P816">
        <v>49.75</v>
      </c>
      <c r="Q816">
        <v>4.1100000000000003</v>
      </c>
      <c r="R816">
        <v>1.2</v>
      </c>
      <c r="S816">
        <v>79</v>
      </c>
      <c r="T816">
        <v>956</v>
      </c>
      <c r="U816">
        <v>3275</v>
      </c>
      <c r="V816">
        <v>14</v>
      </c>
      <c r="W816">
        <v>30.73</v>
      </c>
      <c r="X816" s="10">
        <v>0.42389842039262599</v>
      </c>
      <c r="Y816" s="9">
        <v>5220</v>
      </c>
      <c r="Z816" s="9">
        <v>3880</v>
      </c>
      <c r="AA816" s="9">
        <v>4385</v>
      </c>
      <c r="AB816">
        <v>0.37686567164179102</v>
      </c>
      <c r="AC816" s="11">
        <v>12.272436787996666</v>
      </c>
      <c r="AD816" s="9">
        <v>3954.9406779661017</v>
      </c>
      <c r="AE816" s="8">
        <v>0.12435897435897436</v>
      </c>
    </row>
    <row r="817" spans="1:31" x14ac:dyDescent="0.35">
      <c r="A817" s="6" t="s">
        <v>838</v>
      </c>
      <c r="B817" s="7">
        <v>0</v>
      </c>
      <c r="C817" s="7">
        <v>1</v>
      </c>
      <c r="D817" s="7">
        <v>14</v>
      </c>
      <c r="E817" s="7">
        <v>3</v>
      </c>
      <c r="F817">
        <v>6357</v>
      </c>
      <c r="G817">
        <v>148</v>
      </c>
      <c r="H817">
        <v>2.33</v>
      </c>
      <c r="I817">
        <v>-64</v>
      </c>
      <c r="J817">
        <v>-1.01</v>
      </c>
      <c r="K817">
        <v>11467</v>
      </c>
      <c r="L817">
        <v>6017</v>
      </c>
      <c r="M817">
        <v>5450</v>
      </c>
      <c r="N817">
        <v>249.57</v>
      </c>
      <c r="O817">
        <v>-1.1499999999999999</v>
      </c>
      <c r="P817">
        <v>0</v>
      </c>
      <c r="Q817">
        <v>0.47</v>
      </c>
      <c r="R817">
        <v>0.4</v>
      </c>
      <c r="S817">
        <v>-103</v>
      </c>
      <c r="T817">
        <v>8646</v>
      </c>
      <c r="U817">
        <v>10193</v>
      </c>
      <c r="V817">
        <v>676</v>
      </c>
      <c r="W817">
        <v>9.99</v>
      </c>
      <c r="X817" s="10">
        <v>0.70543897815041812</v>
      </c>
      <c r="Y817" s="9">
        <v>4495</v>
      </c>
      <c r="Z817" s="9">
        <v>3860</v>
      </c>
      <c r="AA817" s="9">
        <v>4475</v>
      </c>
      <c r="AB817">
        <v>0.96850393700787396</v>
      </c>
      <c r="AC817" s="11">
        <v>10.129758266185052</v>
      </c>
      <c r="AD817" s="9">
        <v>3806.7090395480227</v>
      </c>
      <c r="AE817" s="8">
        <v>6.0426540284360189E-2</v>
      </c>
    </row>
    <row r="818" spans="1:31" x14ac:dyDescent="0.35">
      <c r="A818" s="6" t="s">
        <v>839</v>
      </c>
      <c r="B818" s="7">
        <v>6</v>
      </c>
      <c r="C818" s="7">
        <v>1</v>
      </c>
      <c r="D818" s="7">
        <v>6</v>
      </c>
      <c r="E818" s="7">
        <v>5</v>
      </c>
      <c r="F818">
        <v>1429</v>
      </c>
      <c r="G818">
        <v>113</v>
      </c>
      <c r="H818">
        <v>7.89</v>
      </c>
      <c r="I818">
        <v>45</v>
      </c>
      <c r="J818">
        <v>3.15</v>
      </c>
      <c r="K818">
        <v>2553</v>
      </c>
      <c r="L818">
        <v>904</v>
      </c>
      <c r="M818">
        <v>1649</v>
      </c>
      <c r="N818">
        <v>1390.12</v>
      </c>
      <c r="O818">
        <v>2.75</v>
      </c>
      <c r="P818">
        <v>11.72</v>
      </c>
      <c r="Q818">
        <v>0.32</v>
      </c>
      <c r="R818">
        <v>0.37</v>
      </c>
      <c r="S818">
        <v>203</v>
      </c>
      <c r="T818">
        <v>7417</v>
      </c>
      <c r="U818">
        <v>6457</v>
      </c>
      <c r="V818">
        <v>140</v>
      </c>
      <c r="W818">
        <v>5.47</v>
      </c>
      <c r="X818" s="10">
        <v>0.89189211606048224</v>
      </c>
      <c r="Y818" s="9">
        <v>2950</v>
      </c>
      <c r="Z818" s="9">
        <v>2335</v>
      </c>
      <c r="AA818" s="9">
        <v>2890</v>
      </c>
      <c r="AB818">
        <v>0.90243902439024393</v>
      </c>
      <c r="AC818" s="11">
        <v>8.9456793553764928</v>
      </c>
      <c r="AD818" s="9">
        <v>2393.5734463276835</v>
      </c>
      <c r="AE818" s="8">
        <v>0.21174004192872117</v>
      </c>
    </row>
    <row r="819" spans="1:31" x14ac:dyDescent="0.35">
      <c r="A819" s="6" t="s">
        <v>840</v>
      </c>
      <c r="B819" s="7">
        <v>3</v>
      </c>
      <c r="C819" s="7">
        <v>1</v>
      </c>
      <c r="D819" s="7">
        <v>14</v>
      </c>
      <c r="E819" s="7">
        <v>0</v>
      </c>
      <c r="F819">
        <v>5699</v>
      </c>
      <c r="G819">
        <v>50</v>
      </c>
      <c r="H819">
        <v>0.88</v>
      </c>
      <c r="I819">
        <v>-263</v>
      </c>
      <c r="J819">
        <v>-4.62</v>
      </c>
      <c r="K819">
        <v>8902</v>
      </c>
      <c r="L819">
        <v>5925</v>
      </c>
      <c r="M819">
        <v>2978</v>
      </c>
      <c r="N819">
        <v>186.25</v>
      </c>
      <c r="O819">
        <v>-8.4499999999999993</v>
      </c>
      <c r="P819">
        <v>0</v>
      </c>
      <c r="Q819">
        <v>0.3</v>
      </c>
      <c r="R819">
        <v>0.15</v>
      </c>
      <c r="S819">
        <v>-633</v>
      </c>
      <c r="T819">
        <v>7071</v>
      </c>
      <c r="U819">
        <v>13696</v>
      </c>
      <c r="V819">
        <v>242</v>
      </c>
      <c r="W819">
        <v>22.79</v>
      </c>
      <c r="X819" s="10">
        <v>0.91119092663868861</v>
      </c>
      <c r="Y819" s="9">
        <v>2695</v>
      </c>
      <c r="Z819" s="9">
        <v>2015</v>
      </c>
      <c r="AA819" s="9">
        <v>2670</v>
      </c>
      <c r="AB819">
        <v>0.96323529411764708</v>
      </c>
      <c r="AC819" s="11">
        <v>10.446235065295918</v>
      </c>
      <c r="AD819" s="9">
        <v>1982.056497175141</v>
      </c>
      <c r="AE819" s="8">
        <v>0.27446300715990452</v>
      </c>
    </row>
    <row r="820" spans="1:31" x14ac:dyDescent="0.35">
      <c r="A820" s="6" t="s">
        <v>841</v>
      </c>
      <c r="B820" s="7">
        <v>17</v>
      </c>
      <c r="C820" s="7">
        <v>1</v>
      </c>
      <c r="D820" s="7">
        <v>0</v>
      </c>
      <c r="E820" s="7">
        <v>0</v>
      </c>
      <c r="F820">
        <v>2852</v>
      </c>
      <c r="G820">
        <v>815</v>
      </c>
      <c r="H820">
        <v>28.58</v>
      </c>
      <c r="I820">
        <v>806</v>
      </c>
      <c r="J820">
        <v>28.24</v>
      </c>
      <c r="K820">
        <v>5300</v>
      </c>
      <c r="L820">
        <v>1181</v>
      </c>
      <c r="M820">
        <v>4119</v>
      </c>
      <c r="N820">
        <v>7458.75</v>
      </c>
      <c r="O820">
        <v>21.25</v>
      </c>
      <c r="P820">
        <v>12.66</v>
      </c>
      <c r="Q820">
        <v>2.5099999999999998</v>
      </c>
      <c r="R820">
        <v>3.57</v>
      </c>
      <c r="S820">
        <v>2967</v>
      </c>
      <c r="T820">
        <v>14956</v>
      </c>
      <c r="U820">
        <v>10506</v>
      </c>
      <c r="V820">
        <v>1047</v>
      </c>
      <c r="W820">
        <v>9.86</v>
      </c>
      <c r="X820" s="10">
        <v>0.83942312308380451</v>
      </c>
      <c r="Y820" s="9">
        <v>46300</v>
      </c>
      <c r="Z820" s="9">
        <v>35850</v>
      </c>
      <c r="AA820" s="9">
        <v>46300</v>
      </c>
      <c r="AB820">
        <v>1</v>
      </c>
      <c r="AC820" s="11">
        <v>191.81717143651011</v>
      </c>
      <c r="AD820" s="9">
        <v>34671.242937853109</v>
      </c>
      <c r="AE820" s="8">
        <v>0.25644504748982361</v>
      </c>
    </row>
    <row r="821" spans="1:31" x14ac:dyDescent="0.35">
      <c r="A821" s="6" t="s">
        <v>842</v>
      </c>
      <c r="B821" s="7">
        <v>3</v>
      </c>
      <c r="C821" s="7">
        <v>1</v>
      </c>
      <c r="D821" s="7">
        <v>9</v>
      </c>
      <c r="E821" s="7">
        <v>5</v>
      </c>
      <c r="F821">
        <v>1323</v>
      </c>
      <c r="G821">
        <v>30</v>
      </c>
      <c r="H821">
        <v>2.2799999999999998</v>
      </c>
      <c r="I821">
        <v>27</v>
      </c>
      <c r="J821">
        <v>2.06</v>
      </c>
      <c r="K821">
        <v>1126</v>
      </c>
      <c r="L821">
        <v>291</v>
      </c>
      <c r="M821">
        <v>835</v>
      </c>
      <c r="N821">
        <v>724.35</v>
      </c>
      <c r="O821">
        <v>3.26</v>
      </c>
      <c r="P821">
        <v>13.3</v>
      </c>
      <c r="Q821">
        <v>0.47</v>
      </c>
      <c r="R821">
        <v>0.28000000000000003</v>
      </c>
      <c r="S821">
        <v>141</v>
      </c>
      <c r="T821">
        <v>3999</v>
      </c>
      <c r="U821">
        <v>6818</v>
      </c>
      <c r="V821">
        <v>34</v>
      </c>
      <c r="W821">
        <v>13.77</v>
      </c>
      <c r="X821" s="10">
        <v>0.84067073631684486</v>
      </c>
      <c r="Y821" s="9">
        <v>2055</v>
      </c>
      <c r="Z821" s="9">
        <v>1830</v>
      </c>
      <c r="AA821" s="9">
        <v>2035</v>
      </c>
      <c r="AB821">
        <v>0.91111111111111109</v>
      </c>
      <c r="AC821" s="11">
        <v>3.4869408168935818</v>
      </c>
      <c r="AD821" s="9">
        <v>1820.731638418079</v>
      </c>
      <c r="AE821" s="8">
        <v>5.9895833333333336E-2</v>
      </c>
    </row>
    <row r="822" spans="1:31" x14ac:dyDescent="0.35">
      <c r="A822" s="6" t="s">
        <v>843</v>
      </c>
      <c r="B822" s="7">
        <v>4</v>
      </c>
      <c r="C822" s="7">
        <v>2</v>
      </c>
      <c r="D822" s="7">
        <v>3</v>
      </c>
      <c r="E822" s="7">
        <v>9</v>
      </c>
      <c r="F822">
        <v>285</v>
      </c>
      <c r="G822">
        <v>10</v>
      </c>
      <c r="H822">
        <v>3.44</v>
      </c>
      <c r="I822">
        <v>20</v>
      </c>
      <c r="J822">
        <v>7.15</v>
      </c>
      <c r="K822">
        <v>379</v>
      </c>
      <c r="L822">
        <v>36</v>
      </c>
      <c r="M822">
        <v>343</v>
      </c>
      <c r="N822">
        <v>662.34</v>
      </c>
      <c r="O822">
        <v>8.18</v>
      </c>
      <c r="P822">
        <v>19.5</v>
      </c>
      <c r="Q822">
        <v>1.55</v>
      </c>
      <c r="R822">
        <v>1.4</v>
      </c>
      <c r="S822">
        <v>303</v>
      </c>
      <c r="T822">
        <v>3806</v>
      </c>
      <c r="U822">
        <v>4228</v>
      </c>
      <c r="V822">
        <v>14</v>
      </c>
      <c r="W822">
        <v>38.26</v>
      </c>
      <c r="X822" s="10">
        <v>0.4261687786216905</v>
      </c>
      <c r="Y822" s="9">
        <v>5840</v>
      </c>
      <c r="Z822" s="9">
        <v>4900</v>
      </c>
      <c r="AA822" s="9">
        <v>5290</v>
      </c>
      <c r="AB822">
        <v>0.41489361702127658</v>
      </c>
      <c r="AC822" s="11">
        <v>8.9751319811058643</v>
      </c>
      <c r="AD822" s="9">
        <v>5131.8418079096045</v>
      </c>
      <c r="AE822" s="8">
        <v>7.6297049847405901E-2</v>
      </c>
    </row>
    <row r="823" spans="1:31" x14ac:dyDescent="0.35">
      <c r="A823" s="6" t="s">
        <v>844</v>
      </c>
      <c r="B823" s="7">
        <v>4</v>
      </c>
      <c r="C823" s="7">
        <v>0</v>
      </c>
      <c r="D823" s="7">
        <v>10</v>
      </c>
      <c r="E823" s="7">
        <v>4</v>
      </c>
      <c r="F823">
        <v>720</v>
      </c>
      <c r="G823">
        <v>18</v>
      </c>
      <c r="H823">
        <v>2.52</v>
      </c>
      <c r="I823">
        <v>-17</v>
      </c>
      <c r="J823">
        <v>-2.35</v>
      </c>
      <c r="K823">
        <v>1414</v>
      </c>
      <c r="L823">
        <v>371</v>
      </c>
      <c r="M823">
        <v>1044</v>
      </c>
      <c r="N823">
        <v>234.41</v>
      </c>
      <c r="O823">
        <v>-1.61</v>
      </c>
      <c r="P823">
        <v>0</v>
      </c>
      <c r="Q823">
        <v>2.83</v>
      </c>
      <c r="R823">
        <v>4.0599999999999996</v>
      </c>
      <c r="S823">
        <v>-27</v>
      </c>
      <c r="T823">
        <v>1657</v>
      </c>
      <c r="U823">
        <v>1154</v>
      </c>
      <c r="V823">
        <v>507</v>
      </c>
      <c r="W823">
        <v>5.8</v>
      </c>
      <c r="X823" s="10">
        <v>5.9577081173044881E-2</v>
      </c>
      <c r="Y823" s="9">
        <v>6090</v>
      </c>
      <c r="Z823" s="9">
        <v>4520</v>
      </c>
      <c r="AA823" s="9">
        <v>5250</v>
      </c>
      <c r="AB823">
        <v>0.46496815286624205</v>
      </c>
      <c r="AC823" s="11">
        <v>-4.5404278966379552</v>
      </c>
      <c r="AD823" s="9">
        <v>5676.3163841807909</v>
      </c>
      <c r="AE823" s="8">
        <v>0.16150442477876106</v>
      </c>
    </row>
    <row r="824" spans="1:31" x14ac:dyDescent="0.35">
      <c r="A824" s="6" t="s">
        <v>845</v>
      </c>
      <c r="B824" s="7">
        <v>0</v>
      </c>
      <c r="C824" s="7">
        <v>2</v>
      </c>
      <c r="D824" s="7">
        <v>4</v>
      </c>
      <c r="E824" s="7">
        <v>12</v>
      </c>
      <c r="F824">
        <v>2018</v>
      </c>
      <c r="G824">
        <v>-291</v>
      </c>
      <c r="H824">
        <v>-14.42</v>
      </c>
      <c r="I824">
        <v>-426</v>
      </c>
      <c r="J824">
        <v>-21.09</v>
      </c>
      <c r="K824">
        <v>2647</v>
      </c>
      <c r="L824">
        <v>1233</v>
      </c>
      <c r="M824">
        <v>1414</v>
      </c>
      <c r="N824">
        <v>1290.05</v>
      </c>
      <c r="O824">
        <v>-26.14</v>
      </c>
      <c r="P824">
        <v>0</v>
      </c>
      <c r="Q824">
        <v>0.91</v>
      </c>
      <c r="R824">
        <v>0.56000000000000005</v>
      </c>
      <c r="S824">
        <v>-1948</v>
      </c>
      <c r="T824">
        <v>5715</v>
      </c>
      <c r="U824">
        <v>9239</v>
      </c>
      <c r="V824">
        <v>-142</v>
      </c>
      <c r="W824">
        <v>-10.53</v>
      </c>
      <c r="X824" s="10">
        <v>0.36020900776271708</v>
      </c>
      <c r="Y824" s="9">
        <v>6780</v>
      </c>
      <c r="Z824" s="9">
        <v>5180</v>
      </c>
      <c r="AA824" s="9">
        <v>6450</v>
      </c>
      <c r="AB824">
        <v>0.79374999999999996</v>
      </c>
      <c r="AC824" s="11">
        <v>11.550430675187553</v>
      </c>
      <c r="AD824" s="9">
        <v>5742.7118644067796</v>
      </c>
      <c r="AE824" s="8">
        <v>0.21468926553672316</v>
      </c>
    </row>
    <row r="825" spans="1:31" x14ac:dyDescent="0.35">
      <c r="A825" s="6" t="s">
        <v>846</v>
      </c>
      <c r="B825" s="7">
        <v>0</v>
      </c>
      <c r="C825" s="7">
        <v>2</v>
      </c>
      <c r="D825" s="7">
        <v>10</v>
      </c>
      <c r="E825" s="7">
        <v>6</v>
      </c>
      <c r="F825">
        <v>241</v>
      </c>
      <c r="G825">
        <v>-90</v>
      </c>
      <c r="H825">
        <v>-37.51</v>
      </c>
      <c r="I825">
        <v>-132</v>
      </c>
      <c r="J825">
        <v>-54.66</v>
      </c>
      <c r="K825">
        <v>643</v>
      </c>
      <c r="L825">
        <v>269</v>
      </c>
      <c r="M825">
        <v>374</v>
      </c>
      <c r="N825">
        <v>-10.62</v>
      </c>
      <c r="O825">
        <v>-38.950000000000003</v>
      </c>
      <c r="P825">
        <v>0</v>
      </c>
      <c r="Q825">
        <v>2.48</v>
      </c>
      <c r="R825">
        <v>2.25</v>
      </c>
      <c r="S825">
        <v>-37</v>
      </c>
      <c r="T825">
        <v>61</v>
      </c>
      <c r="U825">
        <v>67</v>
      </c>
      <c r="V825">
        <v>-57</v>
      </c>
      <c r="W825">
        <v>-13.72</v>
      </c>
      <c r="X825" s="10">
        <v>0.65074048783405991</v>
      </c>
      <c r="Y825" s="9">
        <v>230</v>
      </c>
      <c r="Z825" s="9">
        <v>151</v>
      </c>
      <c r="AA825" s="9">
        <v>230</v>
      </c>
      <c r="AB825">
        <v>1</v>
      </c>
      <c r="AC825" s="11">
        <v>0.65129202556265642</v>
      </c>
      <c r="AD825" s="9">
        <v>153.10225988700566</v>
      </c>
      <c r="AE825" s="8">
        <v>0.51315789473684215</v>
      </c>
    </row>
    <row r="826" spans="1:31" x14ac:dyDescent="0.35">
      <c r="A826" s="6" t="s">
        <v>847</v>
      </c>
      <c r="B826" s="7">
        <v>0</v>
      </c>
      <c r="C826" s="7">
        <v>0</v>
      </c>
      <c r="D826" s="7">
        <v>0</v>
      </c>
      <c r="E826" s="7">
        <v>18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 s="10">
        <v>2.7026198553153233E-2</v>
      </c>
      <c r="Y826" s="9">
        <v>10005</v>
      </c>
      <c r="Z826" s="9">
        <v>9665</v>
      </c>
      <c r="AA826" s="9">
        <v>9730</v>
      </c>
      <c r="AB826">
        <v>0.19117647058823528</v>
      </c>
      <c r="AC826" s="11">
        <v>-3.0263157894736841</v>
      </c>
      <c r="AD826" s="9">
        <v>10002.5</v>
      </c>
      <c r="AE826" s="8">
        <v>0</v>
      </c>
    </row>
    <row r="827" spans="1:31" x14ac:dyDescent="0.35">
      <c r="A827" s="6" t="s">
        <v>848</v>
      </c>
      <c r="B827" s="7">
        <v>5</v>
      </c>
      <c r="C827" s="7">
        <v>9</v>
      </c>
      <c r="D827" s="7">
        <v>2</v>
      </c>
      <c r="E827" s="7">
        <v>2</v>
      </c>
      <c r="F827">
        <v>33185</v>
      </c>
      <c r="G827">
        <v>2138</v>
      </c>
      <c r="H827">
        <v>6.44</v>
      </c>
      <c r="I827">
        <v>1493</v>
      </c>
      <c r="J827">
        <v>4.5</v>
      </c>
      <c r="K827">
        <v>220897</v>
      </c>
      <c r="L827">
        <v>197327</v>
      </c>
      <c r="M827">
        <v>23570</v>
      </c>
      <c r="N827">
        <v>1047.08</v>
      </c>
      <c r="O827">
        <v>6.59</v>
      </c>
      <c r="P827">
        <v>11.88</v>
      </c>
      <c r="Q827">
        <v>0.77</v>
      </c>
      <c r="R827">
        <v>0.54</v>
      </c>
      <c r="S827">
        <v>3616</v>
      </c>
      <c r="T827">
        <v>55612</v>
      </c>
      <c r="U827">
        <v>80278</v>
      </c>
      <c r="V827">
        <v>0</v>
      </c>
      <c r="W827">
        <v>0</v>
      </c>
      <c r="X827" s="10">
        <v>0.57693358797928651</v>
      </c>
      <c r="Y827" s="9">
        <v>50500</v>
      </c>
      <c r="Z827" s="9">
        <v>42050</v>
      </c>
      <c r="AA827" s="9">
        <v>50500</v>
      </c>
      <c r="AB827">
        <v>1</v>
      </c>
      <c r="AC827" s="11">
        <v>93.102250625173653</v>
      </c>
      <c r="AD827" s="9">
        <v>42634.548022598865</v>
      </c>
      <c r="AE827" s="8">
        <v>0.14772727272727273</v>
      </c>
    </row>
    <row r="828" spans="1:31" x14ac:dyDescent="0.35">
      <c r="A828" s="6" t="s">
        <v>849</v>
      </c>
      <c r="B828" s="7">
        <v>0</v>
      </c>
      <c r="C828" s="7">
        <v>3</v>
      </c>
      <c r="D828" s="7">
        <v>0</v>
      </c>
      <c r="E828" s="7">
        <v>15</v>
      </c>
      <c r="F828">
        <v>279</v>
      </c>
      <c r="G828">
        <v>-53</v>
      </c>
      <c r="H828">
        <v>-19.02</v>
      </c>
      <c r="I828">
        <v>-58</v>
      </c>
      <c r="J828">
        <v>-20.87</v>
      </c>
      <c r="K828">
        <v>836</v>
      </c>
      <c r="L828">
        <v>218</v>
      </c>
      <c r="M828">
        <v>618</v>
      </c>
      <c r="N828">
        <v>1707.04</v>
      </c>
      <c r="O828">
        <v>-11.93</v>
      </c>
      <c r="P828">
        <v>0</v>
      </c>
      <c r="Q828">
        <v>0.8</v>
      </c>
      <c r="R828">
        <v>0</v>
      </c>
      <c r="S828">
        <v>-1132</v>
      </c>
      <c r="T828">
        <v>7871</v>
      </c>
      <c r="U828">
        <v>0</v>
      </c>
      <c r="V828">
        <v>-59</v>
      </c>
      <c r="W828">
        <v>-8.17</v>
      </c>
      <c r="X828" s="10">
        <v>2.9669294312232104E-2</v>
      </c>
      <c r="Y828" s="9">
        <v>7220</v>
      </c>
      <c r="Z828" s="9">
        <v>6270</v>
      </c>
      <c r="AA828" s="9">
        <v>6980</v>
      </c>
      <c r="AB828">
        <v>0.74736842105263157</v>
      </c>
      <c r="AC828" s="11">
        <v>2.1308696860238956</v>
      </c>
      <c r="AD828" s="9">
        <v>6678.5084745762715</v>
      </c>
      <c r="AE828" s="8">
        <v>9.0624999999999997E-2</v>
      </c>
    </row>
    <row r="829" spans="1:31" x14ac:dyDescent="0.35">
      <c r="A829" s="6" t="s">
        <v>850</v>
      </c>
      <c r="B829" s="7">
        <v>4</v>
      </c>
      <c r="C829" s="7">
        <v>2</v>
      </c>
      <c r="D829" s="7">
        <v>4</v>
      </c>
      <c r="E829" s="7">
        <v>8</v>
      </c>
      <c r="F829">
        <v>1565</v>
      </c>
      <c r="G829">
        <v>97</v>
      </c>
      <c r="H829">
        <v>6.18</v>
      </c>
      <c r="I829">
        <v>61</v>
      </c>
      <c r="J829">
        <v>3.87</v>
      </c>
      <c r="K829">
        <v>1619</v>
      </c>
      <c r="L829">
        <v>383</v>
      </c>
      <c r="M829">
        <v>1235</v>
      </c>
      <c r="N829">
        <v>1524.71</v>
      </c>
      <c r="O829">
        <v>4.9800000000000004</v>
      </c>
      <c r="P829">
        <v>22.52</v>
      </c>
      <c r="Q829">
        <v>1.1599999999999999</v>
      </c>
      <c r="R829">
        <v>0.87</v>
      </c>
      <c r="S829">
        <v>6973</v>
      </c>
      <c r="T829">
        <v>135477</v>
      </c>
      <c r="U829">
        <v>180277</v>
      </c>
      <c r="V829">
        <v>198</v>
      </c>
      <c r="W829">
        <v>7.49</v>
      </c>
      <c r="X829" s="10">
        <v>0.70953281600868956</v>
      </c>
      <c r="Y829" s="9">
        <v>184500</v>
      </c>
      <c r="Z829" s="9">
        <v>157000</v>
      </c>
      <c r="AA829" s="9">
        <v>177500</v>
      </c>
      <c r="AB829">
        <v>0.74545454545454548</v>
      </c>
      <c r="AC829" s="11">
        <v>343.90108363434285</v>
      </c>
      <c r="AD829" s="9">
        <v>157494.35028248589</v>
      </c>
      <c r="AE829" s="8">
        <v>0.13057324840764331</v>
      </c>
    </row>
    <row r="830" spans="1:31" x14ac:dyDescent="0.35">
      <c r="A830" s="6" t="s">
        <v>851</v>
      </c>
      <c r="B830" s="7">
        <v>7</v>
      </c>
      <c r="C830" s="7">
        <v>0</v>
      </c>
      <c r="D830" s="7">
        <v>8</v>
      </c>
      <c r="E830" s="7">
        <v>3</v>
      </c>
      <c r="F830">
        <v>2669</v>
      </c>
      <c r="G830">
        <v>302</v>
      </c>
      <c r="H830">
        <v>11.31</v>
      </c>
      <c r="I830">
        <v>240</v>
      </c>
      <c r="J830">
        <v>8.98</v>
      </c>
      <c r="K830">
        <v>1975</v>
      </c>
      <c r="L830">
        <v>283</v>
      </c>
      <c r="M830">
        <v>1692</v>
      </c>
      <c r="N830">
        <v>4663.8500000000004</v>
      </c>
      <c r="O830">
        <v>15.03</v>
      </c>
      <c r="P830">
        <v>9.0299999999999994</v>
      </c>
      <c r="Q830">
        <v>1.29</v>
      </c>
      <c r="R830">
        <v>0.81</v>
      </c>
      <c r="S830">
        <v>33321</v>
      </c>
      <c r="T830">
        <v>232573</v>
      </c>
      <c r="U830">
        <v>371151</v>
      </c>
      <c r="V830">
        <v>399</v>
      </c>
      <c r="W830">
        <v>5.46</v>
      </c>
      <c r="X830" s="10">
        <v>0.6342627706771341</v>
      </c>
      <c r="Y830" s="9">
        <v>323000</v>
      </c>
      <c r="Z830" s="9">
        <v>286500</v>
      </c>
      <c r="AA830" s="9">
        <v>318500</v>
      </c>
      <c r="AB830">
        <v>0.87671232876712324</v>
      </c>
      <c r="AC830" s="11">
        <v>486.57960544595721</v>
      </c>
      <c r="AD830" s="9">
        <v>289425.98870056501</v>
      </c>
      <c r="AE830" s="8">
        <v>5.1155115511551157E-2</v>
      </c>
    </row>
    <row r="831" spans="1:31" x14ac:dyDescent="0.35">
      <c r="A831" s="6" t="s">
        <v>852</v>
      </c>
      <c r="B831" s="7">
        <v>7</v>
      </c>
      <c r="C831" s="7">
        <v>3</v>
      </c>
      <c r="D831" s="7">
        <v>8</v>
      </c>
      <c r="E831" s="7">
        <v>0</v>
      </c>
      <c r="F831">
        <v>1518</v>
      </c>
      <c r="G831">
        <v>108</v>
      </c>
      <c r="H831">
        <v>7.09</v>
      </c>
      <c r="I831">
        <v>89</v>
      </c>
      <c r="J831">
        <v>5.88</v>
      </c>
      <c r="K831">
        <v>909</v>
      </c>
      <c r="L831">
        <v>211</v>
      </c>
      <c r="M831">
        <v>698</v>
      </c>
      <c r="N831">
        <v>2871.46</v>
      </c>
      <c r="O831">
        <v>13.61</v>
      </c>
      <c r="P831">
        <v>9.33</v>
      </c>
      <c r="Q831">
        <v>1.21</v>
      </c>
      <c r="R831">
        <v>0.55000000000000004</v>
      </c>
      <c r="S831">
        <v>3826</v>
      </c>
      <c r="T831">
        <v>29466</v>
      </c>
      <c r="U831">
        <v>65065</v>
      </c>
      <c r="V831">
        <v>147</v>
      </c>
      <c r="W831">
        <v>5.7</v>
      </c>
      <c r="X831" s="10">
        <v>0.26264175831723302</v>
      </c>
      <c r="Y831" s="9">
        <v>42450</v>
      </c>
      <c r="Z831" s="9">
        <v>34500</v>
      </c>
      <c r="AA831" s="9">
        <v>39000</v>
      </c>
      <c r="AB831">
        <v>0.56603773584905659</v>
      </c>
      <c r="AC831" s="11">
        <v>37.970269519310918</v>
      </c>
      <c r="AD831" s="9">
        <v>35362.740112994354</v>
      </c>
      <c r="AE831" s="8">
        <v>7.586206896551724E-2</v>
      </c>
    </row>
    <row r="832" spans="1:31" x14ac:dyDescent="0.35">
      <c r="A832" s="6" t="s">
        <v>853</v>
      </c>
      <c r="B832" s="7">
        <v>6</v>
      </c>
      <c r="C832" s="7">
        <v>0</v>
      </c>
      <c r="D832" s="7">
        <v>2</v>
      </c>
      <c r="E832" s="7">
        <v>10</v>
      </c>
      <c r="F832">
        <v>3557</v>
      </c>
      <c r="G832">
        <v>185</v>
      </c>
      <c r="H832">
        <v>5.19</v>
      </c>
      <c r="I832">
        <v>160</v>
      </c>
      <c r="J832">
        <v>4.49</v>
      </c>
      <c r="K832">
        <v>2157</v>
      </c>
      <c r="L832">
        <v>214</v>
      </c>
      <c r="M832">
        <v>1943</v>
      </c>
      <c r="N832">
        <v>2135.83</v>
      </c>
      <c r="O832">
        <v>8.5</v>
      </c>
      <c r="P832">
        <v>7.26</v>
      </c>
      <c r="Q832">
        <v>0.6</v>
      </c>
      <c r="R832">
        <v>0.33</v>
      </c>
      <c r="S832">
        <v>9274</v>
      </c>
      <c r="T832">
        <v>111679</v>
      </c>
      <c r="U832">
        <v>206366</v>
      </c>
      <c r="V832">
        <v>206</v>
      </c>
      <c r="W832">
        <v>5.69</v>
      </c>
      <c r="X832" s="10">
        <v>0.3519281289216788</v>
      </c>
      <c r="Y832" s="9">
        <v>77100</v>
      </c>
      <c r="Z832" s="9">
        <v>66600</v>
      </c>
      <c r="AA832" s="9">
        <v>77100</v>
      </c>
      <c r="AB832">
        <v>1</v>
      </c>
      <c r="AC832" s="11">
        <v>62.564601278132812</v>
      </c>
      <c r="AD832" s="9">
        <v>67723.446327683618</v>
      </c>
      <c r="AE832" s="8">
        <v>0.15592203898050974</v>
      </c>
    </row>
    <row r="833" spans="1:31" x14ac:dyDescent="0.35">
      <c r="A833" s="6" t="s">
        <v>854</v>
      </c>
      <c r="B833" s="7">
        <v>0</v>
      </c>
      <c r="C833" s="7">
        <v>11</v>
      </c>
      <c r="D833" s="7">
        <v>1</v>
      </c>
      <c r="E833" s="7">
        <v>6</v>
      </c>
      <c r="F833">
        <v>451</v>
      </c>
      <c r="G833">
        <v>6</v>
      </c>
      <c r="H833">
        <v>1.3</v>
      </c>
      <c r="I833">
        <v>16</v>
      </c>
      <c r="J833">
        <v>3.53</v>
      </c>
      <c r="K833">
        <v>810</v>
      </c>
      <c r="L833">
        <v>400</v>
      </c>
      <c r="M833">
        <v>411</v>
      </c>
      <c r="N833">
        <v>252.07</v>
      </c>
      <c r="O833">
        <v>3.87</v>
      </c>
      <c r="P833">
        <v>21.91</v>
      </c>
      <c r="Q833">
        <v>0.91</v>
      </c>
      <c r="R833">
        <v>0.78</v>
      </c>
      <c r="S833">
        <v>68</v>
      </c>
      <c r="T833">
        <v>1643</v>
      </c>
      <c r="U833">
        <v>1915</v>
      </c>
      <c r="V833">
        <v>47</v>
      </c>
      <c r="W833">
        <v>12.55</v>
      </c>
      <c r="X833" s="10">
        <v>0.7159779587784133</v>
      </c>
      <c r="Y833" s="9">
        <v>2455</v>
      </c>
      <c r="Z833" s="9">
        <v>1405</v>
      </c>
      <c r="AA833" s="9">
        <v>2250</v>
      </c>
      <c r="AB833">
        <v>0.80476190476190479</v>
      </c>
      <c r="AC833" s="11">
        <v>17.540427896637954</v>
      </c>
      <c r="AD833" s="9">
        <v>1292.5169491525423</v>
      </c>
      <c r="AE833" s="8">
        <v>0.50501672240802675</v>
      </c>
    </row>
    <row r="834" spans="1:31" x14ac:dyDescent="0.35">
      <c r="A834" s="6" t="s">
        <v>855</v>
      </c>
      <c r="B834" s="7">
        <v>6</v>
      </c>
      <c r="C834" s="7">
        <v>4</v>
      </c>
      <c r="D834" s="7">
        <v>4</v>
      </c>
      <c r="E834" s="7">
        <v>4</v>
      </c>
      <c r="F834">
        <v>46</v>
      </c>
      <c r="G834">
        <v>42</v>
      </c>
      <c r="H834">
        <v>90.98</v>
      </c>
      <c r="I834">
        <v>41</v>
      </c>
      <c r="J834">
        <v>89.67</v>
      </c>
      <c r="K834">
        <v>752</v>
      </c>
      <c r="L834">
        <v>9</v>
      </c>
      <c r="M834">
        <v>743</v>
      </c>
      <c r="N834">
        <v>-2.2200000000000002</v>
      </c>
      <c r="O834">
        <v>7.45</v>
      </c>
      <c r="P834">
        <v>11.08</v>
      </c>
      <c r="Q834">
        <v>0.82</v>
      </c>
      <c r="R834">
        <v>9.9499999999999993</v>
      </c>
      <c r="S834">
        <v>360</v>
      </c>
      <c r="T834">
        <v>4889</v>
      </c>
      <c r="U834">
        <v>401</v>
      </c>
      <c r="V834">
        <v>56</v>
      </c>
      <c r="W834">
        <v>10.92</v>
      </c>
      <c r="X834" s="10">
        <v>3.0752964989720692E-2</v>
      </c>
      <c r="Y834" s="9">
        <v>3785</v>
      </c>
      <c r="Z834" s="9">
        <v>3600</v>
      </c>
      <c r="AA834" s="9">
        <v>3680</v>
      </c>
      <c r="AB834">
        <v>0.43243243243243246</v>
      </c>
      <c r="AC834" s="11">
        <v>-0.37593776048902472</v>
      </c>
      <c r="AD834" s="9">
        <v>3661.2994350282488</v>
      </c>
      <c r="AE834" s="8">
        <v>-4.0595399188092015E-3</v>
      </c>
    </row>
    <row r="835" spans="1:31" x14ac:dyDescent="0.35">
      <c r="A835" s="6" t="s">
        <v>856</v>
      </c>
      <c r="B835" s="7">
        <v>2</v>
      </c>
      <c r="C835" s="7">
        <v>10</v>
      </c>
      <c r="D835" s="7">
        <v>1</v>
      </c>
      <c r="E835" s="7">
        <v>5</v>
      </c>
      <c r="F835">
        <v>0</v>
      </c>
      <c r="G835">
        <v>-1</v>
      </c>
      <c r="H835">
        <v>0</v>
      </c>
      <c r="I835">
        <v>1</v>
      </c>
      <c r="J835">
        <v>0</v>
      </c>
      <c r="K835">
        <v>30</v>
      </c>
      <c r="L835">
        <v>0</v>
      </c>
      <c r="M835">
        <v>30</v>
      </c>
      <c r="N835">
        <v>-32.58</v>
      </c>
      <c r="O835">
        <v>6.42</v>
      </c>
      <c r="P835">
        <v>15.64</v>
      </c>
      <c r="Q835">
        <v>0.98</v>
      </c>
      <c r="R835">
        <v>0</v>
      </c>
      <c r="S835">
        <v>211</v>
      </c>
      <c r="T835">
        <v>3371</v>
      </c>
      <c r="U835">
        <v>0</v>
      </c>
      <c r="V835">
        <v>-1</v>
      </c>
      <c r="W835">
        <v>-28.82</v>
      </c>
      <c r="X835" s="10">
        <v>0.22557013847230867</v>
      </c>
      <c r="Y835" s="9">
        <v>4500</v>
      </c>
      <c r="Z835" s="9">
        <v>3430</v>
      </c>
      <c r="AA835" s="9">
        <v>3600</v>
      </c>
      <c r="AB835">
        <v>0.15887850467289719</v>
      </c>
      <c r="AC835" s="11">
        <v>-6.4012225618227268</v>
      </c>
      <c r="AD835" s="9">
        <v>3899.4039548022597</v>
      </c>
      <c r="AE835" s="8">
        <v>-4.2553191489361701E-2</v>
      </c>
    </row>
    <row r="836" spans="1:31" x14ac:dyDescent="0.35">
      <c r="A836" s="6" t="s">
        <v>857</v>
      </c>
      <c r="B836" s="7">
        <v>4</v>
      </c>
      <c r="C836" s="7">
        <v>0</v>
      </c>
      <c r="D836" s="7">
        <v>4</v>
      </c>
      <c r="E836" s="7">
        <v>10</v>
      </c>
      <c r="F836">
        <v>235</v>
      </c>
      <c r="G836">
        <v>-56</v>
      </c>
      <c r="H836">
        <v>-23.81</v>
      </c>
      <c r="I836">
        <v>-115</v>
      </c>
      <c r="J836">
        <v>-48.97</v>
      </c>
      <c r="K836">
        <v>394</v>
      </c>
      <c r="L836">
        <v>187</v>
      </c>
      <c r="M836">
        <v>207</v>
      </c>
      <c r="N836">
        <v>-37.409999999999997</v>
      </c>
      <c r="O836">
        <v>-61.8</v>
      </c>
      <c r="P836">
        <v>0</v>
      </c>
      <c r="Q836">
        <v>2.11</v>
      </c>
      <c r="R836">
        <v>1.33</v>
      </c>
      <c r="S836">
        <v>-476</v>
      </c>
      <c r="T836">
        <v>614</v>
      </c>
      <c r="U836">
        <v>973</v>
      </c>
      <c r="V836">
        <v>-45</v>
      </c>
      <c r="W836">
        <v>-10.67</v>
      </c>
      <c r="X836" s="10">
        <v>0.51241427045468158</v>
      </c>
      <c r="Y836" s="9">
        <v>2010</v>
      </c>
      <c r="Z836" s="9">
        <v>1260</v>
      </c>
      <c r="AA836" s="9">
        <v>1745</v>
      </c>
      <c r="AB836">
        <v>0.64666666666666661</v>
      </c>
      <c r="AC836" s="11">
        <v>8.4269241455959989</v>
      </c>
      <c r="AD836" s="9">
        <v>1353.7288135593221</v>
      </c>
      <c r="AE836" s="8">
        <v>0.38492063492063494</v>
      </c>
    </row>
    <row r="837" spans="1:31" x14ac:dyDescent="0.35">
      <c r="A837" s="6" t="s">
        <v>858</v>
      </c>
      <c r="B837" s="7">
        <v>1</v>
      </c>
      <c r="C837" s="7">
        <v>1</v>
      </c>
      <c r="D837" s="7">
        <v>3</v>
      </c>
      <c r="E837" s="7">
        <v>13</v>
      </c>
      <c r="F837">
        <v>21</v>
      </c>
      <c r="G837">
        <v>-56</v>
      </c>
      <c r="H837">
        <v>-267.07</v>
      </c>
      <c r="I837">
        <v>-227</v>
      </c>
      <c r="J837">
        <v>-1077.81</v>
      </c>
      <c r="K837">
        <v>364</v>
      </c>
      <c r="L837">
        <v>128</v>
      </c>
      <c r="M837">
        <v>236</v>
      </c>
      <c r="N837">
        <v>-12.17</v>
      </c>
      <c r="O837">
        <v>-88.43</v>
      </c>
      <c r="P837">
        <v>0</v>
      </c>
      <c r="Q837">
        <v>7.08</v>
      </c>
      <c r="R837">
        <v>23.27</v>
      </c>
      <c r="S837">
        <v>-526</v>
      </c>
      <c r="T837">
        <v>161</v>
      </c>
      <c r="U837">
        <v>49</v>
      </c>
      <c r="V837">
        <v>-47</v>
      </c>
      <c r="W837">
        <v>-15.53</v>
      </c>
      <c r="X837" s="10">
        <v>0.27661189275824638</v>
      </c>
      <c r="Y837" s="9">
        <v>2100</v>
      </c>
      <c r="Z837" s="9">
        <v>955</v>
      </c>
      <c r="AA837" s="9">
        <v>1655</v>
      </c>
      <c r="AB837">
        <v>0.611353711790393</v>
      </c>
      <c r="AC837" s="11">
        <v>7.9426229508196737</v>
      </c>
      <c r="AD837" s="9">
        <v>1188.1666666666667</v>
      </c>
      <c r="AE837" s="8">
        <v>0.59134615384615385</v>
      </c>
    </row>
    <row r="838" spans="1:31" x14ac:dyDescent="0.35">
      <c r="A838" s="6" t="s">
        <v>859</v>
      </c>
      <c r="B838" s="7">
        <v>5</v>
      </c>
      <c r="C838" s="7">
        <v>2</v>
      </c>
      <c r="D838" s="7">
        <v>8</v>
      </c>
      <c r="E838" s="7">
        <v>3</v>
      </c>
      <c r="F838">
        <v>2164</v>
      </c>
      <c r="G838">
        <v>72</v>
      </c>
      <c r="H838">
        <v>3.34</v>
      </c>
      <c r="I838">
        <v>11</v>
      </c>
      <c r="J838">
        <v>0.53</v>
      </c>
      <c r="K838">
        <v>1061</v>
      </c>
      <c r="L838">
        <v>743</v>
      </c>
      <c r="M838">
        <v>318</v>
      </c>
      <c r="N838">
        <v>59.78</v>
      </c>
      <c r="O838">
        <v>4.26</v>
      </c>
      <c r="P838">
        <v>40.17</v>
      </c>
      <c r="Q838">
        <v>1.61</v>
      </c>
      <c r="R838">
        <v>0.21</v>
      </c>
      <c r="S838">
        <v>30</v>
      </c>
      <c r="T838">
        <v>750</v>
      </c>
      <c r="U838">
        <v>5702</v>
      </c>
      <c r="V838">
        <v>138</v>
      </c>
      <c r="W838">
        <v>6.28</v>
      </c>
      <c r="X838" s="10">
        <v>4.8987689484832071E-2</v>
      </c>
      <c r="Y838" s="9">
        <v>1315</v>
      </c>
      <c r="Z838" s="9">
        <v>1185</v>
      </c>
      <c r="AA838" s="9">
        <v>1300</v>
      </c>
      <c r="AB838">
        <v>0.88461538461538458</v>
      </c>
      <c r="AC838" s="11">
        <v>0.409419283134204</v>
      </c>
      <c r="AD838" s="9">
        <v>1240.9293785310736</v>
      </c>
      <c r="AE838" s="8">
        <v>6.9958847736625515E-2</v>
      </c>
    </row>
    <row r="839" spans="1:31" x14ac:dyDescent="0.35">
      <c r="A839" s="6" t="s">
        <v>860</v>
      </c>
      <c r="B839" s="7">
        <v>9</v>
      </c>
      <c r="C839" s="7">
        <v>7</v>
      </c>
      <c r="D839" s="7">
        <v>2</v>
      </c>
      <c r="E839" s="7">
        <v>0</v>
      </c>
      <c r="F839">
        <v>434</v>
      </c>
      <c r="G839">
        <v>9</v>
      </c>
      <c r="H839">
        <v>2.0699999999999998</v>
      </c>
      <c r="I839">
        <v>9</v>
      </c>
      <c r="J839">
        <v>2.0499999999999998</v>
      </c>
      <c r="K839">
        <v>1254</v>
      </c>
      <c r="L839">
        <v>238</v>
      </c>
      <c r="M839">
        <v>1015</v>
      </c>
      <c r="N839">
        <v>704.6</v>
      </c>
      <c r="O839">
        <v>1.18</v>
      </c>
      <c r="P839">
        <v>171.91</v>
      </c>
      <c r="Q839">
        <v>2.77</v>
      </c>
      <c r="R839">
        <v>3.53</v>
      </c>
      <c r="S839">
        <v>47</v>
      </c>
      <c r="T839">
        <v>2921</v>
      </c>
      <c r="U839">
        <v>2287</v>
      </c>
      <c r="V839">
        <v>74</v>
      </c>
      <c r="W839">
        <v>29.03</v>
      </c>
      <c r="X839" s="10">
        <v>0.93389390396120309</v>
      </c>
      <c r="Y839" s="9">
        <v>17250</v>
      </c>
      <c r="Z839" s="9">
        <v>8410</v>
      </c>
      <c r="AA839" s="9">
        <v>15500</v>
      </c>
      <c r="AB839">
        <v>0.80203619909502266</v>
      </c>
      <c r="AC839" s="11">
        <v>146.91886635176439</v>
      </c>
      <c r="AD839" s="9">
        <v>7893.1412429378524</v>
      </c>
      <c r="AE839" s="8">
        <v>0.79190751445086704</v>
      </c>
    </row>
    <row r="840" spans="1:31" x14ac:dyDescent="0.35">
      <c r="A840" s="6" t="s">
        <v>861</v>
      </c>
      <c r="B840" s="7">
        <v>1</v>
      </c>
      <c r="C840" s="7">
        <v>2</v>
      </c>
      <c r="D840" s="7">
        <v>15</v>
      </c>
      <c r="E840" s="7">
        <v>0</v>
      </c>
      <c r="F840">
        <v>28</v>
      </c>
      <c r="G840">
        <v>-16</v>
      </c>
      <c r="H840">
        <v>-54.51</v>
      </c>
      <c r="I840">
        <v>-18</v>
      </c>
      <c r="J840">
        <v>-62.8</v>
      </c>
      <c r="K840">
        <v>683</v>
      </c>
      <c r="L840">
        <v>31</v>
      </c>
      <c r="M840">
        <v>652</v>
      </c>
      <c r="N840">
        <v>817.94</v>
      </c>
      <c r="O840">
        <v>-3.61</v>
      </c>
      <c r="P840">
        <v>0</v>
      </c>
      <c r="Q840">
        <v>14.03</v>
      </c>
      <c r="R840">
        <v>212.31</v>
      </c>
      <c r="S840">
        <v>-168</v>
      </c>
      <c r="T840">
        <v>4057</v>
      </c>
      <c r="U840">
        <v>268</v>
      </c>
      <c r="V840">
        <v>-15</v>
      </c>
      <c r="W840">
        <v>-538.52</v>
      </c>
      <c r="X840" s="10">
        <v>0.58841649681760799</v>
      </c>
      <c r="Y840" s="9">
        <v>77900</v>
      </c>
      <c r="Z840" s="9">
        <v>48300</v>
      </c>
      <c r="AA840" s="9">
        <v>71700</v>
      </c>
      <c r="AB840">
        <v>0.79054054054054057</v>
      </c>
      <c r="AC840" s="11">
        <v>294.57766046123919</v>
      </c>
      <c r="AD840" s="9">
        <v>48229.548022598872</v>
      </c>
      <c r="AE840" s="8">
        <v>0.43831494483450351</v>
      </c>
    </row>
    <row r="841" spans="1:31" x14ac:dyDescent="0.35">
      <c r="A841" s="6" t="s">
        <v>862</v>
      </c>
      <c r="B841" s="7">
        <v>0</v>
      </c>
      <c r="C841" s="7">
        <v>1</v>
      </c>
      <c r="D841" s="7">
        <v>7</v>
      </c>
      <c r="E841" s="7">
        <v>10</v>
      </c>
      <c r="F841">
        <v>172</v>
      </c>
      <c r="G841">
        <v>-81</v>
      </c>
      <c r="H841">
        <v>-46.91</v>
      </c>
      <c r="I841">
        <v>-127</v>
      </c>
      <c r="J841">
        <v>-73.569999999999993</v>
      </c>
      <c r="K841">
        <v>727</v>
      </c>
      <c r="L841">
        <v>363</v>
      </c>
      <c r="M841">
        <v>365</v>
      </c>
      <c r="N841">
        <v>420.26</v>
      </c>
      <c r="O841">
        <v>-35.46</v>
      </c>
      <c r="P841">
        <v>0</v>
      </c>
      <c r="Q841">
        <v>5.91</v>
      </c>
      <c r="R841">
        <v>5.81</v>
      </c>
      <c r="S841">
        <v>-926</v>
      </c>
      <c r="T841">
        <v>1239</v>
      </c>
      <c r="U841">
        <v>1259</v>
      </c>
      <c r="V841">
        <v>-46</v>
      </c>
      <c r="W841">
        <v>-27.39</v>
      </c>
      <c r="X841" s="10">
        <v>0.2757453943072074</v>
      </c>
      <c r="Y841" s="9">
        <v>9900</v>
      </c>
      <c r="Z841" s="9">
        <v>7040</v>
      </c>
      <c r="AA841" s="9">
        <v>8280</v>
      </c>
      <c r="AB841">
        <v>0.43356643356643354</v>
      </c>
      <c r="AC841" s="11">
        <v>21.768824673520427</v>
      </c>
      <c r="AD841" s="9">
        <v>7561.7175141242933</v>
      </c>
      <c r="AE841" s="8">
        <v>0.16949152542372881</v>
      </c>
    </row>
    <row r="842" spans="1:31" x14ac:dyDescent="0.35">
      <c r="A842" s="6" t="s">
        <v>863</v>
      </c>
      <c r="B842" s="7">
        <v>3</v>
      </c>
      <c r="C842" s="7">
        <v>13</v>
      </c>
      <c r="D842" s="7">
        <v>1</v>
      </c>
      <c r="E842" s="7">
        <v>1</v>
      </c>
      <c r="F842">
        <v>767</v>
      </c>
      <c r="G842">
        <v>164</v>
      </c>
      <c r="H842">
        <v>21.31</v>
      </c>
      <c r="I842">
        <v>108</v>
      </c>
      <c r="J842">
        <v>14.09</v>
      </c>
      <c r="K842">
        <v>1433</v>
      </c>
      <c r="L842">
        <v>283</v>
      </c>
      <c r="M842">
        <v>1150</v>
      </c>
      <c r="N842">
        <v>1433.88</v>
      </c>
      <c r="O842">
        <v>9.6999999999999993</v>
      </c>
      <c r="P842">
        <v>28.16</v>
      </c>
      <c r="Q842">
        <v>2.68</v>
      </c>
      <c r="R842">
        <v>3.97</v>
      </c>
      <c r="S842">
        <v>721</v>
      </c>
      <c r="T842">
        <v>7562</v>
      </c>
      <c r="U842">
        <v>5116</v>
      </c>
      <c r="V842">
        <v>217</v>
      </c>
      <c r="W842">
        <v>14</v>
      </c>
      <c r="X842" s="10">
        <v>0.32799495237077608</v>
      </c>
      <c r="Y842" s="9">
        <v>27100</v>
      </c>
      <c r="Z842" s="9">
        <v>19700</v>
      </c>
      <c r="AA842" s="9">
        <v>27100</v>
      </c>
      <c r="AB842">
        <v>1</v>
      </c>
      <c r="AC842" s="11">
        <v>54.171992220061128</v>
      </c>
      <c r="AD842" s="9">
        <v>21260.254237288136</v>
      </c>
      <c r="AE842" s="8">
        <v>0.35499999999999998</v>
      </c>
    </row>
    <row r="843" spans="1:31" x14ac:dyDescent="0.35">
      <c r="A843" s="6" t="s">
        <v>864</v>
      </c>
      <c r="B843" s="7">
        <v>3</v>
      </c>
      <c r="C843" s="7">
        <v>1</v>
      </c>
      <c r="D843" s="7">
        <v>7</v>
      </c>
      <c r="E843" s="7">
        <v>7</v>
      </c>
      <c r="F843">
        <v>208</v>
      </c>
      <c r="G843">
        <v>21</v>
      </c>
      <c r="H843">
        <v>10.26</v>
      </c>
      <c r="I843">
        <v>-1</v>
      </c>
      <c r="J843">
        <v>-0.61</v>
      </c>
      <c r="K843">
        <v>655</v>
      </c>
      <c r="L843">
        <v>161</v>
      </c>
      <c r="M843">
        <v>495</v>
      </c>
      <c r="N843">
        <v>588.16999999999996</v>
      </c>
      <c r="O843">
        <v>-0.35</v>
      </c>
      <c r="P843">
        <v>0</v>
      </c>
      <c r="Q843">
        <v>0.94</v>
      </c>
      <c r="R843">
        <v>1.52</v>
      </c>
      <c r="S843">
        <v>-12</v>
      </c>
      <c r="T843">
        <v>3344</v>
      </c>
      <c r="U843">
        <v>2064</v>
      </c>
      <c r="V843">
        <v>36</v>
      </c>
      <c r="W843">
        <v>14.87</v>
      </c>
      <c r="X843" s="10">
        <v>0.46376814622353457</v>
      </c>
      <c r="Y843" s="9">
        <v>4180</v>
      </c>
      <c r="Z843" s="9">
        <v>2245</v>
      </c>
      <c r="AA843" s="9">
        <v>4180</v>
      </c>
      <c r="AB843">
        <v>1</v>
      </c>
      <c r="AC843" s="11">
        <v>15.705612670186159</v>
      </c>
      <c r="AD843" s="9">
        <v>2164.3954802259886</v>
      </c>
      <c r="AE843" s="8">
        <v>0.86191536748329622</v>
      </c>
    </row>
    <row r="844" spans="1:31" x14ac:dyDescent="0.35">
      <c r="A844" s="6" t="s">
        <v>865</v>
      </c>
      <c r="B844" s="7">
        <v>11</v>
      </c>
      <c r="C844" s="7">
        <v>3</v>
      </c>
      <c r="D844" s="7">
        <v>2</v>
      </c>
      <c r="E844" s="7">
        <v>2</v>
      </c>
      <c r="F844">
        <v>116</v>
      </c>
      <c r="G844">
        <v>2</v>
      </c>
      <c r="H844">
        <v>1.53</v>
      </c>
      <c r="I844">
        <v>-11</v>
      </c>
      <c r="J844">
        <v>-9.9</v>
      </c>
      <c r="K844">
        <v>349</v>
      </c>
      <c r="L844">
        <v>208</v>
      </c>
      <c r="M844">
        <v>141</v>
      </c>
      <c r="N844">
        <v>132.78</v>
      </c>
      <c r="O844">
        <v>-15.9</v>
      </c>
      <c r="P844">
        <v>0</v>
      </c>
      <c r="Q844">
        <v>2.54</v>
      </c>
      <c r="R844">
        <v>0</v>
      </c>
      <c r="S844">
        <v>-124</v>
      </c>
      <c r="T844">
        <v>1158</v>
      </c>
      <c r="U844">
        <v>0</v>
      </c>
      <c r="V844">
        <v>4</v>
      </c>
      <c r="W844">
        <v>113.48</v>
      </c>
      <c r="X844" s="10">
        <v>0.5065324383066333</v>
      </c>
      <c r="Y844" s="9">
        <v>2540</v>
      </c>
      <c r="Z844" s="9">
        <v>1300</v>
      </c>
      <c r="AA844" s="9">
        <v>1375</v>
      </c>
      <c r="AB844">
        <v>6.0483870967741937E-2</v>
      </c>
      <c r="AC844" s="11">
        <v>-14.547929980550151</v>
      </c>
      <c r="AD844" s="9">
        <v>2264.3785310734465</v>
      </c>
      <c r="AE844" s="8">
        <v>-0.45866141732283466</v>
      </c>
    </row>
    <row r="845" spans="1:31" x14ac:dyDescent="0.35">
      <c r="A845" s="6" t="s">
        <v>866</v>
      </c>
      <c r="B845" s="7">
        <v>0</v>
      </c>
      <c r="C845" s="7">
        <v>0</v>
      </c>
      <c r="D845" s="7">
        <v>7</v>
      </c>
      <c r="E845" s="7">
        <v>11</v>
      </c>
      <c r="F845">
        <v>111</v>
      </c>
      <c r="G845">
        <v>-24</v>
      </c>
      <c r="H845">
        <v>-21.62</v>
      </c>
      <c r="I845">
        <v>-24</v>
      </c>
      <c r="J845">
        <v>-22.03</v>
      </c>
      <c r="K845">
        <v>431</v>
      </c>
      <c r="L845">
        <v>205</v>
      </c>
      <c r="M845">
        <v>226</v>
      </c>
      <c r="N845">
        <v>320.97000000000003</v>
      </c>
      <c r="O845">
        <v>-13.68</v>
      </c>
      <c r="P845">
        <v>0</v>
      </c>
      <c r="Q845">
        <v>1.77</v>
      </c>
      <c r="R845">
        <v>2.29</v>
      </c>
      <c r="S845">
        <v>-295</v>
      </c>
      <c r="T845">
        <v>1724</v>
      </c>
      <c r="U845">
        <v>1337</v>
      </c>
      <c r="V845">
        <v>-16</v>
      </c>
      <c r="W845">
        <v>-28.38</v>
      </c>
      <c r="X845" s="10">
        <v>0.66715660039026292</v>
      </c>
      <c r="Y845" s="9">
        <v>3905</v>
      </c>
      <c r="Z845" s="9">
        <v>3090</v>
      </c>
      <c r="AA845" s="9">
        <v>3770</v>
      </c>
      <c r="AB845">
        <v>0.83435582822085885</v>
      </c>
      <c r="AC845" s="11">
        <v>9.9256737982773</v>
      </c>
      <c r="AD845" s="9">
        <v>3265.0169491525421</v>
      </c>
      <c r="AE845" s="8">
        <v>0.17812500000000001</v>
      </c>
    </row>
    <row r="846" spans="1:31" x14ac:dyDescent="0.35">
      <c r="A846" s="6" t="s">
        <v>867</v>
      </c>
      <c r="B846" s="7">
        <v>11</v>
      </c>
      <c r="C846" s="7">
        <v>6</v>
      </c>
      <c r="D846" s="7">
        <v>0</v>
      </c>
      <c r="E846" s="7">
        <v>1</v>
      </c>
      <c r="F846">
        <v>969</v>
      </c>
      <c r="G846">
        <v>115</v>
      </c>
      <c r="H846">
        <v>11.89</v>
      </c>
      <c r="I846">
        <v>75</v>
      </c>
      <c r="J846">
        <v>7.75</v>
      </c>
      <c r="K846">
        <v>1657</v>
      </c>
      <c r="L846">
        <v>745</v>
      </c>
      <c r="M846">
        <v>912</v>
      </c>
      <c r="N846">
        <v>1128.3900000000001</v>
      </c>
      <c r="O846">
        <v>8.6999999999999993</v>
      </c>
      <c r="P846">
        <v>51.27</v>
      </c>
      <c r="Q846">
        <v>4.62</v>
      </c>
      <c r="R846">
        <v>3.98</v>
      </c>
      <c r="S846">
        <v>510</v>
      </c>
      <c r="T846">
        <v>5663</v>
      </c>
      <c r="U846">
        <v>6577</v>
      </c>
      <c r="V846">
        <v>151</v>
      </c>
      <c r="W846">
        <v>27.1</v>
      </c>
      <c r="X846" s="10">
        <v>0.6176662486138873</v>
      </c>
      <c r="Y846" s="9">
        <v>29150</v>
      </c>
      <c r="Z846" s="9">
        <v>21900</v>
      </c>
      <c r="AA846" s="9">
        <v>22550</v>
      </c>
      <c r="AB846">
        <v>8.9655172413793102E-2</v>
      </c>
      <c r="AC846" s="11">
        <v>-90.304251180883554</v>
      </c>
      <c r="AD846" s="9">
        <v>28403.446327683618</v>
      </c>
      <c r="AE846" s="8">
        <v>-0.10515873015873016</v>
      </c>
    </row>
    <row r="847" spans="1:31" x14ac:dyDescent="0.35">
      <c r="A847" s="6" t="s">
        <v>868</v>
      </c>
      <c r="B847" s="7">
        <v>5</v>
      </c>
      <c r="C847" s="7">
        <v>5</v>
      </c>
      <c r="D847" s="7">
        <v>2</v>
      </c>
      <c r="E847" s="7">
        <v>6</v>
      </c>
      <c r="F847">
        <v>353</v>
      </c>
      <c r="G847">
        <v>22</v>
      </c>
      <c r="H847">
        <v>6.25</v>
      </c>
      <c r="I847">
        <v>18</v>
      </c>
      <c r="J847">
        <v>5.22</v>
      </c>
      <c r="K847">
        <v>2388</v>
      </c>
      <c r="L847">
        <v>449</v>
      </c>
      <c r="M847">
        <v>1939</v>
      </c>
      <c r="N847">
        <v>828.45</v>
      </c>
      <c r="O847">
        <v>3.81</v>
      </c>
      <c r="P847">
        <v>12.45</v>
      </c>
      <c r="Q847">
        <v>0.5</v>
      </c>
      <c r="R847">
        <v>0.65</v>
      </c>
      <c r="S847">
        <v>1824</v>
      </c>
      <c r="T847">
        <v>45584</v>
      </c>
      <c r="U847">
        <v>34904</v>
      </c>
      <c r="V847">
        <v>103</v>
      </c>
      <c r="W847">
        <v>9.36</v>
      </c>
      <c r="X847" s="10">
        <v>0.8131953811961532</v>
      </c>
      <c r="Y847" s="9">
        <v>29900</v>
      </c>
      <c r="Z847" s="9">
        <v>20700</v>
      </c>
      <c r="AA847" s="9">
        <v>28600</v>
      </c>
      <c r="AB847">
        <v>0.85869565217391308</v>
      </c>
      <c r="AC847" s="11">
        <v>165.8641289247013</v>
      </c>
      <c r="AD847" s="9">
        <v>20193.644067796609</v>
      </c>
      <c r="AE847" s="8">
        <v>0.24618736383442266</v>
      </c>
    </row>
    <row r="848" spans="1:31" x14ac:dyDescent="0.35">
      <c r="A848" s="6" t="s">
        <v>869</v>
      </c>
      <c r="B848" s="7">
        <v>0</v>
      </c>
      <c r="C848" s="7">
        <v>6</v>
      </c>
      <c r="D848" s="7">
        <v>2</v>
      </c>
      <c r="E848" s="7">
        <v>10</v>
      </c>
      <c r="F848">
        <v>3298</v>
      </c>
      <c r="G848">
        <v>-243</v>
      </c>
      <c r="H848">
        <v>-7.37</v>
      </c>
      <c r="I848">
        <v>-340</v>
      </c>
      <c r="J848">
        <v>-10.3</v>
      </c>
      <c r="K848">
        <v>4492</v>
      </c>
      <c r="L848">
        <v>3207</v>
      </c>
      <c r="M848">
        <v>1285</v>
      </c>
      <c r="N848">
        <v>728.92</v>
      </c>
      <c r="O848">
        <v>-23.28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 s="10">
        <v>3.195906220331244E-2</v>
      </c>
      <c r="Y848" s="9">
        <v>2540</v>
      </c>
      <c r="Z848" s="9">
        <v>2265</v>
      </c>
      <c r="AA848" s="9">
        <v>2340</v>
      </c>
      <c r="AB848">
        <v>0.27272727272727271</v>
      </c>
      <c r="AC848" s="11">
        <v>0.70297304806890804</v>
      </c>
      <c r="AD848" s="9">
        <v>2388.5593220338983</v>
      </c>
      <c r="AE848" s="8">
        <v>-2.0920502092050208E-2</v>
      </c>
    </row>
    <row r="849" spans="1:31" x14ac:dyDescent="0.35">
      <c r="A849" s="6" t="s">
        <v>870</v>
      </c>
      <c r="B849" s="7">
        <v>6</v>
      </c>
      <c r="C849" s="7">
        <v>1</v>
      </c>
      <c r="D849" s="7">
        <v>5</v>
      </c>
      <c r="E849" s="7">
        <v>6</v>
      </c>
      <c r="F849">
        <v>1218</v>
      </c>
      <c r="G849">
        <v>65</v>
      </c>
      <c r="H849">
        <v>5.35</v>
      </c>
      <c r="I849">
        <v>46</v>
      </c>
      <c r="J849">
        <v>3.75</v>
      </c>
      <c r="K849">
        <v>1785</v>
      </c>
      <c r="L849">
        <v>640</v>
      </c>
      <c r="M849">
        <v>1144</v>
      </c>
      <c r="N849">
        <v>729.69</v>
      </c>
      <c r="O849">
        <v>4.03</v>
      </c>
      <c r="P849">
        <v>14.92</v>
      </c>
      <c r="Q849">
        <v>0.68</v>
      </c>
      <c r="R849">
        <v>0.56000000000000005</v>
      </c>
      <c r="S849">
        <v>1655</v>
      </c>
      <c r="T849">
        <v>36133</v>
      </c>
      <c r="U849">
        <v>44173</v>
      </c>
      <c r="V849">
        <v>146</v>
      </c>
      <c r="W849">
        <v>5.91</v>
      </c>
      <c r="X849" s="10">
        <v>0.74599668134469233</v>
      </c>
      <c r="Y849" s="9">
        <v>28400</v>
      </c>
      <c r="Z849" s="9">
        <v>23650</v>
      </c>
      <c r="AA849" s="9">
        <v>28350</v>
      </c>
      <c r="AB849">
        <v>0.98947368421052628</v>
      </c>
      <c r="AC849" s="11">
        <v>75.452903584328965</v>
      </c>
      <c r="AD849" s="9">
        <v>22879.5197740113</v>
      </c>
      <c r="AE849" s="8">
        <v>0.1524390243902439</v>
      </c>
    </row>
    <row r="850" spans="1:31" x14ac:dyDescent="0.35">
      <c r="A850" s="6" t="s">
        <v>871</v>
      </c>
      <c r="B850" s="7">
        <v>3</v>
      </c>
      <c r="C850" s="7">
        <v>9</v>
      </c>
      <c r="D850" s="7">
        <v>1</v>
      </c>
      <c r="E850" s="7">
        <v>5</v>
      </c>
      <c r="F850">
        <v>579</v>
      </c>
      <c r="G850">
        <v>10</v>
      </c>
      <c r="H850">
        <v>1.76</v>
      </c>
      <c r="I850">
        <v>12</v>
      </c>
      <c r="J850">
        <v>2.1</v>
      </c>
      <c r="K850">
        <v>618</v>
      </c>
      <c r="L850">
        <v>341</v>
      </c>
      <c r="M850">
        <v>277</v>
      </c>
      <c r="N850">
        <v>418.65</v>
      </c>
      <c r="O850">
        <v>4.75</v>
      </c>
      <c r="P850">
        <v>6.1</v>
      </c>
      <c r="Q850">
        <v>0.49</v>
      </c>
      <c r="R850">
        <v>0.13</v>
      </c>
      <c r="S850">
        <v>173</v>
      </c>
      <c r="T850">
        <v>2139</v>
      </c>
      <c r="U850">
        <v>8203</v>
      </c>
      <c r="V850">
        <v>22</v>
      </c>
      <c r="W850">
        <v>14.9</v>
      </c>
      <c r="X850" s="10">
        <v>0.88373543179913161</v>
      </c>
      <c r="Y850" s="9">
        <v>4120</v>
      </c>
      <c r="Z850" s="9">
        <v>1035</v>
      </c>
      <c r="AA850" s="9">
        <v>3800</v>
      </c>
      <c r="AB850">
        <v>0.89627228525121561</v>
      </c>
      <c r="AC850" s="11">
        <v>48.981383717699359</v>
      </c>
      <c r="AD850" s="9">
        <v>876.06779661016958</v>
      </c>
      <c r="AE850" s="8">
        <v>2.5185185185185186</v>
      </c>
    </row>
    <row r="851" spans="1:31" x14ac:dyDescent="0.35">
      <c r="A851" s="6" t="s">
        <v>872</v>
      </c>
      <c r="B851" s="7">
        <v>0</v>
      </c>
      <c r="C851" s="7">
        <v>5</v>
      </c>
      <c r="D851" s="7">
        <v>7</v>
      </c>
      <c r="E851" s="7">
        <v>6</v>
      </c>
      <c r="F851">
        <v>1457</v>
      </c>
      <c r="G851">
        <v>87</v>
      </c>
      <c r="H851">
        <v>5.99</v>
      </c>
      <c r="I851">
        <v>-29</v>
      </c>
      <c r="J851">
        <v>-1.99</v>
      </c>
      <c r="K851">
        <v>1605</v>
      </c>
      <c r="L851">
        <v>733</v>
      </c>
      <c r="M851">
        <v>872</v>
      </c>
      <c r="N851">
        <v>523.17999999999995</v>
      </c>
      <c r="O851">
        <v>-3.25</v>
      </c>
      <c r="P851">
        <v>0</v>
      </c>
      <c r="Q851">
        <v>1.27</v>
      </c>
      <c r="R851">
        <v>0.75</v>
      </c>
      <c r="S851">
        <v>-120</v>
      </c>
      <c r="T851">
        <v>3553</v>
      </c>
      <c r="U851">
        <v>6020</v>
      </c>
      <c r="V851">
        <v>107</v>
      </c>
      <c r="W851">
        <v>11.34</v>
      </c>
      <c r="X851" s="10">
        <v>0.18893509662490346</v>
      </c>
      <c r="Y851" s="9">
        <v>4790</v>
      </c>
      <c r="Z851" s="9">
        <v>3915</v>
      </c>
      <c r="AA851" s="9">
        <v>4610</v>
      </c>
      <c r="AB851">
        <v>0.79428571428571426</v>
      </c>
      <c r="AC851" s="11">
        <v>6.2578494026118365</v>
      </c>
      <c r="AD851" s="9">
        <v>4117.4689265536717</v>
      </c>
      <c r="AE851" s="8">
        <v>1.2074643249176729E-2</v>
      </c>
    </row>
    <row r="852" spans="1:31" x14ac:dyDescent="0.35">
      <c r="A852" s="6" t="s">
        <v>873</v>
      </c>
      <c r="B852" s="7">
        <v>2</v>
      </c>
      <c r="C852" s="7">
        <v>5</v>
      </c>
      <c r="D852" s="7">
        <v>0</v>
      </c>
      <c r="E852" s="7">
        <v>11</v>
      </c>
      <c r="F852">
        <v>294</v>
      </c>
      <c r="G852">
        <v>-72</v>
      </c>
      <c r="H852">
        <v>-24.64</v>
      </c>
      <c r="I852">
        <v>-114</v>
      </c>
      <c r="J852">
        <v>-38.72</v>
      </c>
      <c r="K852">
        <v>568</v>
      </c>
      <c r="L852">
        <v>528</v>
      </c>
      <c r="M852">
        <v>40</v>
      </c>
      <c r="N852">
        <v>3.34</v>
      </c>
      <c r="O852">
        <v>-141.41999999999999</v>
      </c>
      <c r="P852">
        <v>0</v>
      </c>
      <c r="Q852">
        <v>5.67</v>
      </c>
      <c r="R852">
        <v>0.56999999999999995</v>
      </c>
      <c r="S852">
        <v>-780</v>
      </c>
      <c r="T852">
        <v>201</v>
      </c>
      <c r="U852">
        <v>2014</v>
      </c>
      <c r="V852">
        <v>-21</v>
      </c>
      <c r="W852">
        <v>-21.13</v>
      </c>
      <c r="X852" s="10">
        <v>1.5419188395853834E-2</v>
      </c>
      <c r="Y852" s="9">
        <v>1580</v>
      </c>
      <c r="Z852" s="9">
        <v>806</v>
      </c>
      <c r="AA852" s="9">
        <v>1580</v>
      </c>
      <c r="AB852">
        <v>1</v>
      </c>
      <c r="AC852" s="11">
        <v>1.4046957488191159</v>
      </c>
      <c r="AD852" s="9">
        <v>1081.1067796610171</v>
      </c>
      <c r="AE852" s="8">
        <v>0.44954128440366975</v>
      </c>
    </row>
    <row r="853" spans="1:31" x14ac:dyDescent="0.35">
      <c r="A853" s="6" t="s">
        <v>874</v>
      </c>
      <c r="B853" s="7">
        <v>3</v>
      </c>
      <c r="C853" s="7">
        <v>9</v>
      </c>
      <c r="D853" s="7">
        <v>1</v>
      </c>
      <c r="E853" s="7">
        <v>5</v>
      </c>
      <c r="F853">
        <v>115</v>
      </c>
      <c r="G853">
        <v>3</v>
      </c>
      <c r="H853">
        <v>2.61</v>
      </c>
      <c r="I853">
        <v>-110</v>
      </c>
      <c r="J853">
        <v>-95.24</v>
      </c>
      <c r="K853">
        <v>558</v>
      </c>
      <c r="L853">
        <v>227</v>
      </c>
      <c r="M853">
        <v>331</v>
      </c>
      <c r="N853">
        <v>388.18</v>
      </c>
      <c r="O853">
        <v>-36.159999999999997</v>
      </c>
      <c r="P853">
        <v>0</v>
      </c>
      <c r="Q853">
        <v>0.65</v>
      </c>
      <c r="R853">
        <v>1.62</v>
      </c>
      <c r="S853">
        <v>-840</v>
      </c>
      <c r="T853">
        <v>2204</v>
      </c>
      <c r="U853">
        <v>881</v>
      </c>
      <c r="V853">
        <v>5</v>
      </c>
      <c r="W853">
        <v>72.13</v>
      </c>
      <c r="X853" s="10">
        <v>0.5810128241050575</v>
      </c>
      <c r="Y853" s="9">
        <v>1705</v>
      </c>
      <c r="Z853" s="9">
        <v>1340</v>
      </c>
      <c r="AA853" s="9">
        <v>1585</v>
      </c>
      <c r="AB853">
        <v>0.67123287671232879</v>
      </c>
      <c r="AC853" s="11">
        <v>4.5955821061405953</v>
      </c>
      <c r="AD853" s="9">
        <v>1316.7514124293787</v>
      </c>
      <c r="AE853" s="8">
        <v>0.11619718309859155</v>
      </c>
    </row>
    <row r="854" spans="1:31" x14ac:dyDescent="0.35">
      <c r="A854" s="6" t="s">
        <v>875</v>
      </c>
      <c r="B854" s="7">
        <v>6</v>
      </c>
      <c r="C854" s="7">
        <v>1</v>
      </c>
      <c r="D854" s="7">
        <v>4</v>
      </c>
      <c r="E854" s="7">
        <v>7</v>
      </c>
      <c r="F854">
        <v>484</v>
      </c>
      <c r="G854">
        <v>-24</v>
      </c>
      <c r="H854">
        <v>-5.03</v>
      </c>
      <c r="I854">
        <v>-46</v>
      </c>
      <c r="J854">
        <v>-9.5500000000000007</v>
      </c>
      <c r="K854">
        <v>281</v>
      </c>
      <c r="L854">
        <v>146</v>
      </c>
      <c r="M854">
        <v>134</v>
      </c>
      <c r="N854">
        <v>0.92</v>
      </c>
      <c r="O854">
        <v>-28.71</v>
      </c>
      <c r="P854">
        <v>0</v>
      </c>
      <c r="Q854">
        <v>3.06</v>
      </c>
      <c r="R854">
        <v>0.78</v>
      </c>
      <c r="S854">
        <v>-1754</v>
      </c>
      <c r="T854">
        <v>4710</v>
      </c>
      <c r="U854">
        <v>18362</v>
      </c>
      <c r="V854">
        <v>-24</v>
      </c>
      <c r="W854">
        <v>-16.260000000000002</v>
      </c>
      <c r="X854" s="10">
        <v>0.58387146735858864</v>
      </c>
      <c r="Y854" s="9">
        <v>18250</v>
      </c>
      <c r="Z854" s="9">
        <v>12700</v>
      </c>
      <c r="AA854" s="9">
        <v>15550</v>
      </c>
      <c r="AB854">
        <v>0.51351351351351349</v>
      </c>
      <c r="AC854" s="11">
        <v>57.532647957766052</v>
      </c>
      <c r="AD854" s="9">
        <v>13043.587570621468</v>
      </c>
      <c r="AE854" s="8">
        <v>0.11071428571428571</v>
      </c>
    </row>
    <row r="855" spans="1:31" x14ac:dyDescent="0.35">
      <c r="A855" s="6" t="s">
        <v>876</v>
      </c>
      <c r="B855" s="7">
        <v>4</v>
      </c>
      <c r="C855" s="7">
        <v>7</v>
      </c>
      <c r="D855" s="7">
        <v>3</v>
      </c>
      <c r="E855" s="7">
        <v>4</v>
      </c>
      <c r="F855">
        <v>60</v>
      </c>
      <c r="G855">
        <v>-4</v>
      </c>
      <c r="H855">
        <v>-6.76</v>
      </c>
      <c r="I855">
        <v>-4</v>
      </c>
      <c r="J855">
        <v>-6.21</v>
      </c>
      <c r="K855">
        <v>80</v>
      </c>
      <c r="L855">
        <v>23</v>
      </c>
      <c r="M855">
        <v>57</v>
      </c>
      <c r="N855">
        <v>-34.14</v>
      </c>
      <c r="O855">
        <v>0</v>
      </c>
      <c r="P855">
        <v>0</v>
      </c>
      <c r="Q855">
        <v>3.86</v>
      </c>
      <c r="R855">
        <v>2.21</v>
      </c>
      <c r="S855">
        <v>-35</v>
      </c>
      <c r="T855">
        <v>325</v>
      </c>
      <c r="U855">
        <v>567</v>
      </c>
      <c r="V855">
        <v>-5</v>
      </c>
      <c r="W855">
        <v>-40.200000000000003</v>
      </c>
      <c r="X855" s="10">
        <v>0.75188645409936516</v>
      </c>
      <c r="Y855" s="9">
        <v>2415</v>
      </c>
      <c r="Z855" s="9">
        <v>1255</v>
      </c>
      <c r="AA855" s="9">
        <v>2120</v>
      </c>
      <c r="AB855">
        <v>0.74568965517241381</v>
      </c>
      <c r="AC855" s="11">
        <v>15.991247568769102</v>
      </c>
      <c r="AD855" s="9">
        <v>1298.5169491525423</v>
      </c>
      <c r="AE855" s="8">
        <v>0.65625</v>
      </c>
    </row>
    <row r="856" spans="1:31" x14ac:dyDescent="0.35">
      <c r="A856" s="6" t="s">
        <v>877</v>
      </c>
      <c r="B856" s="7">
        <v>0</v>
      </c>
      <c r="C856" s="7">
        <v>2</v>
      </c>
      <c r="D856" s="7">
        <v>13</v>
      </c>
      <c r="E856" s="7">
        <v>3</v>
      </c>
      <c r="F856">
        <v>1462</v>
      </c>
      <c r="G856">
        <v>-152</v>
      </c>
      <c r="H856">
        <v>-10.36</v>
      </c>
      <c r="I856">
        <v>-124</v>
      </c>
      <c r="J856">
        <v>-8.4700000000000006</v>
      </c>
      <c r="K856">
        <v>2750</v>
      </c>
      <c r="L856">
        <v>1416</v>
      </c>
      <c r="M856">
        <v>1334</v>
      </c>
      <c r="N856">
        <v>1179.27</v>
      </c>
      <c r="O856">
        <v>-8.9</v>
      </c>
      <c r="P856">
        <v>0</v>
      </c>
      <c r="Q856">
        <v>2.34</v>
      </c>
      <c r="R856">
        <v>2.09</v>
      </c>
      <c r="S856">
        <v>-594</v>
      </c>
      <c r="T856">
        <v>6267</v>
      </c>
      <c r="U856">
        <v>7012</v>
      </c>
      <c r="V856">
        <v>-87</v>
      </c>
      <c r="W856">
        <v>-37.86</v>
      </c>
      <c r="X856" s="10">
        <v>0.323174650240654</v>
      </c>
      <c r="Y856" s="9">
        <v>17450</v>
      </c>
      <c r="Z856" s="9">
        <v>12900</v>
      </c>
      <c r="AA856" s="9">
        <v>15000</v>
      </c>
      <c r="AB856">
        <v>0.46153846153846156</v>
      </c>
      <c r="AC856" s="11">
        <v>46.16004445679355</v>
      </c>
      <c r="AD856" s="9">
        <v>14288.785310734464</v>
      </c>
      <c r="AE856" s="8">
        <v>4.1666666666666664E-2</v>
      </c>
    </row>
    <row r="857" spans="1:31" x14ac:dyDescent="0.35">
      <c r="A857" s="6" t="s">
        <v>878</v>
      </c>
      <c r="B857" s="7">
        <v>14</v>
      </c>
      <c r="C857" s="7">
        <v>2</v>
      </c>
      <c r="D857" s="7">
        <v>2</v>
      </c>
      <c r="E857" s="7">
        <v>0</v>
      </c>
      <c r="F857">
        <v>2117</v>
      </c>
      <c r="G857">
        <v>194</v>
      </c>
      <c r="H857">
        <v>9.14</v>
      </c>
      <c r="I857">
        <v>140</v>
      </c>
      <c r="J857">
        <v>6.63</v>
      </c>
      <c r="K857">
        <v>3025</v>
      </c>
      <c r="L857">
        <v>1179</v>
      </c>
      <c r="M857">
        <v>1846</v>
      </c>
      <c r="N857">
        <v>485.68</v>
      </c>
      <c r="O857">
        <v>10.44</v>
      </c>
      <c r="P857">
        <v>21.04</v>
      </c>
      <c r="Q857">
        <v>2.48</v>
      </c>
      <c r="R857">
        <v>1.39</v>
      </c>
      <c r="S857">
        <v>316</v>
      </c>
      <c r="T857">
        <v>2679</v>
      </c>
      <c r="U857">
        <v>4769</v>
      </c>
      <c r="V857">
        <v>295</v>
      </c>
      <c r="W857">
        <v>15.46</v>
      </c>
      <c r="X857" s="10">
        <v>0.53800750194494529</v>
      </c>
      <c r="Y857" s="9">
        <v>7370</v>
      </c>
      <c r="Z857" s="9">
        <v>5540</v>
      </c>
      <c r="AA857" s="9">
        <v>7250</v>
      </c>
      <c r="AB857">
        <v>0.93442622950819676</v>
      </c>
      <c r="AC857" s="11">
        <v>19.354820783550991</v>
      </c>
      <c r="AD857" s="9">
        <v>5773.0112994350275</v>
      </c>
      <c r="AE857" s="8">
        <v>0.30866425992779783</v>
      </c>
    </row>
    <row r="858" spans="1:31" x14ac:dyDescent="0.35">
      <c r="A858" s="6" t="s">
        <v>879</v>
      </c>
      <c r="B858" s="7">
        <v>4</v>
      </c>
      <c r="C858" s="7">
        <v>10</v>
      </c>
      <c r="D858" s="7">
        <v>2</v>
      </c>
      <c r="E858" s="7">
        <v>2</v>
      </c>
      <c r="F858">
        <v>241</v>
      </c>
      <c r="G858">
        <v>13</v>
      </c>
      <c r="H858">
        <v>5.54</v>
      </c>
      <c r="I858">
        <v>25</v>
      </c>
      <c r="J858">
        <v>10.52</v>
      </c>
      <c r="K858">
        <v>509</v>
      </c>
      <c r="L858">
        <v>93</v>
      </c>
      <c r="M858">
        <v>416</v>
      </c>
      <c r="N858">
        <v>246.83</v>
      </c>
      <c r="O858">
        <v>8.3699999999999992</v>
      </c>
      <c r="P858">
        <v>10.51</v>
      </c>
      <c r="Q858">
        <v>0.86</v>
      </c>
      <c r="R858">
        <v>1.1100000000000001</v>
      </c>
      <c r="S858">
        <v>283</v>
      </c>
      <c r="T858">
        <v>3454</v>
      </c>
      <c r="U858">
        <v>2684</v>
      </c>
      <c r="V858">
        <v>35</v>
      </c>
      <c r="W858">
        <v>10.23</v>
      </c>
      <c r="X858" s="10">
        <v>0.87398190783997487</v>
      </c>
      <c r="Y858" s="9">
        <v>4040</v>
      </c>
      <c r="Z858" s="9">
        <v>2980</v>
      </c>
      <c r="AA858" s="9">
        <v>3840</v>
      </c>
      <c r="AB858">
        <v>0.81132075471698117</v>
      </c>
      <c r="AC858" s="11">
        <v>16.007918866351762</v>
      </c>
      <c r="AD858" s="9">
        <v>3029.1751412429376</v>
      </c>
      <c r="AE858" s="8">
        <v>0.24473257698541329</v>
      </c>
    </row>
    <row r="859" spans="1:31" x14ac:dyDescent="0.35">
      <c r="A859" s="6" t="s">
        <v>880</v>
      </c>
      <c r="B859" s="7">
        <v>0</v>
      </c>
      <c r="C859" s="7">
        <v>14</v>
      </c>
      <c r="D859" s="7">
        <v>0</v>
      </c>
      <c r="E859" s="7">
        <v>4</v>
      </c>
      <c r="F859">
        <v>1090</v>
      </c>
      <c r="G859">
        <v>27</v>
      </c>
      <c r="H859">
        <v>2.4900000000000002</v>
      </c>
      <c r="I859">
        <v>20</v>
      </c>
      <c r="J859">
        <v>1.81</v>
      </c>
      <c r="K859">
        <v>841</v>
      </c>
      <c r="L859">
        <v>519</v>
      </c>
      <c r="M859">
        <v>322</v>
      </c>
      <c r="N859">
        <v>511.36</v>
      </c>
      <c r="O859">
        <v>8.42</v>
      </c>
      <c r="P859">
        <v>46.98</v>
      </c>
      <c r="Q859">
        <v>3.95</v>
      </c>
      <c r="R859">
        <v>0.85</v>
      </c>
      <c r="S859">
        <v>248</v>
      </c>
      <c r="T859">
        <v>2950</v>
      </c>
      <c r="U859">
        <v>13737</v>
      </c>
      <c r="V859">
        <v>57</v>
      </c>
      <c r="W859">
        <v>24.35</v>
      </c>
      <c r="X859" s="10">
        <v>0.5614879290117013</v>
      </c>
      <c r="Y859" s="9">
        <v>16200</v>
      </c>
      <c r="Z859" s="9">
        <v>7610</v>
      </c>
      <c r="AA859" s="9">
        <v>15100</v>
      </c>
      <c r="AB859">
        <v>0.87194412107101282</v>
      </c>
      <c r="AC859" s="11">
        <v>95.680466796332297</v>
      </c>
      <c r="AD859" s="9">
        <v>6542.4124293785317</v>
      </c>
      <c r="AE859" s="8">
        <v>0.98423127463863336</v>
      </c>
    </row>
    <row r="860" spans="1:31" x14ac:dyDescent="0.35">
      <c r="A860" s="6" t="s">
        <v>881</v>
      </c>
      <c r="B860" s="7">
        <v>13</v>
      </c>
      <c r="C860" s="7">
        <v>3</v>
      </c>
      <c r="D860" s="7">
        <v>1</v>
      </c>
      <c r="E860" s="7">
        <v>1</v>
      </c>
      <c r="F860">
        <v>3595</v>
      </c>
      <c r="G860">
        <v>244</v>
      </c>
      <c r="H860">
        <v>6.8</v>
      </c>
      <c r="I860">
        <v>216</v>
      </c>
      <c r="J860">
        <v>6.01</v>
      </c>
      <c r="K860">
        <v>2824</v>
      </c>
      <c r="L860">
        <v>1051</v>
      </c>
      <c r="M860">
        <v>1774</v>
      </c>
      <c r="N860">
        <v>851.88</v>
      </c>
      <c r="O860">
        <v>12.8</v>
      </c>
      <c r="P860">
        <v>14.51</v>
      </c>
      <c r="Q860">
        <v>1.92</v>
      </c>
      <c r="R860">
        <v>0.87</v>
      </c>
      <c r="S860">
        <v>2774</v>
      </c>
      <c r="T860">
        <v>20956</v>
      </c>
      <c r="U860">
        <v>46181</v>
      </c>
      <c r="V860">
        <v>356</v>
      </c>
      <c r="W860">
        <v>9.5500000000000007</v>
      </c>
      <c r="X860" s="10">
        <v>0.49073860489429516</v>
      </c>
      <c r="Y860" s="9">
        <v>47400</v>
      </c>
      <c r="Z860" s="9">
        <v>37650</v>
      </c>
      <c r="AA860" s="9">
        <v>44750</v>
      </c>
      <c r="AB860">
        <v>0.72820512820512817</v>
      </c>
      <c r="AC860" s="11">
        <v>101.38649624895804</v>
      </c>
      <c r="AD860" s="9">
        <v>38927.711864406781</v>
      </c>
      <c r="AE860" s="8">
        <v>0.15186615186615188</v>
      </c>
    </row>
    <row r="861" spans="1:31" x14ac:dyDescent="0.35">
      <c r="A861" s="6" t="s">
        <v>882</v>
      </c>
      <c r="B861" s="7">
        <v>0</v>
      </c>
      <c r="C861" s="7">
        <v>8</v>
      </c>
      <c r="D861" s="7">
        <v>4</v>
      </c>
      <c r="E861" s="7">
        <v>6</v>
      </c>
      <c r="F861">
        <v>541</v>
      </c>
      <c r="G861">
        <v>-151</v>
      </c>
      <c r="H861">
        <v>-27.91</v>
      </c>
      <c r="I861">
        <v>-102</v>
      </c>
      <c r="J861">
        <v>-18.84</v>
      </c>
      <c r="K861">
        <v>473</v>
      </c>
      <c r="L861">
        <v>232</v>
      </c>
      <c r="M861">
        <v>242</v>
      </c>
      <c r="N861">
        <v>114.88</v>
      </c>
      <c r="O861">
        <v>-34.67</v>
      </c>
      <c r="P861">
        <v>0</v>
      </c>
      <c r="Q861">
        <v>1.4</v>
      </c>
      <c r="R861">
        <v>0.6</v>
      </c>
      <c r="S861">
        <v>-453</v>
      </c>
      <c r="T861">
        <v>1031</v>
      </c>
      <c r="U861">
        <v>2403</v>
      </c>
      <c r="V861">
        <v>-129</v>
      </c>
      <c r="W861">
        <v>-2.5299999999999998</v>
      </c>
      <c r="X861" s="10">
        <v>0.22055193104081081</v>
      </c>
      <c r="Y861" s="9">
        <v>1525</v>
      </c>
      <c r="Z861" s="9">
        <v>1080</v>
      </c>
      <c r="AA861" s="9">
        <v>1435</v>
      </c>
      <c r="AB861">
        <v>0.797752808988764</v>
      </c>
      <c r="AC861" s="11">
        <v>3.4033064740205616</v>
      </c>
      <c r="AD861" s="9">
        <v>1197.7824858757062</v>
      </c>
      <c r="AE861" s="8">
        <v>7.8947368421052627E-2</v>
      </c>
    </row>
    <row r="862" spans="1:31" x14ac:dyDescent="0.35">
      <c r="A862" s="6" t="s">
        <v>883</v>
      </c>
      <c r="B862" s="7">
        <v>2</v>
      </c>
      <c r="C862" s="7">
        <v>0</v>
      </c>
      <c r="D862" s="7">
        <v>1</v>
      </c>
      <c r="E862" s="7">
        <v>15</v>
      </c>
      <c r="F862">
        <v>883</v>
      </c>
      <c r="G862">
        <v>-43</v>
      </c>
      <c r="H862">
        <v>-4.8899999999999997</v>
      </c>
      <c r="I862">
        <v>-48</v>
      </c>
      <c r="J862">
        <v>-5.44</v>
      </c>
      <c r="K862">
        <v>839</v>
      </c>
      <c r="L862">
        <v>494</v>
      </c>
      <c r="M862">
        <v>345</v>
      </c>
      <c r="N862">
        <v>118.48</v>
      </c>
      <c r="O862">
        <v>-13.7</v>
      </c>
      <c r="P862">
        <v>0</v>
      </c>
      <c r="Q862">
        <v>3.92</v>
      </c>
      <c r="R862">
        <v>1.39</v>
      </c>
      <c r="S862">
        <v>-157</v>
      </c>
      <c r="T862">
        <v>1023</v>
      </c>
      <c r="U862">
        <v>2883</v>
      </c>
      <c r="V862">
        <v>-22</v>
      </c>
      <c r="W862">
        <v>-68.62</v>
      </c>
      <c r="X862" s="10">
        <v>2.9224357100680994E-2</v>
      </c>
      <c r="Y862" s="9">
        <v>5870</v>
      </c>
      <c r="Z862" s="9">
        <v>3630</v>
      </c>
      <c r="AA862" s="9">
        <v>4230</v>
      </c>
      <c r="AB862">
        <v>0.26785714285714285</v>
      </c>
      <c r="AC862" s="11">
        <v>-4.8271742150597374</v>
      </c>
      <c r="AD862" s="9">
        <v>4570.3954802259886</v>
      </c>
      <c r="AE862" s="8">
        <v>4.3156596794081382E-2</v>
      </c>
    </row>
    <row r="863" spans="1:31" x14ac:dyDescent="0.35">
      <c r="A863" s="6" t="s">
        <v>884</v>
      </c>
      <c r="B863" s="7">
        <v>0</v>
      </c>
      <c r="C863" s="7">
        <v>3</v>
      </c>
      <c r="D863" s="7">
        <v>10</v>
      </c>
      <c r="E863" s="7">
        <v>5</v>
      </c>
      <c r="F863">
        <v>20</v>
      </c>
      <c r="G863">
        <v>-17</v>
      </c>
      <c r="H863">
        <v>-82.49</v>
      </c>
      <c r="I863">
        <v>-36</v>
      </c>
      <c r="J863">
        <v>-176.26</v>
      </c>
      <c r="K863">
        <v>116</v>
      </c>
      <c r="L863">
        <v>23</v>
      </c>
      <c r="M863">
        <v>93</v>
      </c>
      <c r="N863">
        <v>44.77</v>
      </c>
      <c r="O863">
        <v>-49.3</v>
      </c>
      <c r="P863">
        <v>0</v>
      </c>
      <c r="Q863">
        <v>2.38</v>
      </c>
      <c r="R863">
        <v>7.08</v>
      </c>
      <c r="S863">
        <v>-407</v>
      </c>
      <c r="T863">
        <v>687</v>
      </c>
      <c r="U863">
        <v>231</v>
      </c>
      <c r="V863">
        <v>-19</v>
      </c>
      <c r="W863">
        <v>-11.38</v>
      </c>
      <c r="X863" s="10">
        <v>0.92478419601359463</v>
      </c>
      <c r="Y863" s="9">
        <v>9410</v>
      </c>
      <c r="Z863" s="9">
        <v>3330</v>
      </c>
      <c r="AA863" s="9">
        <v>9410</v>
      </c>
      <c r="AB863">
        <v>1</v>
      </c>
      <c r="AC863" s="11">
        <v>90.875104195609879</v>
      </c>
      <c r="AD863" s="9">
        <v>2992.2259887005657</v>
      </c>
      <c r="AE863" s="8">
        <v>1.5640326975476839</v>
      </c>
    </row>
    <row r="864" spans="1:31" x14ac:dyDescent="0.35">
      <c r="A864" s="6" t="s">
        <v>885</v>
      </c>
      <c r="B864" s="7">
        <v>8</v>
      </c>
      <c r="C864" s="7">
        <v>5</v>
      </c>
      <c r="D864" s="7">
        <v>2</v>
      </c>
      <c r="E864" s="7">
        <v>3</v>
      </c>
      <c r="F864">
        <v>1188</v>
      </c>
      <c r="G864">
        <v>88</v>
      </c>
      <c r="H864">
        <v>7.38</v>
      </c>
      <c r="I864">
        <v>50</v>
      </c>
      <c r="J864">
        <v>4.18</v>
      </c>
      <c r="K864">
        <v>2105</v>
      </c>
      <c r="L864">
        <v>1288</v>
      </c>
      <c r="M864">
        <v>817</v>
      </c>
      <c r="N864">
        <v>97.34</v>
      </c>
      <c r="O864">
        <v>7.13</v>
      </c>
      <c r="P864">
        <v>14.18</v>
      </c>
      <c r="Q864">
        <v>1.07</v>
      </c>
      <c r="R864">
        <v>0.59</v>
      </c>
      <c r="S864">
        <v>73</v>
      </c>
      <c r="T864">
        <v>970</v>
      </c>
      <c r="U864">
        <v>1751</v>
      </c>
      <c r="V864">
        <v>187</v>
      </c>
      <c r="W864">
        <v>8.3000000000000007</v>
      </c>
      <c r="X864" s="10">
        <v>0.61591163900763679</v>
      </c>
      <c r="Y864" s="9">
        <v>1275</v>
      </c>
      <c r="Z864" s="9">
        <v>1035</v>
      </c>
      <c r="AA864" s="9">
        <v>1230</v>
      </c>
      <c r="AB864">
        <v>0.8125</v>
      </c>
      <c r="AC864" s="11">
        <v>3.4780494581828285</v>
      </c>
      <c r="AD864" s="9">
        <v>1045.1694915254238</v>
      </c>
      <c r="AE864" s="8">
        <v>0.17703349282296652</v>
      </c>
    </row>
    <row r="865" spans="1:31" x14ac:dyDescent="0.35">
      <c r="A865" s="6" t="s">
        <v>886</v>
      </c>
      <c r="B865" s="7">
        <v>0</v>
      </c>
      <c r="C865" s="7">
        <v>0</v>
      </c>
      <c r="D865" s="7">
        <v>0</v>
      </c>
      <c r="E865" s="7">
        <v>18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 s="10">
        <v>0.16862089959089221</v>
      </c>
      <c r="Y865" s="9">
        <v>29000</v>
      </c>
      <c r="Z865" s="9">
        <v>22250</v>
      </c>
      <c r="AA865" s="9">
        <v>25500</v>
      </c>
      <c r="AB865">
        <v>0.48148148148148145</v>
      </c>
      <c r="AC865" s="11">
        <v>32.970269519310918</v>
      </c>
      <c r="AD865" s="9">
        <v>24287.74011299435</v>
      </c>
      <c r="AE865" s="8">
        <v>-7.7821011673151752E-3</v>
      </c>
    </row>
    <row r="866" spans="1:31" x14ac:dyDescent="0.35">
      <c r="A866" s="6" t="s">
        <v>887</v>
      </c>
      <c r="B866" s="7">
        <v>11</v>
      </c>
      <c r="C866" s="7">
        <v>4</v>
      </c>
      <c r="D866" s="7">
        <v>0</v>
      </c>
      <c r="E866" s="7">
        <v>3</v>
      </c>
      <c r="F866">
        <v>1413</v>
      </c>
      <c r="G866">
        <v>280</v>
      </c>
      <c r="H866">
        <v>19.8</v>
      </c>
      <c r="I866">
        <v>235</v>
      </c>
      <c r="J866">
        <v>16.63</v>
      </c>
      <c r="K866">
        <v>2345</v>
      </c>
      <c r="L866">
        <v>258</v>
      </c>
      <c r="M866">
        <v>2087</v>
      </c>
      <c r="N866">
        <v>1431.53</v>
      </c>
      <c r="O866">
        <v>11.5</v>
      </c>
      <c r="P866">
        <v>22.17</v>
      </c>
      <c r="Q866">
        <v>2.75</v>
      </c>
      <c r="R866">
        <v>3.68</v>
      </c>
      <c r="S866">
        <v>803</v>
      </c>
      <c r="T866">
        <v>6463</v>
      </c>
      <c r="U866">
        <v>4832</v>
      </c>
      <c r="V866">
        <v>337</v>
      </c>
      <c r="W866">
        <v>16.45</v>
      </c>
      <c r="X866" s="10">
        <v>0.91254120362948299</v>
      </c>
      <c r="Y866" s="9">
        <v>27550</v>
      </c>
      <c r="Z866" s="9">
        <v>17750</v>
      </c>
      <c r="AA866" s="9">
        <v>27000</v>
      </c>
      <c r="AB866">
        <v>0.94387755102040816</v>
      </c>
      <c r="AC866" s="11">
        <v>164.84023339816616</v>
      </c>
      <c r="AD866" s="9">
        <v>16777.372881355932</v>
      </c>
      <c r="AE866" s="8">
        <v>0.46739130434782611</v>
      </c>
    </row>
    <row r="867" spans="1:31" x14ac:dyDescent="0.35">
      <c r="A867" s="6" t="s">
        <v>888</v>
      </c>
      <c r="B867" s="7">
        <v>2</v>
      </c>
      <c r="C867" s="7">
        <v>11</v>
      </c>
      <c r="D867" s="7">
        <v>3</v>
      </c>
      <c r="E867" s="7">
        <v>2</v>
      </c>
      <c r="F867">
        <v>3626</v>
      </c>
      <c r="G867">
        <v>193</v>
      </c>
      <c r="H867">
        <v>5.33</v>
      </c>
      <c r="I867">
        <v>146</v>
      </c>
      <c r="J867">
        <v>4.03</v>
      </c>
      <c r="K867">
        <v>8930</v>
      </c>
      <c r="L867">
        <v>4972</v>
      </c>
      <c r="M867">
        <v>3958</v>
      </c>
      <c r="N867">
        <v>541.33000000000004</v>
      </c>
      <c r="O867">
        <v>3.69</v>
      </c>
      <c r="P867">
        <v>9.02</v>
      </c>
      <c r="Q867">
        <v>0.53</v>
      </c>
      <c r="R867">
        <v>0.41</v>
      </c>
      <c r="S867">
        <v>1679</v>
      </c>
      <c r="T867">
        <v>28680</v>
      </c>
      <c r="U867">
        <v>36824</v>
      </c>
      <c r="V867">
        <v>0</v>
      </c>
      <c r="W867">
        <v>0</v>
      </c>
      <c r="X867" s="10">
        <v>0.87077299068118119</v>
      </c>
      <c r="Y867" s="9">
        <v>18800</v>
      </c>
      <c r="Z867" s="9">
        <v>15000</v>
      </c>
      <c r="AA867" s="9">
        <v>18050</v>
      </c>
      <c r="AB867">
        <v>0.80263157894736847</v>
      </c>
      <c r="AC867" s="11">
        <v>60.301472631286465</v>
      </c>
      <c r="AD867" s="9">
        <v>15049.971751412431</v>
      </c>
      <c r="AE867" s="8">
        <v>0.1875</v>
      </c>
    </row>
    <row r="868" spans="1:31" x14ac:dyDescent="0.35">
      <c r="A868" s="6" t="s">
        <v>889</v>
      </c>
      <c r="B868" s="7">
        <v>0</v>
      </c>
      <c r="C868" s="7">
        <v>0</v>
      </c>
      <c r="D868" s="7">
        <v>0</v>
      </c>
      <c r="E868" s="7">
        <v>18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 s="10">
        <v>0.90974525307834408</v>
      </c>
      <c r="Y868" s="9">
        <v>16200</v>
      </c>
      <c r="Z868" s="9">
        <v>12600</v>
      </c>
      <c r="AA868" s="9">
        <v>16100</v>
      </c>
      <c r="AB868">
        <v>0.97222222222222221</v>
      </c>
      <c r="AC868" s="11">
        <v>58.726035009724924</v>
      </c>
      <c r="AD868" s="9">
        <v>12186.355932203391</v>
      </c>
      <c r="AE868" s="8">
        <v>0.27777777777777779</v>
      </c>
    </row>
    <row r="869" spans="1:31" x14ac:dyDescent="0.35">
      <c r="A869" s="6" t="s">
        <v>890</v>
      </c>
      <c r="B869" s="7">
        <v>6</v>
      </c>
      <c r="C869" s="7">
        <v>3</v>
      </c>
      <c r="D869" s="7">
        <v>0</v>
      </c>
      <c r="E869" s="7">
        <v>9</v>
      </c>
      <c r="F869">
        <v>1842</v>
      </c>
      <c r="G869">
        <v>21</v>
      </c>
      <c r="H869">
        <v>1.1499999999999999</v>
      </c>
      <c r="I869">
        <v>31</v>
      </c>
      <c r="J869">
        <v>1.68</v>
      </c>
      <c r="K869">
        <v>1259</v>
      </c>
      <c r="L869">
        <v>186</v>
      </c>
      <c r="M869">
        <v>1073</v>
      </c>
      <c r="N869">
        <v>972.92</v>
      </c>
      <c r="O869">
        <v>2.89</v>
      </c>
      <c r="P869">
        <v>14.09</v>
      </c>
      <c r="Q869">
        <v>0.4</v>
      </c>
      <c r="R869">
        <v>0.24</v>
      </c>
      <c r="S869">
        <v>154</v>
      </c>
      <c r="T869">
        <v>5361</v>
      </c>
      <c r="U869">
        <v>9211</v>
      </c>
      <c r="V869">
        <v>27</v>
      </c>
      <c r="W869">
        <v>16.36</v>
      </c>
      <c r="X869" s="10">
        <v>0.65631367459608714</v>
      </c>
      <c r="Y869" s="9">
        <v>2415</v>
      </c>
      <c r="Z869" s="9">
        <v>2050</v>
      </c>
      <c r="AA869" s="9">
        <v>2395</v>
      </c>
      <c r="AB869">
        <v>0.9452054794520548</v>
      </c>
      <c r="AC869" s="11">
        <v>5.4185884968046683</v>
      </c>
      <c r="AD869" s="9">
        <v>2053.4830508474574</v>
      </c>
      <c r="AE869" s="8">
        <v>9.6109839816933634E-2</v>
      </c>
    </row>
    <row r="870" spans="1:31" x14ac:dyDescent="0.35">
      <c r="A870" s="6" t="s">
        <v>891</v>
      </c>
      <c r="B870" s="7">
        <v>5</v>
      </c>
      <c r="C870" s="7">
        <v>2</v>
      </c>
      <c r="D870" s="7">
        <v>6</v>
      </c>
      <c r="E870" s="7">
        <v>5</v>
      </c>
      <c r="F870">
        <v>12778</v>
      </c>
      <c r="G870">
        <v>382</v>
      </c>
      <c r="H870">
        <v>2.99</v>
      </c>
      <c r="I870">
        <v>351</v>
      </c>
      <c r="J870">
        <v>2.74</v>
      </c>
      <c r="K870">
        <v>7527</v>
      </c>
      <c r="L870">
        <v>2931</v>
      </c>
      <c r="M870">
        <v>4596</v>
      </c>
      <c r="N870">
        <v>775.71</v>
      </c>
      <c r="O870">
        <v>7.82</v>
      </c>
      <c r="P870">
        <v>9.9700000000000006</v>
      </c>
      <c r="Q870">
        <v>0.84</v>
      </c>
      <c r="R870">
        <v>0.27</v>
      </c>
      <c r="S870">
        <v>3506</v>
      </c>
      <c r="T870">
        <v>41575</v>
      </c>
      <c r="U870">
        <v>127764</v>
      </c>
      <c r="V870">
        <v>640</v>
      </c>
      <c r="W870">
        <v>6.01</v>
      </c>
      <c r="X870" s="10">
        <v>4.0394738445316191E-3</v>
      </c>
      <c r="Y870" s="9">
        <v>36800</v>
      </c>
      <c r="Z870" s="9">
        <v>33700</v>
      </c>
      <c r="AA870" s="9">
        <v>35600</v>
      </c>
      <c r="AB870">
        <v>0.61290322580645162</v>
      </c>
      <c r="AC870" s="11">
        <v>2.6687968880244513</v>
      </c>
      <c r="AD870" s="9">
        <v>35761.101694915254</v>
      </c>
      <c r="AE870" s="8">
        <v>-1.5214384508990318E-2</v>
      </c>
    </row>
    <row r="871" spans="1:31" x14ac:dyDescent="0.35">
      <c r="A871" s="6" t="s">
        <v>892</v>
      </c>
      <c r="B871" s="7">
        <v>2</v>
      </c>
      <c r="C871" s="7">
        <v>3</v>
      </c>
      <c r="D871" s="7">
        <v>0</v>
      </c>
      <c r="E871" s="7">
        <v>13</v>
      </c>
      <c r="F871">
        <v>378</v>
      </c>
      <c r="G871">
        <v>-16</v>
      </c>
      <c r="H871">
        <v>-4.29</v>
      </c>
      <c r="I871">
        <v>-21</v>
      </c>
      <c r="J871">
        <v>-5.48</v>
      </c>
      <c r="K871">
        <v>505</v>
      </c>
      <c r="L871">
        <v>255</v>
      </c>
      <c r="M871">
        <v>250</v>
      </c>
      <c r="N871">
        <v>525.26</v>
      </c>
      <c r="O871">
        <v>-7.92</v>
      </c>
      <c r="P871">
        <v>0</v>
      </c>
      <c r="Q871">
        <v>1.24</v>
      </c>
      <c r="R871">
        <v>0.82</v>
      </c>
      <c r="S871">
        <v>-2590</v>
      </c>
      <c r="T871">
        <v>31093</v>
      </c>
      <c r="U871">
        <v>47286</v>
      </c>
      <c r="V871">
        <v>-12</v>
      </c>
      <c r="W871">
        <v>-41.58</v>
      </c>
      <c r="X871" s="10">
        <v>0.76926070122673784</v>
      </c>
      <c r="Y871" s="9">
        <v>84200</v>
      </c>
      <c r="Z871" s="9">
        <v>37600</v>
      </c>
      <c r="AA871" s="9">
        <v>74500</v>
      </c>
      <c r="AB871">
        <v>0.79184549356223177</v>
      </c>
      <c r="AC871" s="11">
        <v>559.28313420394556</v>
      </c>
      <c r="AD871" s="9">
        <v>32956.864406779656</v>
      </c>
      <c r="AE871" s="8">
        <v>0.92755498059508412</v>
      </c>
    </row>
    <row r="872" spans="1:31" x14ac:dyDescent="0.35">
      <c r="A872" s="6" t="s">
        <v>893</v>
      </c>
      <c r="B872" s="7">
        <v>5</v>
      </c>
      <c r="C872" s="7">
        <v>2</v>
      </c>
      <c r="D872" s="7">
        <v>11</v>
      </c>
      <c r="E872" s="7">
        <v>0</v>
      </c>
      <c r="F872">
        <v>279</v>
      </c>
      <c r="G872">
        <v>8</v>
      </c>
      <c r="H872">
        <v>2.86</v>
      </c>
      <c r="I872">
        <v>8</v>
      </c>
      <c r="J872">
        <v>2.78</v>
      </c>
      <c r="K872">
        <v>451</v>
      </c>
      <c r="L872">
        <v>113</v>
      </c>
      <c r="M872">
        <v>338</v>
      </c>
      <c r="N872">
        <v>540.32000000000005</v>
      </c>
      <c r="O872">
        <v>2.33</v>
      </c>
      <c r="P872">
        <v>28.34</v>
      </c>
      <c r="Q872">
        <v>0.66</v>
      </c>
      <c r="R872">
        <v>0.79</v>
      </c>
      <c r="S872">
        <v>734</v>
      </c>
      <c r="T872">
        <v>31743</v>
      </c>
      <c r="U872">
        <v>26441</v>
      </c>
      <c r="V872">
        <v>10</v>
      </c>
      <c r="W872">
        <v>23.5</v>
      </c>
      <c r="X872" s="10">
        <v>0.47236243000593664</v>
      </c>
      <c r="Y872" s="9">
        <v>29550</v>
      </c>
      <c r="Z872" s="9">
        <v>20600</v>
      </c>
      <c r="AA872" s="9">
        <v>27550</v>
      </c>
      <c r="AB872">
        <v>0.77653631284916202</v>
      </c>
      <c r="AC872" s="11">
        <v>82.859127535426509</v>
      </c>
      <c r="AD872" s="9">
        <v>23037.796610169491</v>
      </c>
      <c r="AE872" s="8">
        <v>0.33737864077669905</v>
      </c>
    </row>
    <row r="873" spans="1:31" x14ac:dyDescent="0.35">
      <c r="A873" s="6" t="s">
        <v>894</v>
      </c>
      <c r="B873" s="7">
        <v>2</v>
      </c>
      <c r="C873" s="7">
        <v>15</v>
      </c>
      <c r="D873" s="7">
        <v>1</v>
      </c>
      <c r="E873" s="7">
        <v>0</v>
      </c>
      <c r="F873">
        <v>2024</v>
      </c>
      <c r="G873">
        <v>71</v>
      </c>
      <c r="H873">
        <v>3.52</v>
      </c>
      <c r="I873">
        <v>10</v>
      </c>
      <c r="J873">
        <v>0.48</v>
      </c>
      <c r="K873">
        <v>2560</v>
      </c>
      <c r="L873">
        <v>2094</v>
      </c>
      <c r="M873">
        <v>466</v>
      </c>
      <c r="N873">
        <v>629.98</v>
      </c>
      <c r="O873">
        <v>2.11</v>
      </c>
      <c r="P873">
        <v>21.52</v>
      </c>
      <c r="Q873">
        <v>0.51</v>
      </c>
      <c r="R873">
        <v>0.1</v>
      </c>
      <c r="S873">
        <v>82</v>
      </c>
      <c r="T873">
        <v>3481</v>
      </c>
      <c r="U873">
        <v>17095</v>
      </c>
      <c r="V873">
        <v>185</v>
      </c>
      <c r="W873">
        <v>9.59</v>
      </c>
      <c r="X873" s="10">
        <v>0.90214673423217939</v>
      </c>
      <c r="Y873" s="9">
        <v>3835</v>
      </c>
      <c r="Z873" s="9">
        <v>1765</v>
      </c>
      <c r="AA873" s="9">
        <v>3695</v>
      </c>
      <c r="AB873">
        <v>0.93236714975845414</v>
      </c>
      <c r="AC873" s="11">
        <v>40.553209224784659</v>
      </c>
      <c r="AD873" s="9">
        <v>1595.7937853107344</v>
      </c>
      <c r="AE873" s="8">
        <v>1.0302197802197801</v>
      </c>
    </row>
    <row r="874" spans="1:31" x14ac:dyDescent="0.35">
      <c r="A874" s="6" t="s">
        <v>895</v>
      </c>
      <c r="B874" s="7">
        <v>6</v>
      </c>
      <c r="C874" s="7">
        <v>5</v>
      </c>
      <c r="D874" s="7">
        <v>7</v>
      </c>
      <c r="E874" s="7">
        <v>0</v>
      </c>
      <c r="F874">
        <v>722</v>
      </c>
      <c r="G874">
        <v>33</v>
      </c>
      <c r="H874">
        <v>4.53</v>
      </c>
      <c r="I874">
        <v>38</v>
      </c>
      <c r="J874">
        <v>5.32</v>
      </c>
      <c r="K874">
        <v>699</v>
      </c>
      <c r="L874">
        <v>138</v>
      </c>
      <c r="M874">
        <v>561</v>
      </c>
      <c r="N874">
        <v>1245.98</v>
      </c>
      <c r="O874">
        <v>7.08</v>
      </c>
      <c r="P874">
        <v>10.29</v>
      </c>
      <c r="Q874">
        <v>0.73</v>
      </c>
      <c r="R874">
        <v>0.55000000000000004</v>
      </c>
      <c r="S874">
        <v>470</v>
      </c>
      <c r="T874">
        <v>6666</v>
      </c>
      <c r="U874">
        <v>8826</v>
      </c>
      <c r="V874">
        <v>43</v>
      </c>
      <c r="W874">
        <v>9.4600000000000009</v>
      </c>
      <c r="X874" s="10">
        <v>0.53403507439240061</v>
      </c>
      <c r="Y874" s="9">
        <v>5780</v>
      </c>
      <c r="Z874" s="9">
        <v>4770</v>
      </c>
      <c r="AA874" s="9">
        <v>5780</v>
      </c>
      <c r="AB874">
        <v>1</v>
      </c>
      <c r="AC874" s="11">
        <v>9.9352597943873295</v>
      </c>
      <c r="AD874" s="9">
        <v>4912.9745762711864</v>
      </c>
      <c r="AE874" s="8">
        <v>0.16885743174924167</v>
      </c>
    </row>
    <row r="875" spans="1:31" x14ac:dyDescent="0.35">
      <c r="A875" s="6" t="s">
        <v>896</v>
      </c>
      <c r="B875" s="7">
        <v>10</v>
      </c>
      <c r="C875" s="7">
        <v>5</v>
      </c>
      <c r="D875" s="7">
        <v>3</v>
      </c>
      <c r="E875" s="7">
        <v>0</v>
      </c>
      <c r="F875">
        <v>702</v>
      </c>
      <c r="G875">
        <v>135</v>
      </c>
      <c r="H875">
        <v>19.170000000000002</v>
      </c>
      <c r="I875">
        <v>112</v>
      </c>
      <c r="J875">
        <v>16</v>
      </c>
      <c r="K875">
        <v>869</v>
      </c>
      <c r="L875">
        <v>132</v>
      </c>
      <c r="M875">
        <v>737</v>
      </c>
      <c r="N875">
        <v>1373.61</v>
      </c>
      <c r="O875">
        <v>16.309999999999999</v>
      </c>
      <c r="P875">
        <v>30.52</v>
      </c>
      <c r="Q875">
        <v>5.0999999999999996</v>
      </c>
      <c r="R875">
        <v>4.88</v>
      </c>
      <c r="S875">
        <v>1124</v>
      </c>
      <c r="T875">
        <v>6730</v>
      </c>
      <c r="U875">
        <v>7024</v>
      </c>
      <c r="V875">
        <v>169</v>
      </c>
      <c r="W875">
        <v>20.32</v>
      </c>
      <c r="X875" s="10">
        <v>0.83003487028225598</v>
      </c>
      <c r="Y875" s="9">
        <v>36100</v>
      </c>
      <c r="Z875" s="9">
        <v>27200</v>
      </c>
      <c r="AA875" s="9">
        <v>28100</v>
      </c>
      <c r="AB875">
        <v>0.10112359550561797</v>
      </c>
      <c r="AC875" s="11">
        <v>-115.75993331480969</v>
      </c>
      <c r="AD875" s="9">
        <v>35404.011299435027</v>
      </c>
      <c r="AE875" s="8">
        <v>-0.14977307110438728</v>
      </c>
    </row>
    <row r="876" spans="1:31" x14ac:dyDescent="0.35">
      <c r="A876" s="6" t="s">
        <v>897</v>
      </c>
      <c r="B876" s="7">
        <v>6</v>
      </c>
      <c r="C876" s="7">
        <v>3</v>
      </c>
      <c r="D876" s="7">
        <v>4</v>
      </c>
      <c r="E876" s="7">
        <v>5</v>
      </c>
      <c r="F876">
        <v>402</v>
      </c>
      <c r="G876">
        <v>30</v>
      </c>
      <c r="H876">
        <v>7.57</v>
      </c>
      <c r="I876">
        <v>38</v>
      </c>
      <c r="J876">
        <v>9.5</v>
      </c>
      <c r="K876">
        <v>515</v>
      </c>
      <c r="L876">
        <v>133</v>
      </c>
      <c r="M876">
        <v>382</v>
      </c>
      <c r="N876">
        <v>518.35</v>
      </c>
      <c r="O876">
        <v>10.26</v>
      </c>
      <c r="P876">
        <v>12.84</v>
      </c>
      <c r="Q876">
        <v>1.54</v>
      </c>
      <c r="R876">
        <v>1.22</v>
      </c>
      <c r="S876">
        <v>319</v>
      </c>
      <c r="T876">
        <v>2651</v>
      </c>
      <c r="U876">
        <v>3362</v>
      </c>
      <c r="V876">
        <v>45</v>
      </c>
      <c r="W876">
        <v>10.95</v>
      </c>
      <c r="X876" s="10">
        <v>8.4726522002826363E-2</v>
      </c>
      <c r="Y876" s="9">
        <v>4475</v>
      </c>
      <c r="Z876" s="9">
        <v>3765</v>
      </c>
      <c r="AA876" s="9">
        <v>4100</v>
      </c>
      <c r="AB876">
        <v>0.47183098591549294</v>
      </c>
      <c r="AC876" s="11">
        <v>-2.5734926368435675</v>
      </c>
      <c r="AD876" s="9">
        <v>4200.9915254237285</v>
      </c>
      <c r="AE876" s="8">
        <v>-1.5606242496998799E-2</v>
      </c>
    </row>
    <row r="877" spans="1:31" x14ac:dyDescent="0.35">
      <c r="A877" s="6" t="s">
        <v>898</v>
      </c>
      <c r="B877" s="7">
        <v>12</v>
      </c>
      <c r="C877" s="7">
        <v>1</v>
      </c>
      <c r="D877" s="7">
        <v>3</v>
      </c>
      <c r="E877" s="7">
        <v>2</v>
      </c>
      <c r="F877">
        <v>1905</v>
      </c>
      <c r="G877">
        <v>296</v>
      </c>
      <c r="H877">
        <v>15.53</v>
      </c>
      <c r="I877">
        <v>254</v>
      </c>
      <c r="J877">
        <v>13.33</v>
      </c>
      <c r="K877">
        <v>1578</v>
      </c>
      <c r="L877">
        <v>250</v>
      </c>
      <c r="M877">
        <v>1327</v>
      </c>
      <c r="N877">
        <v>1303.47</v>
      </c>
      <c r="O877">
        <v>20.78</v>
      </c>
      <c r="P877">
        <v>10.6</v>
      </c>
      <c r="Q877">
        <v>2.06</v>
      </c>
      <c r="R877">
        <v>1.41</v>
      </c>
      <c r="S877">
        <v>1326</v>
      </c>
      <c r="T877">
        <v>6835</v>
      </c>
      <c r="U877">
        <v>9944</v>
      </c>
      <c r="V877">
        <v>306</v>
      </c>
      <c r="W877">
        <v>8.81</v>
      </c>
      <c r="X877" s="10">
        <v>8.734191192547118E-2</v>
      </c>
      <c r="Y877" s="9">
        <v>15850</v>
      </c>
      <c r="Z877" s="9">
        <v>12300</v>
      </c>
      <c r="AA877" s="9">
        <v>14350</v>
      </c>
      <c r="AB877">
        <v>0.57746478873239437</v>
      </c>
      <c r="AC877" s="11">
        <v>14.188663517643789</v>
      </c>
      <c r="AD877" s="9">
        <v>13351.41242937853</v>
      </c>
      <c r="AE877" s="8">
        <v>-1.3745704467353952E-2</v>
      </c>
    </row>
    <row r="878" spans="1:31" x14ac:dyDescent="0.35">
      <c r="A878" s="6" t="s">
        <v>899</v>
      </c>
      <c r="B878" s="7">
        <v>1</v>
      </c>
      <c r="C878" s="7">
        <v>0</v>
      </c>
      <c r="D878" s="7">
        <v>8</v>
      </c>
      <c r="E878" s="7">
        <v>9</v>
      </c>
      <c r="F878">
        <v>687</v>
      </c>
      <c r="G878">
        <v>-40</v>
      </c>
      <c r="H878">
        <v>-5.79</v>
      </c>
      <c r="I878">
        <v>-35</v>
      </c>
      <c r="J878">
        <v>-5.08</v>
      </c>
      <c r="K878">
        <v>2140</v>
      </c>
      <c r="L878">
        <v>689</v>
      </c>
      <c r="M878">
        <v>1451</v>
      </c>
      <c r="N878">
        <v>2327.9899999999998</v>
      </c>
      <c r="O878">
        <v>-3.11</v>
      </c>
      <c r="P878">
        <v>0</v>
      </c>
      <c r="Q878">
        <v>0.99</v>
      </c>
      <c r="R878">
        <v>1.1399999999999999</v>
      </c>
      <c r="S878">
        <v>-372</v>
      </c>
      <c r="T878">
        <v>8421</v>
      </c>
      <c r="U878">
        <v>7324</v>
      </c>
      <c r="V878">
        <v>56</v>
      </c>
      <c r="W878">
        <v>24.23</v>
      </c>
      <c r="X878" s="10">
        <v>0.73086144400402586</v>
      </c>
      <c r="Y878" s="9">
        <v>10400</v>
      </c>
      <c r="Z878" s="9">
        <v>7420</v>
      </c>
      <c r="AA878" s="9">
        <v>9980</v>
      </c>
      <c r="AB878">
        <v>0.85906040268456374</v>
      </c>
      <c r="AC878" s="11">
        <v>45.486524034454014</v>
      </c>
      <c r="AD878" s="9">
        <v>7093.6610169491523</v>
      </c>
      <c r="AE878" s="8">
        <v>0.2475</v>
      </c>
    </row>
    <row r="879" spans="1:31" x14ac:dyDescent="0.35">
      <c r="A879" s="6" t="s">
        <v>900</v>
      </c>
      <c r="B879" s="7">
        <v>6</v>
      </c>
      <c r="C879" s="7">
        <v>9</v>
      </c>
      <c r="D879" s="7">
        <v>1</v>
      </c>
      <c r="E879" s="7">
        <v>2</v>
      </c>
      <c r="F879">
        <v>357</v>
      </c>
      <c r="G879">
        <v>53</v>
      </c>
      <c r="H879">
        <v>14.74</v>
      </c>
      <c r="I879">
        <v>37</v>
      </c>
      <c r="J879">
        <v>10.48</v>
      </c>
      <c r="K879">
        <v>748</v>
      </c>
      <c r="L879">
        <v>131</v>
      </c>
      <c r="M879">
        <v>617</v>
      </c>
      <c r="N879">
        <v>4539.76</v>
      </c>
      <c r="O879">
        <v>8.5399999999999991</v>
      </c>
      <c r="P879">
        <v>19.309999999999999</v>
      </c>
      <c r="Q879">
        <v>1.96</v>
      </c>
      <c r="R879">
        <v>2.02</v>
      </c>
      <c r="S879">
        <v>919</v>
      </c>
      <c r="T879">
        <v>9044</v>
      </c>
      <c r="U879">
        <v>8766</v>
      </c>
      <c r="V879">
        <v>66</v>
      </c>
      <c r="W879">
        <v>18.010000000000002</v>
      </c>
      <c r="X879" s="10">
        <v>0.32300593238323677</v>
      </c>
      <c r="Y879" s="9">
        <v>27750</v>
      </c>
      <c r="Z879" s="9">
        <v>16850</v>
      </c>
      <c r="AA879" s="9">
        <v>24750</v>
      </c>
      <c r="AB879">
        <v>0.72477064220183485</v>
      </c>
      <c r="AC879" s="11">
        <v>99.652681300361223</v>
      </c>
      <c r="AD879" s="9">
        <v>20187.25988700565</v>
      </c>
      <c r="AE879" s="8">
        <v>0.46884272997032639</v>
      </c>
    </row>
    <row r="880" spans="1:31" x14ac:dyDescent="0.35">
      <c r="A880" s="6" t="s">
        <v>901</v>
      </c>
      <c r="B880" s="7">
        <v>3</v>
      </c>
      <c r="C880" s="7">
        <v>8</v>
      </c>
      <c r="D880" s="7">
        <v>2</v>
      </c>
      <c r="E880" s="7">
        <v>5</v>
      </c>
      <c r="F880">
        <v>465</v>
      </c>
      <c r="G880">
        <v>13</v>
      </c>
      <c r="H880">
        <v>2.81</v>
      </c>
      <c r="I880">
        <v>5</v>
      </c>
      <c r="J880">
        <v>1.1499999999999999</v>
      </c>
      <c r="K880">
        <v>557</v>
      </c>
      <c r="L880">
        <v>330</v>
      </c>
      <c r="M880">
        <v>227</v>
      </c>
      <c r="N880">
        <v>190.37</v>
      </c>
      <c r="O880">
        <v>4.5</v>
      </c>
      <c r="P880">
        <v>20.79</v>
      </c>
      <c r="Q880">
        <v>0.85</v>
      </c>
      <c r="R880">
        <v>0.24</v>
      </c>
      <c r="S880">
        <v>48</v>
      </c>
      <c r="T880">
        <v>1169</v>
      </c>
      <c r="U880">
        <v>4157</v>
      </c>
      <c r="V880">
        <v>42</v>
      </c>
      <c r="W880">
        <v>9.56</v>
      </c>
      <c r="X880" s="10">
        <v>0.67368157467476131</v>
      </c>
      <c r="Y880" s="9">
        <v>2455</v>
      </c>
      <c r="Z880" s="9">
        <v>1100</v>
      </c>
      <c r="AA880" s="9">
        <v>2315</v>
      </c>
      <c r="AB880">
        <v>0.89667896678966785</v>
      </c>
      <c r="AC880" s="11">
        <v>15.772992497916087</v>
      </c>
      <c r="AD880" s="9">
        <v>1092.4237288135594</v>
      </c>
      <c r="AE880" s="8">
        <v>1.1045454545454545</v>
      </c>
    </row>
    <row r="881" spans="1:31" x14ac:dyDescent="0.35">
      <c r="A881" s="6" t="s">
        <v>902</v>
      </c>
      <c r="B881" s="7">
        <v>4</v>
      </c>
      <c r="C881" s="7">
        <v>5</v>
      </c>
      <c r="D881" s="7">
        <v>4</v>
      </c>
      <c r="E881" s="7">
        <v>5</v>
      </c>
      <c r="F881">
        <v>320</v>
      </c>
      <c r="G881">
        <v>37</v>
      </c>
      <c r="H881">
        <v>11.54</v>
      </c>
      <c r="I881">
        <v>35</v>
      </c>
      <c r="J881">
        <v>10.87</v>
      </c>
      <c r="K881">
        <v>870</v>
      </c>
      <c r="L881">
        <v>275</v>
      </c>
      <c r="M881">
        <v>595</v>
      </c>
      <c r="N881">
        <v>1061.3</v>
      </c>
      <c r="O881">
        <v>7.99</v>
      </c>
      <c r="P881">
        <v>26.87</v>
      </c>
      <c r="Q881">
        <v>2.25</v>
      </c>
      <c r="R881">
        <v>2.92</v>
      </c>
      <c r="S881">
        <v>441</v>
      </c>
      <c r="T881">
        <v>5275</v>
      </c>
      <c r="U881">
        <v>4060</v>
      </c>
      <c r="V881">
        <v>67</v>
      </c>
      <c r="W881">
        <v>19.07</v>
      </c>
      <c r="X881" s="10">
        <v>0.16280326596267541</v>
      </c>
      <c r="Y881" s="9">
        <v>11950</v>
      </c>
      <c r="Z881" s="9">
        <v>8170</v>
      </c>
      <c r="AA881" s="9">
        <v>11700</v>
      </c>
      <c r="AB881">
        <v>0.93386243386243384</v>
      </c>
      <c r="AC881" s="11">
        <v>20.658516254515142</v>
      </c>
      <c r="AD881" s="9">
        <v>8955.2485875706225</v>
      </c>
      <c r="AE881" s="8">
        <v>0.15841584158415842</v>
      </c>
    </row>
    <row r="882" spans="1:31" x14ac:dyDescent="0.35">
      <c r="A882" s="6" t="s">
        <v>903</v>
      </c>
      <c r="B882" s="7">
        <v>6</v>
      </c>
      <c r="C882" s="7">
        <v>5</v>
      </c>
      <c r="D882" s="7">
        <v>2</v>
      </c>
      <c r="E882" s="7">
        <v>5</v>
      </c>
      <c r="F882">
        <v>5</v>
      </c>
      <c r="G882">
        <v>-2</v>
      </c>
      <c r="H882">
        <v>-43.22</v>
      </c>
      <c r="I882">
        <v>61</v>
      </c>
      <c r="J882">
        <v>1189.3</v>
      </c>
      <c r="K882">
        <v>1220</v>
      </c>
      <c r="L882">
        <v>41</v>
      </c>
      <c r="M882">
        <v>1179</v>
      </c>
      <c r="N882">
        <v>1682.82</v>
      </c>
      <c r="O882">
        <v>7.14</v>
      </c>
      <c r="P882">
        <v>8.6300000000000008</v>
      </c>
      <c r="Q882">
        <v>0.6</v>
      </c>
      <c r="R882">
        <v>102.88</v>
      </c>
      <c r="S882">
        <v>620</v>
      </c>
      <c r="T882">
        <v>8862</v>
      </c>
      <c r="U882">
        <v>52</v>
      </c>
      <c r="V882">
        <v>-2</v>
      </c>
      <c r="W882">
        <v>-407.91</v>
      </c>
      <c r="X882" s="10">
        <v>1.2392655937557057E-3</v>
      </c>
      <c r="Y882" s="9">
        <v>5510</v>
      </c>
      <c r="Z882" s="9">
        <v>4270</v>
      </c>
      <c r="AA882" s="9">
        <v>5220</v>
      </c>
      <c r="AB882">
        <v>0.7661290322580645</v>
      </c>
      <c r="AC882" s="11">
        <v>0.59836065573770392</v>
      </c>
      <c r="AD882" s="9">
        <v>4790.833333333333</v>
      </c>
      <c r="AE882" s="8">
        <v>-5.2631578947368418E-2</v>
      </c>
    </row>
    <row r="883" spans="1:31" x14ac:dyDescent="0.35">
      <c r="A883" s="6" t="s">
        <v>904</v>
      </c>
      <c r="B883" s="7">
        <v>5</v>
      </c>
      <c r="C883" s="7">
        <v>0</v>
      </c>
      <c r="D883" s="7">
        <v>11</v>
      </c>
      <c r="E883" s="7">
        <v>2</v>
      </c>
      <c r="F883">
        <v>2219</v>
      </c>
      <c r="G883">
        <v>124</v>
      </c>
      <c r="H883">
        <v>5.6</v>
      </c>
      <c r="I883">
        <v>109</v>
      </c>
      <c r="J883">
        <v>4.9000000000000004</v>
      </c>
      <c r="K883">
        <v>2470</v>
      </c>
      <c r="L883">
        <v>1406</v>
      </c>
      <c r="M883">
        <v>1065</v>
      </c>
      <c r="N883">
        <v>1395.24</v>
      </c>
      <c r="O883">
        <v>14.37</v>
      </c>
      <c r="P883">
        <v>6.01</v>
      </c>
      <c r="Q883">
        <v>0.9</v>
      </c>
      <c r="R883">
        <v>0.28999999999999998</v>
      </c>
      <c r="S883">
        <v>1000</v>
      </c>
      <c r="T883">
        <v>6705</v>
      </c>
      <c r="U883">
        <v>20417</v>
      </c>
      <c r="V883">
        <v>297</v>
      </c>
      <c r="W883">
        <v>5.88</v>
      </c>
      <c r="X883" s="10">
        <v>0.80771046062916108</v>
      </c>
      <c r="Y883" s="9">
        <v>10250</v>
      </c>
      <c r="Z883" s="9">
        <v>7530</v>
      </c>
      <c r="AA883" s="9">
        <v>9600</v>
      </c>
      <c r="AB883">
        <v>0.76102941176470584</v>
      </c>
      <c r="AC883" s="11">
        <v>33.968046679633233</v>
      </c>
      <c r="AD883" s="9">
        <v>8070.4745762711864</v>
      </c>
      <c r="AE883" s="8">
        <v>0.27490039840637448</v>
      </c>
    </row>
    <row r="884" spans="1:31" x14ac:dyDescent="0.35">
      <c r="A884" s="6" t="s">
        <v>905</v>
      </c>
      <c r="B884" s="7">
        <v>0</v>
      </c>
      <c r="C884" s="7">
        <v>1</v>
      </c>
      <c r="D884" s="7">
        <v>6</v>
      </c>
      <c r="E884" s="7">
        <v>11</v>
      </c>
      <c r="F884">
        <v>4951</v>
      </c>
      <c r="G884">
        <v>11</v>
      </c>
      <c r="H884">
        <v>0.23</v>
      </c>
      <c r="I884">
        <v>-74</v>
      </c>
      <c r="J884">
        <v>-1.49</v>
      </c>
      <c r="K884">
        <v>5356</v>
      </c>
      <c r="L884">
        <v>3944</v>
      </c>
      <c r="M884">
        <v>1413</v>
      </c>
      <c r="N884">
        <v>2135.69</v>
      </c>
      <c r="O884">
        <v>-4.97</v>
      </c>
      <c r="P884">
        <v>0</v>
      </c>
      <c r="Q884">
        <v>1.29</v>
      </c>
      <c r="R884">
        <v>0.3</v>
      </c>
      <c r="S884">
        <v>-572</v>
      </c>
      <c r="T884">
        <v>8975</v>
      </c>
      <c r="U884">
        <v>38482</v>
      </c>
      <c r="V884">
        <v>101</v>
      </c>
      <c r="W884">
        <v>38.67</v>
      </c>
      <c r="X884" s="10">
        <v>0.1777582165038975</v>
      </c>
      <c r="Y884" s="9">
        <v>12350</v>
      </c>
      <c r="Z884" s="9">
        <v>10400</v>
      </c>
      <c r="AA884" s="9">
        <v>12350</v>
      </c>
      <c r="AB884">
        <v>1</v>
      </c>
      <c r="AC884" s="11">
        <v>10.58488469019172</v>
      </c>
      <c r="AD884" s="9">
        <v>10854.661016949152</v>
      </c>
      <c r="AE884" s="8">
        <v>9.7777777777777783E-2</v>
      </c>
    </row>
    <row r="885" spans="1:31" x14ac:dyDescent="0.35">
      <c r="A885" s="6" t="s">
        <v>906</v>
      </c>
      <c r="B885" s="7">
        <v>4</v>
      </c>
      <c r="C885" s="7">
        <v>5</v>
      </c>
      <c r="D885" s="7">
        <v>9</v>
      </c>
      <c r="E885" s="7">
        <v>0</v>
      </c>
      <c r="F885">
        <v>600</v>
      </c>
      <c r="G885">
        <v>61</v>
      </c>
      <c r="H885">
        <v>10.08</v>
      </c>
      <c r="I885">
        <v>16</v>
      </c>
      <c r="J885">
        <v>2.74</v>
      </c>
      <c r="K885">
        <v>946</v>
      </c>
      <c r="L885">
        <v>378</v>
      </c>
      <c r="M885">
        <v>568</v>
      </c>
      <c r="N885">
        <v>1304.75</v>
      </c>
      <c r="O885">
        <v>2.94</v>
      </c>
      <c r="P885">
        <v>28.49</v>
      </c>
      <c r="Q885">
        <v>0.85</v>
      </c>
      <c r="R885">
        <v>0.78</v>
      </c>
      <c r="S885">
        <v>205</v>
      </c>
      <c r="T885">
        <v>6883</v>
      </c>
      <c r="U885">
        <v>7478</v>
      </c>
      <c r="V885">
        <v>80</v>
      </c>
      <c r="W885">
        <v>8.56</v>
      </c>
      <c r="X885" s="10">
        <v>0.50643070359242459</v>
      </c>
      <c r="Y885" s="9">
        <v>6310</v>
      </c>
      <c r="Z885" s="9">
        <v>5440</v>
      </c>
      <c r="AA885" s="9">
        <v>6130</v>
      </c>
      <c r="AB885">
        <v>0.7931034482758621</v>
      </c>
      <c r="AC885" s="11">
        <v>11.273964990275076</v>
      </c>
      <c r="AD885" s="9">
        <v>5448.6440677966102</v>
      </c>
      <c r="AE885" s="8">
        <v>5.3264604810996562E-2</v>
      </c>
    </row>
    <row r="886" spans="1:31" x14ac:dyDescent="0.35">
      <c r="A886" s="6" t="s">
        <v>907</v>
      </c>
      <c r="B886" s="7">
        <v>2</v>
      </c>
      <c r="C886" s="7">
        <v>13</v>
      </c>
      <c r="D886" s="7">
        <v>3</v>
      </c>
      <c r="E886" s="7">
        <v>0</v>
      </c>
      <c r="F886">
        <v>410</v>
      </c>
      <c r="G886">
        <v>47</v>
      </c>
      <c r="H886">
        <v>11.47</v>
      </c>
      <c r="I886">
        <v>49</v>
      </c>
      <c r="J886">
        <v>11.9</v>
      </c>
      <c r="K886">
        <v>828</v>
      </c>
      <c r="L886">
        <v>114</v>
      </c>
      <c r="M886">
        <v>714</v>
      </c>
      <c r="N886">
        <v>1010.03</v>
      </c>
      <c r="O886">
        <v>14.42</v>
      </c>
      <c r="P886">
        <v>10.93</v>
      </c>
      <c r="Q886">
        <v>1.61</v>
      </c>
      <c r="R886">
        <v>1.3</v>
      </c>
      <c r="S886">
        <v>762</v>
      </c>
      <c r="T886">
        <v>5164</v>
      </c>
      <c r="U886">
        <v>6406</v>
      </c>
      <c r="V886">
        <v>125</v>
      </c>
      <c r="W886">
        <v>8.57</v>
      </c>
      <c r="X886" s="10">
        <v>6.1873232030077953E-3</v>
      </c>
      <c r="Y886" s="9">
        <v>9290</v>
      </c>
      <c r="Z886" s="9">
        <v>8330</v>
      </c>
      <c r="AA886" s="9">
        <v>8670</v>
      </c>
      <c r="AB886">
        <v>0.35416666666666669</v>
      </c>
      <c r="AC886" s="11">
        <v>0.99583217560433457</v>
      </c>
      <c r="AD886" s="9">
        <v>8798.960451977402</v>
      </c>
      <c r="AE886" s="8">
        <v>0.02</v>
      </c>
    </row>
    <row r="887" spans="1:31" x14ac:dyDescent="0.35">
      <c r="A887" s="6" t="s">
        <v>908</v>
      </c>
      <c r="B887" s="7">
        <v>1</v>
      </c>
      <c r="C887" s="7">
        <v>9</v>
      </c>
      <c r="D887" s="7">
        <v>4</v>
      </c>
      <c r="E887" s="7">
        <v>4</v>
      </c>
      <c r="F887">
        <v>689</v>
      </c>
      <c r="G887">
        <v>19</v>
      </c>
      <c r="H887">
        <v>2.74</v>
      </c>
      <c r="I887">
        <v>10</v>
      </c>
      <c r="J887">
        <v>1.48</v>
      </c>
      <c r="K887">
        <v>1436</v>
      </c>
      <c r="L887">
        <v>661</v>
      </c>
      <c r="M887">
        <v>776</v>
      </c>
      <c r="N887">
        <v>285.14999999999998</v>
      </c>
      <c r="O887">
        <v>1.92</v>
      </c>
      <c r="P887">
        <v>28.37</v>
      </c>
      <c r="Q887">
        <v>0.79</v>
      </c>
      <c r="R887">
        <v>0.41</v>
      </c>
      <c r="S887">
        <v>49</v>
      </c>
      <c r="T887">
        <v>1756</v>
      </c>
      <c r="U887">
        <v>3352</v>
      </c>
      <c r="V887">
        <v>38</v>
      </c>
      <c r="W887">
        <v>21.59</v>
      </c>
      <c r="X887" s="10">
        <v>1.9160045485706885E-2</v>
      </c>
      <c r="Y887" s="9">
        <v>1480</v>
      </c>
      <c r="Z887" s="9">
        <v>1320</v>
      </c>
      <c r="AA887" s="9">
        <v>1405</v>
      </c>
      <c r="AB887">
        <v>0.53125</v>
      </c>
      <c r="AC887" s="11">
        <v>-0.27188107807724365</v>
      </c>
      <c r="AD887" s="9">
        <v>1399.8757062146892</v>
      </c>
      <c r="AE887" s="8">
        <v>5.6390977443609019E-2</v>
      </c>
    </row>
    <row r="888" spans="1:31" x14ac:dyDescent="0.35">
      <c r="A888" s="6" t="s">
        <v>909</v>
      </c>
      <c r="B888" s="7">
        <v>3</v>
      </c>
      <c r="C888" s="7">
        <v>11</v>
      </c>
      <c r="D888" s="7">
        <v>3</v>
      </c>
      <c r="E888" s="7">
        <v>1</v>
      </c>
      <c r="F888">
        <v>567</v>
      </c>
      <c r="G888">
        <v>15</v>
      </c>
      <c r="H888">
        <v>2.69</v>
      </c>
      <c r="I888">
        <v>21</v>
      </c>
      <c r="J888">
        <v>3.73</v>
      </c>
      <c r="K888">
        <v>1030</v>
      </c>
      <c r="L888">
        <v>469</v>
      </c>
      <c r="M888">
        <v>562</v>
      </c>
      <c r="N888">
        <v>733.02</v>
      </c>
      <c r="O888">
        <v>7.72</v>
      </c>
      <c r="P888">
        <v>10.89</v>
      </c>
      <c r="Q888">
        <v>0.84</v>
      </c>
      <c r="R888">
        <v>0.41</v>
      </c>
      <c r="S888">
        <v>314</v>
      </c>
      <c r="T888">
        <v>4059</v>
      </c>
      <c r="U888">
        <v>8416</v>
      </c>
      <c r="V888">
        <v>52</v>
      </c>
      <c r="W888">
        <v>12.14</v>
      </c>
      <c r="X888" s="10">
        <v>0.80547726998980895</v>
      </c>
      <c r="Y888" s="9">
        <v>4330</v>
      </c>
      <c r="Z888" s="9">
        <v>3355</v>
      </c>
      <c r="AA888" s="9">
        <v>4190</v>
      </c>
      <c r="AB888">
        <v>0.85641025641025637</v>
      </c>
      <c r="AC888" s="11">
        <v>16.042650736315647</v>
      </c>
      <c r="AD888" s="9">
        <v>3232.2824858757062</v>
      </c>
      <c r="AE888" s="8">
        <v>0.23054331864904551</v>
      </c>
    </row>
    <row r="889" spans="1:31" x14ac:dyDescent="0.35">
      <c r="A889" s="6" t="s">
        <v>910</v>
      </c>
      <c r="B889" s="7">
        <v>1</v>
      </c>
      <c r="C889" s="7">
        <v>12</v>
      </c>
      <c r="D889" s="7">
        <v>4</v>
      </c>
      <c r="E889" s="7">
        <v>1</v>
      </c>
      <c r="F889">
        <v>345</v>
      </c>
      <c r="G889">
        <v>25</v>
      </c>
      <c r="H889">
        <v>7.34</v>
      </c>
      <c r="I889">
        <v>13</v>
      </c>
      <c r="J889">
        <v>3.74</v>
      </c>
      <c r="K889">
        <v>512</v>
      </c>
      <c r="L889">
        <v>200</v>
      </c>
      <c r="M889">
        <v>313</v>
      </c>
      <c r="N889">
        <v>291.3</v>
      </c>
      <c r="O889">
        <v>4.22</v>
      </c>
      <c r="P889">
        <v>62.41</v>
      </c>
      <c r="Q889">
        <v>2.72</v>
      </c>
      <c r="R889">
        <v>2.35</v>
      </c>
      <c r="S889">
        <v>79</v>
      </c>
      <c r="T889">
        <v>1812</v>
      </c>
      <c r="U889">
        <v>2098</v>
      </c>
      <c r="V889">
        <v>30</v>
      </c>
      <c r="W889">
        <v>26.99</v>
      </c>
      <c r="X889" s="10">
        <v>0.44437588623177737</v>
      </c>
      <c r="Y889" s="9">
        <v>5510</v>
      </c>
      <c r="Z889" s="9">
        <v>4865</v>
      </c>
      <c r="AA889" s="9">
        <v>5500</v>
      </c>
      <c r="AB889">
        <v>0.98449612403100772</v>
      </c>
      <c r="AC889" s="11">
        <v>6.4730480689080307</v>
      </c>
      <c r="AD889" s="9">
        <v>5014.4887005649716</v>
      </c>
      <c r="AE889" s="8">
        <v>0.11788617886178862</v>
      </c>
    </row>
    <row r="890" spans="1:31" x14ac:dyDescent="0.35">
      <c r="A890" s="6" t="s">
        <v>911</v>
      </c>
      <c r="B890" s="7">
        <v>5</v>
      </c>
      <c r="C890" s="7">
        <v>0</v>
      </c>
      <c r="D890" s="7">
        <v>13</v>
      </c>
      <c r="E890" s="7">
        <v>0</v>
      </c>
      <c r="F890">
        <v>747</v>
      </c>
      <c r="G890">
        <v>130</v>
      </c>
      <c r="H890">
        <v>17.440000000000001</v>
      </c>
      <c r="I890">
        <v>130</v>
      </c>
      <c r="J890">
        <v>17.440000000000001</v>
      </c>
      <c r="K890">
        <v>1092</v>
      </c>
      <c r="L890">
        <v>129</v>
      </c>
      <c r="M890">
        <v>963</v>
      </c>
      <c r="N890">
        <v>1866.69</v>
      </c>
      <c r="O890">
        <v>14.34</v>
      </c>
      <c r="P890">
        <v>7.68</v>
      </c>
      <c r="Q890">
        <v>1.1299999999999999</v>
      </c>
      <c r="R890">
        <v>1.34</v>
      </c>
      <c r="S890">
        <v>1380</v>
      </c>
      <c r="T890">
        <v>9342</v>
      </c>
      <c r="U890">
        <v>7910</v>
      </c>
      <c r="V890">
        <v>151</v>
      </c>
      <c r="W890">
        <v>7.17</v>
      </c>
      <c r="X890" s="10">
        <v>0.69104798059497519</v>
      </c>
      <c r="Y890" s="9">
        <v>12950</v>
      </c>
      <c r="Z890" s="9">
        <v>10500</v>
      </c>
      <c r="AA890" s="9">
        <v>12250</v>
      </c>
      <c r="AB890">
        <v>0.7142857142857143</v>
      </c>
      <c r="AC890" s="11">
        <v>29.146985273687136</v>
      </c>
      <c r="AD890" s="9">
        <v>10554.350282485877</v>
      </c>
      <c r="AE890" s="8">
        <v>0.16666666666666666</v>
      </c>
    </row>
    <row r="891" spans="1:31" x14ac:dyDescent="0.35">
      <c r="A891" s="6" t="s">
        <v>912</v>
      </c>
      <c r="B891" s="7">
        <v>9</v>
      </c>
      <c r="C891" s="7">
        <v>0</v>
      </c>
      <c r="D891" s="7">
        <v>8</v>
      </c>
      <c r="E891" s="7">
        <v>1</v>
      </c>
      <c r="F891">
        <v>243</v>
      </c>
      <c r="G891">
        <v>11</v>
      </c>
      <c r="H891">
        <v>4.71</v>
      </c>
      <c r="I891">
        <v>15</v>
      </c>
      <c r="J891">
        <v>6.11</v>
      </c>
      <c r="K891">
        <v>461</v>
      </c>
      <c r="L891">
        <v>136</v>
      </c>
      <c r="M891">
        <v>325</v>
      </c>
      <c r="N891">
        <v>582.66</v>
      </c>
      <c r="O891">
        <v>6.22</v>
      </c>
      <c r="P891">
        <v>19.16</v>
      </c>
      <c r="Q891">
        <v>1.53</v>
      </c>
      <c r="R891">
        <v>1.18</v>
      </c>
      <c r="S891">
        <v>83</v>
      </c>
      <c r="T891">
        <v>1037</v>
      </c>
      <c r="U891">
        <v>1353</v>
      </c>
      <c r="V891">
        <v>32</v>
      </c>
      <c r="W891">
        <v>12.03</v>
      </c>
      <c r="X891" s="10">
        <v>0.72726321684616613</v>
      </c>
      <c r="Y891" s="9">
        <v>2185</v>
      </c>
      <c r="Z891" s="9">
        <v>1490</v>
      </c>
      <c r="AA891" s="9">
        <v>1900</v>
      </c>
      <c r="AB891">
        <v>0.58992805755395683</v>
      </c>
      <c r="AC891" s="11">
        <v>9.4383161989441504</v>
      </c>
      <c r="AD891" s="9">
        <v>1466.3813559322034</v>
      </c>
      <c r="AE891" s="8">
        <v>0.27516778523489932</v>
      </c>
    </row>
    <row r="892" spans="1:31" x14ac:dyDescent="0.35">
      <c r="A892" s="6" t="s">
        <v>913</v>
      </c>
      <c r="B892" s="7">
        <v>6</v>
      </c>
      <c r="C892" s="7">
        <v>2</v>
      </c>
      <c r="D892" s="7">
        <v>2</v>
      </c>
      <c r="E892" s="7">
        <v>8</v>
      </c>
      <c r="F892">
        <v>8199</v>
      </c>
      <c r="G892">
        <v>418</v>
      </c>
      <c r="H892">
        <v>5.0999999999999996</v>
      </c>
      <c r="I892">
        <v>377</v>
      </c>
      <c r="J892">
        <v>4.5999999999999996</v>
      </c>
      <c r="K892">
        <v>5785</v>
      </c>
      <c r="L892">
        <v>945</v>
      </c>
      <c r="M892">
        <v>4840</v>
      </c>
      <c r="N892">
        <v>918</v>
      </c>
      <c r="O892">
        <v>7.94</v>
      </c>
      <c r="P892">
        <v>17.7</v>
      </c>
      <c r="Q892">
        <v>1.54</v>
      </c>
      <c r="R892">
        <v>0.81</v>
      </c>
      <c r="S892">
        <v>4261</v>
      </c>
      <c r="T892">
        <v>48917</v>
      </c>
      <c r="U892">
        <v>92727</v>
      </c>
      <c r="V892">
        <v>661</v>
      </c>
      <c r="W892">
        <v>11.24</v>
      </c>
      <c r="X892" s="10">
        <v>0.34848220535580726</v>
      </c>
      <c r="Y892" s="9">
        <v>79000</v>
      </c>
      <c r="Z892" s="9">
        <v>66900</v>
      </c>
      <c r="AA892" s="9">
        <v>79000</v>
      </c>
      <c r="AB892">
        <v>1</v>
      </c>
      <c r="AC892" s="11">
        <v>102.41733814948599</v>
      </c>
      <c r="AD892" s="9">
        <v>69662.937853107345</v>
      </c>
      <c r="AE892" s="8">
        <v>1.935483870967742E-2</v>
      </c>
    </row>
    <row r="893" spans="1:31" x14ac:dyDescent="0.35">
      <c r="A893" s="6" t="s">
        <v>914</v>
      </c>
      <c r="B893" s="7">
        <v>4</v>
      </c>
      <c r="C893" s="7">
        <v>10</v>
      </c>
      <c r="D893" s="7">
        <v>4</v>
      </c>
      <c r="E893" s="7">
        <v>0</v>
      </c>
      <c r="F893">
        <v>504</v>
      </c>
      <c r="G893">
        <v>25</v>
      </c>
      <c r="H893">
        <v>4.95</v>
      </c>
      <c r="I893">
        <v>30</v>
      </c>
      <c r="J893">
        <v>6.02</v>
      </c>
      <c r="K893">
        <v>536</v>
      </c>
      <c r="L893">
        <v>175</v>
      </c>
      <c r="M893">
        <v>361</v>
      </c>
      <c r="N893">
        <v>1078.32</v>
      </c>
      <c r="O893">
        <v>8.7799999999999994</v>
      </c>
      <c r="P893">
        <v>7.88</v>
      </c>
      <c r="Q893">
        <v>0.72</v>
      </c>
      <c r="R893">
        <v>0.47</v>
      </c>
      <c r="S893">
        <v>517</v>
      </c>
      <c r="T893">
        <v>5690</v>
      </c>
      <c r="U893">
        <v>8584</v>
      </c>
      <c r="V893">
        <v>37</v>
      </c>
      <c r="W893">
        <v>7.05</v>
      </c>
      <c r="X893" s="10">
        <v>0.75902685486665533</v>
      </c>
      <c r="Y893" s="9">
        <v>4715</v>
      </c>
      <c r="Z893" s="9">
        <v>3830</v>
      </c>
      <c r="AA893" s="9">
        <v>4580</v>
      </c>
      <c r="AB893">
        <v>0.84745762711864403</v>
      </c>
      <c r="AC893" s="11">
        <v>11.288830230619617</v>
      </c>
      <c r="AD893" s="9">
        <v>3914.9406779661017</v>
      </c>
      <c r="AE893" s="8">
        <v>0.12254901960784313</v>
      </c>
    </row>
    <row r="894" spans="1:31" x14ac:dyDescent="0.35">
      <c r="A894" s="6" t="s">
        <v>915</v>
      </c>
      <c r="B894" s="7">
        <v>5</v>
      </c>
      <c r="C894" s="7">
        <v>0</v>
      </c>
      <c r="D894" s="7">
        <v>2</v>
      </c>
      <c r="E894" s="7">
        <v>11</v>
      </c>
      <c r="F894">
        <v>253</v>
      </c>
      <c r="G894">
        <v>6</v>
      </c>
      <c r="H894">
        <v>2.19</v>
      </c>
      <c r="I894">
        <v>9</v>
      </c>
      <c r="J894">
        <v>3.52</v>
      </c>
      <c r="K894">
        <v>466</v>
      </c>
      <c r="L894">
        <v>63</v>
      </c>
      <c r="M894">
        <v>403</v>
      </c>
      <c r="N894">
        <v>1275.54</v>
      </c>
      <c r="O894">
        <v>2.37</v>
      </c>
      <c r="P894">
        <v>20.16</v>
      </c>
      <c r="Q894">
        <v>0.46</v>
      </c>
      <c r="R894">
        <v>0.71</v>
      </c>
      <c r="S894">
        <v>153</v>
      </c>
      <c r="T894">
        <v>6704</v>
      </c>
      <c r="U894">
        <v>4353</v>
      </c>
      <c r="V894">
        <v>16</v>
      </c>
      <c r="W894">
        <v>11.5</v>
      </c>
      <c r="X894" s="10">
        <v>0.8171735571644313</v>
      </c>
      <c r="Y894" s="9">
        <v>4650</v>
      </c>
      <c r="Z894" s="9">
        <v>2925</v>
      </c>
      <c r="AA894" s="9">
        <v>4320</v>
      </c>
      <c r="AB894">
        <v>0.80869565217391304</v>
      </c>
      <c r="AC894" s="11">
        <v>27.258127257571545</v>
      </c>
      <c r="AD894" s="9">
        <v>2672.2937853107342</v>
      </c>
      <c r="AE894" s="8">
        <v>0.39805825242718446</v>
      </c>
    </row>
    <row r="895" spans="1:31" x14ac:dyDescent="0.35">
      <c r="A895" s="6" t="s">
        <v>916</v>
      </c>
      <c r="B895" s="7">
        <v>2</v>
      </c>
      <c r="C895" s="7">
        <v>5</v>
      </c>
      <c r="D895" s="7">
        <v>7</v>
      </c>
      <c r="E895" s="7">
        <v>4</v>
      </c>
      <c r="F895">
        <v>553</v>
      </c>
      <c r="G895">
        <v>43</v>
      </c>
      <c r="H895">
        <v>7.78</v>
      </c>
      <c r="I895">
        <v>36</v>
      </c>
      <c r="J895">
        <v>6.45</v>
      </c>
      <c r="K895">
        <v>660</v>
      </c>
      <c r="L895">
        <v>59</v>
      </c>
      <c r="M895">
        <v>601</v>
      </c>
      <c r="N895">
        <v>993.84</v>
      </c>
      <c r="O895">
        <v>5.88</v>
      </c>
      <c r="P895">
        <v>36.36</v>
      </c>
      <c r="Q895">
        <v>2.2400000000000002</v>
      </c>
      <c r="R895">
        <v>2.35</v>
      </c>
      <c r="S895">
        <v>308</v>
      </c>
      <c r="T895">
        <v>5005</v>
      </c>
      <c r="U895">
        <v>4770</v>
      </c>
      <c r="V895">
        <v>54</v>
      </c>
      <c r="W895">
        <v>23.94</v>
      </c>
      <c r="X895" s="10">
        <v>5.1205955420933081E-3</v>
      </c>
      <c r="Y895" s="9">
        <v>12000</v>
      </c>
      <c r="Z895" s="9">
        <v>9730</v>
      </c>
      <c r="AA895" s="9">
        <v>11150</v>
      </c>
      <c r="AB895">
        <v>0.62555066079295152</v>
      </c>
      <c r="AC895" s="11">
        <v>2.0561267018616283</v>
      </c>
      <c r="AD895" s="9">
        <v>10567.28813559322</v>
      </c>
      <c r="AE895" s="8">
        <v>1.3636363636363636E-2</v>
      </c>
    </row>
    <row r="896" spans="1:31" x14ac:dyDescent="0.35">
      <c r="A896" s="6" t="s">
        <v>917</v>
      </c>
      <c r="B896" s="7">
        <v>6</v>
      </c>
      <c r="C896" s="7">
        <v>6</v>
      </c>
      <c r="D896" s="7">
        <v>4</v>
      </c>
      <c r="E896" s="7">
        <v>2</v>
      </c>
      <c r="F896">
        <v>4058</v>
      </c>
      <c r="G896">
        <v>46</v>
      </c>
      <c r="H896">
        <v>1.1299999999999999</v>
      </c>
      <c r="I896">
        <v>26</v>
      </c>
      <c r="J896">
        <v>0.63</v>
      </c>
      <c r="K896">
        <v>2696</v>
      </c>
      <c r="L896">
        <v>1343</v>
      </c>
      <c r="M896">
        <v>1353</v>
      </c>
      <c r="N896">
        <v>353.79</v>
      </c>
      <c r="O896">
        <v>1.91</v>
      </c>
      <c r="P896">
        <v>27.74</v>
      </c>
      <c r="Q896">
        <v>0.53</v>
      </c>
      <c r="R896">
        <v>0.17</v>
      </c>
      <c r="S896">
        <v>429</v>
      </c>
      <c r="T896">
        <v>22495</v>
      </c>
      <c r="U896">
        <v>68040</v>
      </c>
      <c r="V896">
        <v>79</v>
      </c>
      <c r="W896">
        <v>17.100000000000001</v>
      </c>
      <c r="X896" s="10">
        <v>0.75842735178175391</v>
      </c>
      <c r="Y896" s="9">
        <v>18050</v>
      </c>
      <c r="Z896" s="9">
        <v>11150</v>
      </c>
      <c r="AA896" s="9">
        <v>17200</v>
      </c>
      <c r="AB896">
        <v>0.87681159420289856</v>
      </c>
      <c r="AC896" s="11">
        <v>93.312031119755474</v>
      </c>
      <c r="AD896" s="9">
        <v>10975.649717514123</v>
      </c>
      <c r="AE896" s="8">
        <v>0.4098360655737705</v>
      </c>
    </row>
    <row r="897" spans="1:31" x14ac:dyDescent="0.35">
      <c r="A897" s="6" t="s">
        <v>918</v>
      </c>
      <c r="B897" s="7">
        <v>3</v>
      </c>
      <c r="C897" s="7">
        <v>11</v>
      </c>
      <c r="D897" s="7">
        <v>3</v>
      </c>
      <c r="E897" s="7">
        <v>1</v>
      </c>
      <c r="F897">
        <v>4047</v>
      </c>
      <c r="G897">
        <v>189</v>
      </c>
      <c r="H897">
        <v>4.66</v>
      </c>
      <c r="I897">
        <v>49</v>
      </c>
      <c r="J897">
        <v>1.2</v>
      </c>
      <c r="K897">
        <v>5357</v>
      </c>
      <c r="L897">
        <v>3197</v>
      </c>
      <c r="M897">
        <v>2160</v>
      </c>
      <c r="N897">
        <v>764.75</v>
      </c>
      <c r="O897">
        <v>2.2799999999999998</v>
      </c>
      <c r="P897">
        <v>40.369999999999997</v>
      </c>
      <c r="Q897">
        <v>0.93</v>
      </c>
      <c r="R897">
        <v>0.49</v>
      </c>
      <c r="S897">
        <v>986</v>
      </c>
      <c r="T897">
        <v>42863</v>
      </c>
      <c r="U897">
        <v>81842</v>
      </c>
      <c r="V897">
        <v>273</v>
      </c>
      <c r="W897">
        <v>16.78</v>
      </c>
      <c r="X897" s="10">
        <v>0.79588767992927634</v>
      </c>
      <c r="Y897" s="9">
        <v>87900</v>
      </c>
      <c r="Z897" s="9">
        <v>39800</v>
      </c>
      <c r="AA897" s="9">
        <v>87900</v>
      </c>
      <c r="AB897">
        <v>1</v>
      </c>
      <c r="AC897" s="11">
        <v>658.50514031675471</v>
      </c>
      <c r="AD897" s="9">
        <v>32835.593220338982</v>
      </c>
      <c r="AE897" s="8">
        <v>1.1784386617100371</v>
      </c>
    </row>
    <row r="898" spans="1:31" x14ac:dyDescent="0.35">
      <c r="A898" s="6" t="s">
        <v>919</v>
      </c>
      <c r="B898" s="7">
        <v>3</v>
      </c>
      <c r="C898" s="7">
        <v>11</v>
      </c>
      <c r="D898" s="7">
        <v>2</v>
      </c>
      <c r="E898" s="7">
        <v>2</v>
      </c>
      <c r="F898">
        <v>2632</v>
      </c>
      <c r="G898">
        <v>119</v>
      </c>
      <c r="H898">
        <v>4.53</v>
      </c>
      <c r="I898">
        <v>77</v>
      </c>
      <c r="J898">
        <v>2.92</v>
      </c>
      <c r="K898">
        <v>2423</v>
      </c>
      <c r="L898">
        <v>777</v>
      </c>
      <c r="M898">
        <v>1646</v>
      </c>
      <c r="N898">
        <v>856.02</v>
      </c>
      <c r="O898">
        <v>4.79</v>
      </c>
      <c r="P898">
        <v>14.33</v>
      </c>
      <c r="Q898">
        <v>0.68</v>
      </c>
      <c r="R898">
        <v>0.42</v>
      </c>
      <c r="S898">
        <v>446</v>
      </c>
      <c r="T898">
        <v>9439</v>
      </c>
      <c r="U898">
        <v>15288</v>
      </c>
      <c r="V898">
        <v>160</v>
      </c>
      <c r="W898">
        <v>9.5</v>
      </c>
      <c r="X898" s="10">
        <v>0.62478002267903576</v>
      </c>
      <c r="Y898" s="9">
        <v>7850</v>
      </c>
      <c r="Z898" s="9">
        <v>6240</v>
      </c>
      <c r="AA898" s="9">
        <v>7390</v>
      </c>
      <c r="AB898">
        <v>0.7142857142857143</v>
      </c>
      <c r="AC898" s="11">
        <v>24.202278410669631</v>
      </c>
      <c r="AD898" s="9">
        <v>6384.8305084745762</v>
      </c>
      <c r="AE898" s="8">
        <v>0.18429487179487181</v>
      </c>
    </row>
    <row r="899" spans="1:31" x14ac:dyDescent="0.35">
      <c r="A899" s="6" t="s">
        <v>920</v>
      </c>
      <c r="B899" s="7">
        <v>0</v>
      </c>
      <c r="C899" s="7">
        <v>3</v>
      </c>
      <c r="D899" s="7">
        <v>8</v>
      </c>
      <c r="E899" s="7">
        <v>7</v>
      </c>
      <c r="F899">
        <v>1118</v>
      </c>
      <c r="G899">
        <v>-58</v>
      </c>
      <c r="H899">
        <v>-5.19</v>
      </c>
      <c r="I899">
        <v>-30</v>
      </c>
      <c r="J899">
        <v>-2.67</v>
      </c>
      <c r="K899">
        <v>1733</v>
      </c>
      <c r="L899">
        <v>994</v>
      </c>
      <c r="M899">
        <v>739</v>
      </c>
      <c r="N899">
        <v>239.05</v>
      </c>
      <c r="O899">
        <v>-3.98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 s="10">
        <v>0.61034397952498309</v>
      </c>
      <c r="Y899" s="9">
        <v>11800</v>
      </c>
      <c r="Z899" s="9">
        <v>7960</v>
      </c>
      <c r="AA899" s="9">
        <v>10650</v>
      </c>
      <c r="AB899">
        <v>0.70052083333333337</v>
      </c>
      <c r="AC899" s="11">
        <v>45.132258960822448</v>
      </c>
      <c r="AD899" s="9">
        <v>7333.6327683615818</v>
      </c>
      <c r="AE899" s="8">
        <v>0.32462686567164178</v>
      </c>
    </row>
    <row r="900" spans="1:31" x14ac:dyDescent="0.35">
      <c r="A900" s="6" t="s">
        <v>921</v>
      </c>
      <c r="B900" s="7">
        <v>2</v>
      </c>
      <c r="C900" s="7">
        <v>14</v>
      </c>
      <c r="D900" s="7">
        <v>0</v>
      </c>
      <c r="E900" s="7">
        <v>2</v>
      </c>
      <c r="F900">
        <v>6297</v>
      </c>
      <c r="G900">
        <v>147</v>
      </c>
      <c r="H900">
        <v>2.33</v>
      </c>
      <c r="I900">
        <v>97</v>
      </c>
      <c r="J900">
        <v>1.55</v>
      </c>
      <c r="K900">
        <v>2867</v>
      </c>
      <c r="L900">
        <v>1796</v>
      </c>
      <c r="M900">
        <v>1070</v>
      </c>
      <c r="N900">
        <v>199.09</v>
      </c>
      <c r="O900">
        <v>9.7200000000000006</v>
      </c>
      <c r="P900">
        <v>9.2200000000000006</v>
      </c>
      <c r="Q900">
        <v>0.84</v>
      </c>
      <c r="R900">
        <v>0.14000000000000001</v>
      </c>
      <c r="S900">
        <v>1361</v>
      </c>
      <c r="T900">
        <v>14881</v>
      </c>
      <c r="U900">
        <v>87959</v>
      </c>
      <c r="V900">
        <v>174</v>
      </c>
      <c r="W900">
        <v>10.45</v>
      </c>
      <c r="X900" s="10">
        <v>0.64806089331831307</v>
      </c>
      <c r="Y900" s="9">
        <v>16400</v>
      </c>
      <c r="Z900" s="9">
        <v>11600</v>
      </c>
      <c r="AA900" s="9">
        <v>16400</v>
      </c>
      <c r="AB900">
        <v>1</v>
      </c>
      <c r="AC900" s="11">
        <v>58.789941650458474</v>
      </c>
      <c r="AD900" s="9">
        <v>12102.74011299435</v>
      </c>
      <c r="AE900" s="8">
        <v>0.30677290836653387</v>
      </c>
    </row>
    <row r="901" spans="1:31" x14ac:dyDescent="0.35">
      <c r="A901" s="6" t="s">
        <v>922</v>
      </c>
      <c r="B901" s="7">
        <v>7</v>
      </c>
      <c r="C901" s="7">
        <v>0</v>
      </c>
      <c r="D901" s="7">
        <v>5</v>
      </c>
      <c r="E901" s="7">
        <v>6</v>
      </c>
      <c r="F901">
        <v>349</v>
      </c>
      <c r="G901">
        <v>-125</v>
      </c>
      <c r="H901">
        <v>-35.71</v>
      </c>
      <c r="I901">
        <v>-125</v>
      </c>
      <c r="J901">
        <v>-35.86</v>
      </c>
      <c r="K901">
        <v>1555</v>
      </c>
      <c r="L901">
        <v>600</v>
      </c>
      <c r="M901">
        <v>955</v>
      </c>
      <c r="N901">
        <v>2236.67</v>
      </c>
      <c r="O901">
        <v>-16.98</v>
      </c>
      <c r="P901">
        <v>0</v>
      </c>
      <c r="Q901">
        <v>1.66</v>
      </c>
      <c r="R901">
        <v>3.18</v>
      </c>
      <c r="S901">
        <v>-2053</v>
      </c>
      <c r="T901">
        <v>10961</v>
      </c>
      <c r="U901">
        <v>5727</v>
      </c>
      <c r="V901">
        <v>-69</v>
      </c>
      <c r="W901">
        <v>-28.28</v>
      </c>
      <c r="X901" s="10">
        <v>0.55401115596709305</v>
      </c>
      <c r="Y901" s="9">
        <v>19000</v>
      </c>
      <c r="Z901" s="9">
        <v>11800</v>
      </c>
      <c r="AA901" s="9">
        <v>17300</v>
      </c>
      <c r="AB901">
        <v>0.76388888888888884</v>
      </c>
      <c r="AC901" s="11">
        <v>107.10475131981107</v>
      </c>
      <c r="AD901" s="9">
        <v>11321.638418079096</v>
      </c>
      <c r="AE901" s="8">
        <v>0.36220472440944884</v>
      </c>
    </row>
    <row r="902" spans="1:31" x14ac:dyDescent="0.35">
      <c r="A902" s="6" t="s">
        <v>923</v>
      </c>
      <c r="B902" s="7">
        <v>6</v>
      </c>
      <c r="C902" s="7">
        <v>12</v>
      </c>
      <c r="D902" s="7">
        <v>0</v>
      </c>
      <c r="E902" s="7">
        <v>0</v>
      </c>
      <c r="F902">
        <v>1100</v>
      </c>
      <c r="G902">
        <v>195</v>
      </c>
      <c r="H902">
        <v>17.690000000000001</v>
      </c>
      <c r="I902">
        <v>150</v>
      </c>
      <c r="J902">
        <v>13.63</v>
      </c>
      <c r="K902">
        <v>900</v>
      </c>
      <c r="L902">
        <v>295</v>
      </c>
      <c r="M902">
        <v>605</v>
      </c>
      <c r="N902">
        <v>585.69000000000005</v>
      </c>
      <c r="O902">
        <v>28.29</v>
      </c>
      <c r="P902">
        <v>27.32</v>
      </c>
      <c r="Q902">
        <v>7.18</v>
      </c>
      <c r="R902">
        <v>3.72</v>
      </c>
      <c r="S902">
        <v>873</v>
      </c>
      <c r="T902">
        <v>3322</v>
      </c>
      <c r="U902">
        <v>6404</v>
      </c>
      <c r="V902">
        <v>227</v>
      </c>
      <c r="W902">
        <v>18.89</v>
      </c>
      <c r="X902" s="10">
        <v>0.83612366807936966</v>
      </c>
      <c r="Y902" s="9">
        <v>69900</v>
      </c>
      <c r="Z902" s="9">
        <v>23500</v>
      </c>
      <c r="AA902" s="9">
        <v>69900</v>
      </c>
      <c r="AB902">
        <v>1</v>
      </c>
      <c r="AC902" s="11">
        <v>489.65545984995833</v>
      </c>
      <c r="AD902" s="9">
        <v>24690.508474576272</v>
      </c>
      <c r="AE902" s="8">
        <v>1.9744680851063829</v>
      </c>
    </row>
    <row r="903" spans="1:31" x14ac:dyDescent="0.35">
      <c r="A903" s="6" t="s">
        <v>924</v>
      </c>
      <c r="B903" s="7">
        <v>0</v>
      </c>
      <c r="C903" s="7">
        <v>13</v>
      </c>
      <c r="D903" s="7">
        <v>4</v>
      </c>
      <c r="E903" s="7">
        <v>1</v>
      </c>
      <c r="F903">
        <v>1717</v>
      </c>
      <c r="G903">
        <v>104</v>
      </c>
      <c r="H903">
        <v>6.08</v>
      </c>
      <c r="I903">
        <v>37</v>
      </c>
      <c r="J903">
        <v>2.14</v>
      </c>
      <c r="K903">
        <v>2464</v>
      </c>
      <c r="L903">
        <v>2013</v>
      </c>
      <c r="M903">
        <v>452</v>
      </c>
      <c r="N903">
        <v>605.79999999999995</v>
      </c>
      <c r="O903">
        <v>8.4499999999999993</v>
      </c>
      <c r="P903">
        <v>13.52</v>
      </c>
      <c r="Q903">
        <v>1.1200000000000001</v>
      </c>
      <c r="R903">
        <v>0.28999999999999998</v>
      </c>
      <c r="S903">
        <v>287</v>
      </c>
      <c r="T903">
        <v>3474</v>
      </c>
      <c r="U903">
        <v>13411</v>
      </c>
      <c r="V903">
        <v>195</v>
      </c>
      <c r="W903">
        <v>9.6</v>
      </c>
      <c r="X903" s="10">
        <v>0.66353921782020375</v>
      </c>
      <c r="Y903" s="9">
        <v>4305</v>
      </c>
      <c r="Z903" s="9">
        <v>3600</v>
      </c>
      <c r="AA903" s="9">
        <v>4080</v>
      </c>
      <c r="AB903">
        <v>0.68085106382978722</v>
      </c>
      <c r="AC903" s="11">
        <v>9.1398999722145042</v>
      </c>
      <c r="AD903" s="9">
        <v>3640.9830508474574</v>
      </c>
      <c r="AE903" s="8">
        <v>5.019305019305019E-2</v>
      </c>
    </row>
    <row r="904" spans="1:31" x14ac:dyDescent="0.35">
      <c r="A904" s="6" t="s">
        <v>925</v>
      </c>
      <c r="B904" s="7">
        <v>1</v>
      </c>
      <c r="C904" s="7">
        <v>6</v>
      </c>
      <c r="D904" s="7">
        <v>6</v>
      </c>
      <c r="E904" s="7">
        <v>5</v>
      </c>
      <c r="F904">
        <v>2838</v>
      </c>
      <c r="G904">
        <v>85</v>
      </c>
      <c r="H904">
        <v>3.01</v>
      </c>
      <c r="I904">
        <v>79</v>
      </c>
      <c r="J904">
        <v>2.78</v>
      </c>
      <c r="K904">
        <v>6358</v>
      </c>
      <c r="L904">
        <v>4005</v>
      </c>
      <c r="M904">
        <v>2353</v>
      </c>
      <c r="N904">
        <v>882.89</v>
      </c>
      <c r="O904">
        <v>3.39</v>
      </c>
      <c r="P904">
        <v>37.86</v>
      </c>
      <c r="Q904">
        <v>1.29</v>
      </c>
      <c r="R904">
        <v>1.05</v>
      </c>
      <c r="S904">
        <v>1648</v>
      </c>
      <c r="T904">
        <v>48409</v>
      </c>
      <c r="U904">
        <v>59224</v>
      </c>
      <c r="V904">
        <v>341</v>
      </c>
      <c r="W904">
        <v>18.420000000000002</v>
      </c>
      <c r="X904" s="10">
        <v>0.80133470741433988</v>
      </c>
      <c r="Y904" s="9">
        <v>87600</v>
      </c>
      <c r="Z904" s="9">
        <v>60500</v>
      </c>
      <c r="AA904" s="9">
        <v>87500</v>
      </c>
      <c r="AB904">
        <v>0.99630996309963105</v>
      </c>
      <c r="AC904" s="11">
        <v>435.19310919699916</v>
      </c>
      <c r="AD904" s="9">
        <v>62066.610169491527</v>
      </c>
      <c r="AE904" s="8">
        <v>0.3888888888888889</v>
      </c>
    </row>
    <row r="905" spans="1:31" x14ac:dyDescent="0.35">
      <c r="A905" s="6" t="s">
        <v>926</v>
      </c>
      <c r="B905" s="7">
        <v>6</v>
      </c>
      <c r="C905" s="7">
        <v>5</v>
      </c>
      <c r="D905" s="7">
        <v>6</v>
      </c>
      <c r="E905" s="7">
        <v>1</v>
      </c>
      <c r="F905">
        <v>2340</v>
      </c>
      <c r="G905">
        <v>188</v>
      </c>
      <c r="H905">
        <v>8.02</v>
      </c>
      <c r="I905">
        <v>134</v>
      </c>
      <c r="J905">
        <v>5.75</v>
      </c>
      <c r="K905">
        <v>2343</v>
      </c>
      <c r="L905">
        <v>1456</v>
      </c>
      <c r="M905">
        <v>887</v>
      </c>
      <c r="N905">
        <v>2776.4</v>
      </c>
      <c r="O905">
        <v>18.63</v>
      </c>
      <c r="P905">
        <v>8.6999999999999993</v>
      </c>
      <c r="Q905">
        <v>1.44</v>
      </c>
      <c r="R905">
        <v>0.5</v>
      </c>
      <c r="S905">
        <v>468</v>
      </c>
      <c r="T905">
        <v>2830</v>
      </c>
      <c r="U905">
        <v>8155</v>
      </c>
      <c r="V905">
        <v>377</v>
      </c>
      <c r="W905">
        <v>6.48</v>
      </c>
      <c r="X905" s="10">
        <v>0.38923861841330387</v>
      </c>
      <c r="Y905" s="9">
        <v>4640</v>
      </c>
      <c r="Z905" s="9">
        <v>3750</v>
      </c>
      <c r="AA905" s="9">
        <v>4340</v>
      </c>
      <c r="AB905">
        <v>0.6629213483146067</v>
      </c>
      <c r="AC905" s="11">
        <v>6.1683801055848848</v>
      </c>
      <c r="AD905" s="9">
        <v>3991.8644067796608</v>
      </c>
      <c r="AE905" s="8">
        <v>5.0847457627118647E-2</v>
      </c>
    </row>
    <row r="906" spans="1:31" x14ac:dyDescent="0.35">
      <c r="A906" s="6" t="s">
        <v>927</v>
      </c>
      <c r="B906" s="7">
        <v>4</v>
      </c>
      <c r="C906" s="7">
        <v>8</v>
      </c>
      <c r="D906" s="7">
        <v>2</v>
      </c>
      <c r="E906" s="7">
        <v>4</v>
      </c>
      <c r="F906">
        <v>304</v>
      </c>
      <c r="G906">
        <v>31</v>
      </c>
      <c r="H906">
        <v>10.23</v>
      </c>
      <c r="I906">
        <v>23</v>
      </c>
      <c r="J906">
        <v>7.47</v>
      </c>
      <c r="K906">
        <v>876</v>
      </c>
      <c r="L906">
        <v>364</v>
      </c>
      <c r="M906">
        <v>512</v>
      </c>
      <c r="N906">
        <v>576.87</v>
      </c>
      <c r="O906">
        <v>6.01</v>
      </c>
      <c r="P906">
        <v>13.28</v>
      </c>
      <c r="Q906">
        <v>0.79</v>
      </c>
      <c r="R906">
        <v>0.99</v>
      </c>
      <c r="S906">
        <v>200</v>
      </c>
      <c r="T906">
        <v>3355</v>
      </c>
      <c r="U906">
        <v>2684</v>
      </c>
      <c r="V906">
        <v>64</v>
      </c>
      <c r="W906">
        <v>9.64</v>
      </c>
      <c r="X906" s="10">
        <v>0.46231752305018525</v>
      </c>
      <c r="Y906" s="9">
        <v>4460</v>
      </c>
      <c r="Z906" s="9">
        <v>2900</v>
      </c>
      <c r="AA906" s="9">
        <v>3535</v>
      </c>
      <c r="AB906">
        <v>0.40705128205128205</v>
      </c>
      <c r="AC906" s="11">
        <v>15.518894137260347</v>
      </c>
      <c r="AD906" s="9">
        <v>2881.5903954802261</v>
      </c>
      <c r="AE906" s="8">
        <v>0.16282894736842105</v>
      </c>
    </row>
    <row r="907" spans="1:31" x14ac:dyDescent="0.35">
      <c r="A907" s="6" t="s">
        <v>928</v>
      </c>
      <c r="B907" s="7">
        <v>15</v>
      </c>
      <c r="C907" s="7">
        <v>0</v>
      </c>
      <c r="D907" s="7">
        <v>3</v>
      </c>
      <c r="E907" s="7">
        <v>0</v>
      </c>
      <c r="F907">
        <v>10286</v>
      </c>
      <c r="G907">
        <v>217</v>
      </c>
      <c r="H907">
        <v>2.11</v>
      </c>
      <c r="I907">
        <v>168</v>
      </c>
      <c r="J907">
        <v>1.63</v>
      </c>
      <c r="K907">
        <v>4091</v>
      </c>
      <c r="L907">
        <v>2203</v>
      </c>
      <c r="M907">
        <v>1888</v>
      </c>
      <c r="N907">
        <v>340.67</v>
      </c>
      <c r="O907">
        <v>9.18</v>
      </c>
      <c r="P907">
        <v>74.78</v>
      </c>
      <c r="Q907">
        <v>7.03</v>
      </c>
      <c r="R907">
        <v>1.22</v>
      </c>
      <c r="S907">
        <v>2006</v>
      </c>
      <c r="T907">
        <v>21351</v>
      </c>
      <c r="U907">
        <v>122869</v>
      </c>
      <c r="V907">
        <v>419</v>
      </c>
      <c r="W907">
        <v>32.4</v>
      </c>
      <c r="X907" s="10">
        <v>0.90402333894407805</v>
      </c>
      <c r="Y907" s="9">
        <v>274000</v>
      </c>
      <c r="Z907" s="9">
        <v>145000</v>
      </c>
      <c r="AA907" s="9">
        <v>273000</v>
      </c>
      <c r="AB907">
        <v>0.99224806201550386</v>
      </c>
      <c r="AC907" s="11">
        <v>1915.0736315643235</v>
      </c>
      <c r="AD907" s="9">
        <v>139265.25423728814</v>
      </c>
      <c r="AE907" s="8">
        <v>0.88275862068965516</v>
      </c>
    </row>
    <row r="908" spans="1:31" x14ac:dyDescent="0.35">
      <c r="A908" s="6" t="s">
        <v>929</v>
      </c>
      <c r="B908" s="7">
        <v>3</v>
      </c>
      <c r="C908" s="7">
        <v>2</v>
      </c>
      <c r="D908" s="7">
        <v>5</v>
      </c>
      <c r="E908" s="7">
        <v>8</v>
      </c>
      <c r="F908">
        <v>512</v>
      </c>
      <c r="G908">
        <v>9</v>
      </c>
      <c r="H908">
        <v>1.85</v>
      </c>
      <c r="I908">
        <v>10</v>
      </c>
      <c r="J908">
        <v>1.87</v>
      </c>
      <c r="K908">
        <v>809</v>
      </c>
      <c r="L908">
        <v>288</v>
      </c>
      <c r="M908">
        <v>522</v>
      </c>
      <c r="N908">
        <v>398.84</v>
      </c>
      <c r="O908">
        <v>2.4500000000000002</v>
      </c>
      <c r="P908">
        <v>30.64</v>
      </c>
      <c r="Q908">
        <v>0.76</v>
      </c>
      <c r="R908">
        <v>0.56999999999999995</v>
      </c>
      <c r="S908">
        <v>125</v>
      </c>
      <c r="T908">
        <v>5040</v>
      </c>
      <c r="U908">
        <v>6688</v>
      </c>
      <c r="V908">
        <v>13</v>
      </c>
      <c r="W908">
        <v>38.97</v>
      </c>
      <c r="X908" s="10">
        <v>0.63568849490496793</v>
      </c>
      <c r="Y908" s="9">
        <v>4195</v>
      </c>
      <c r="Z908" s="9">
        <v>2620</v>
      </c>
      <c r="AA908" s="9">
        <v>3395</v>
      </c>
      <c r="AB908">
        <v>0.49206349206349204</v>
      </c>
      <c r="AC908" s="11">
        <v>21.832314531814397</v>
      </c>
      <c r="AD908" s="9">
        <v>2545.1977401129943</v>
      </c>
      <c r="AE908" s="8">
        <v>0.18292682926829268</v>
      </c>
    </row>
    <row r="909" spans="1:31" x14ac:dyDescent="0.35">
      <c r="A909" s="6" t="s">
        <v>930</v>
      </c>
      <c r="B909" s="7">
        <v>14</v>
      </c>
      <c r="C909" s="7">
        <v>2</v>
      </c>
      <c r="D909" s="7">
        <v>2</v>
      </c>
      <c r="E909" s="7">
        <v>0</v>
      </c>
      <c r="F909">
        <v>1871</v>
      </c>
      <c r="G909">
        <v>408</v>
      </c>
      <c r="H909">
        <v>21.83</v>
      </c>
      <c r="I909">
        <v>328</v>
      </c>
      <c r="J909">
        <v>17.54</v>
      </c>
      <c r="K909">
        <v>2094</v>
      </c>
      <c r="L909">
        <v>590</v>
      </c>
      <c r="M909">
        <v>1504</v>
      </c>
      <c r="N909">
        <v>2969.91</v>
      </c>
      <c r="O909">
        <v>32.590000000000003</v>
      </c>
      <c r="P909">
        <v>7.45</v>
      </c>
      <c r="Q909">
        <v>2.17</v>
      </c>
      <c r="R909">
        <v>1.31</v>
      </c>
      <c r="S909">
        <v>4464</v>
      </c>
      <c r="T909">
        <v>15334</v>
      </c>
      <c r="U909">
        <v>25452</v>
      </c>
      <c r="V909">
        <v>545</v>
      </c>
      <c r="W909">
        <v>5.98</v>
      </c>
      <c r="X909" s="10">
        <v>0.64002736235162982</v>
      </c>
      <c r="Y909" s="9">
        <v>42750</v>
      </c>
      <c r="Z909" s="9">
        <v>27200</v>
      </c>
      <c r="AA909" s="9">
        <v>38450</v>
      </c>
      <c r="AB909">
        <v>0.72347266881028938</v>
      </c>
      <c r="AC909" s="11">
        <v>249.59711030841896</v>
      </c>
      <c r="AD909" s="9">
        <v>26168.954802259886</v>
      </c>
      <c r="AE909" s="8">
        <v>0.24837662337662339</v>
      </c>
    </row>
    <row r="910" spans="1:31" x14ac:dyDescent="0.35">
      <c r="A910" s="6" t="s">
        <v>931</v>
      </c>
      <c r="B910" s="7">
        <v>7</v>
      </c>
      <c r="C910" s="7">
        <v>0</v>
      </c>
      <c r="D910" s="7">
        <v>4</v>
      </c>
      <c r="E910" s="7">
        <v>7</v>
      </c>
      <c r="F910">
        <v>1803</v>
      </c>
      <c r="G910">
        <v>56</v>
      </c>
      <c r="H910">
        <v>3.1</v>
      </c>
      <c r="I910">
        <v>10</v>
      </c>
      <c r="J910">
        <v>0.56000000000000005</v>
      </c>
      <c r="K910">
        <v>2025</v>
      </c>
      <c r="L910">
        <v>1435</v>
      </c>
      <c r="M910">
        <v>590</v>
      </c>
      <c r="N910">
        <v>1109.29</v>
      </c>
      <c r="O910">
        <v>2.4</v>
      </c>
      <c r="P910">
        <v>65.459999999999994</v>
      </c>
      <c r="Q910">
        <v>1.75</v>
      </c>
      <c r="R910">
        <v>0.36</v>
      </c>
      <c r="S910">
        <v>141</v>
      </c>
      <c r="T910">
        <v>5289</v>
      </c>
      <c r="U910">
        <v>25300</v>
      </c>
      <c r="V910">
        <v>75</v>
      </c>
      <c r="W910">
        <v>23.94</v>
      </c>
      <c r="X910" s="10">
        <v>0.6505807450721911</v>
      </c>
      <c r="Y910" s="9">
        <v>10650</v>
      </c>
      <c r="Z910" s="9">
        <v>7170</v>
      </c>
      <c r="AA910" s="9">
        <v>10300</v>
      </c>
      <c r="AB910">
        <v>0.89942528735632188</v>
      </c>
      <c r="AC910" s="11">
        <v>54.96610169491526</v>
      </c>
      <c r="AD910" s="9">
        <v>6960.3672316384182</v>
      </c>
      <c r="AE910" s="8">
        <v>0.34640522875816993</v>
      </c>
    </row>
    <row r="911" spans="1:31" x14ac:dyDescent="0.35">
      <c r="A911" s="6" t="s">
        <v>932</v>
      </c>
      <c r="B911" s="7">
        <v>3</v>
      </c>
      <c r="C911" s="7">
        <v>8</v>
      </c>
      <c r="D911" s="7">
        <v>2</v>
      </c>
      <c r="E911" s="7">
        <v>5</v>
      </c>
      <c r="F911">
        <v>3425</v>
      </c>
      <c r="G911">
        <v>22</v>
      </c>
      <c r="H911">
        <v>0.66</v>
      </c>
      <c r="I911">
        <v>-38</v>
      </c>
      <c r="J911">
        <v>-1.1000000000000001</v>
      </c>
      <c r="K911">
        <v>2243</v>
      </c>
      <c r="L911">
        <v>2082</v>
      </c>
      <c r="M911">
        <v>161</v>
      </c>
      <c r="N911">
        <v>2193.8200000000002</v>
      </c>
      <c r="O911">
        <v>-20.71</v>
      </c>
      <c r="P911">
        <v>0</v>
      </c>
      <c r="Q911">
        <v>1.48</v>
      </c>
      <c r="R911">
        <v>7.0000000000000007E-2</v>
      </c>
      <c r="S911">
        <v>-2685</v>
      </c>
      <c r="T911">
        <v>11030</v>
      </c>
      <c r="U911">
        <v>244669</v>
      </c>
      <c r="V911">
        <v>59</v>
      </c>
      <c r="W911">
        <v>36.03</v>
      </c>
      <c r="X911" s="10">
        <v>0.45569164479465751</v>
      </c>
      <c r="Y911" s="9">
        <v>26900</v>
      </c>
      <c r="Z911" s="9">
        <v>16300</v>
      </c>
      <c r="AA911" s="9">
        <v>22400</v>
      </c>
      <c r="AB911">
        <v>0.57547169811320753</v>
      </c>
      <c r="AC911" s="11">
        <v>91.044734648513483</v>
      </c>
      <c r="AD911" s="9">
        <v>18468.135593220337</v>
      </c>
      <c r="AE911" s="8">
        <v>0.30232558139534882</v>
      </c>
    </row>
    <row r="912" spans="1:31" x14ac:dyDescent="0.35">
      <c r="A912" s="6" t="s">
        <v>933</v>
      </c>
      <c r="B912" s="7">
        <v>7</v>
      </c>
      <c r="C912" s="7">
        <v>4</v>
      </c>
      <c r="D912" s="7">
        <v>0</v>
      </c>
      <c r="E912" s="7">
        <v>7</v>
      </c>
      <c r="F912">
        <v>1078</v>
      </c>
      <c r="G912">
        <v>11</v>
      </c>
      <c r="H912">
        <v>1.02</v>
      </c>
      <c r="I912">
        <v>12</v>
      </c>
      <c r="J912">
        <v>1.08</v>
      </c>
      <c r="K912">
        <v>2933</v>
      </c>
      <c r="L912">
        <v>1005</v>
      </c>
      <c r="M912">
        <v>1928</v>
      </c>
      <c r="N912">
        <v>2654.08</v>
      </c>
      <c r="O912">
        <v>0.61</v>
      </c>
      <c r="P912">
        <v>101.79</v>
      </c>
      <c r="Q912">
        <v>0.62</v>
      </c>
      <c r="R912">
        <v>1.1100000000000001</v>
      </c>
      <c r="S912">
        <v>84</v>
      </c>
      <c r="T912">
        <v>13746</v>
      </c>
      <c r="U912">
        <v>7702</v>
      </c>
      <c r="V912">
        <v>59</v>
      </c>
      <c r="W912">
        <v>28.69</v>
      </c>
      <c r="X912" s="10">
        <v>0.18921605768369043</v>
      </c>
      <c r="Y912" s="9">
        <v>9340</v>
      </c>
      <c r="Z912" s="9">
        <v>7900</v>
      </c>
      <c r="AA912" s="9">
        <v>9340</v>
      </c>
      <c r="AB912">
        <v>1</v>
      </c>
      <c r="AC912" s="11">
        <v>7.4587385384829119</v>
      </c>
      <c r="AD912" s="9">
        <v>8138.5084745762715</v>
      </c>
      <c r="AE912" s="8">
        <v>8.4785133565621368E-2</v>
      </c>
    </row>
    <row r="913" spans="1:31" x14ac:dyDescent="0.35">
      <c r="A913" s="6" t="s">
        <v>934</v>
      </c>
      <c r="B913" s="7">
        <v>7</v>
      </c>
      <c r="C913" s="7">
        <v>2</v>
      </c>
      <c r="D913" s="7">
        <v>4</v>
      </c>
      <c r="E913" s="7">
        <v>5</v>
      </c>
      <c r="F913">
        <v>368</v>
      </c>
      <c r="G913">
        <v>21</v>
      </c>
      <c r="H913">
        <v>5.81</v>
      </c>
      <c r="I913">
        <v>36</v>
      </c>
      <c r="J913">
        <v>9.8000000000000007</v>
      </c>
      <c r="K913">
        <v>889</v>
      </c>
      <c r="L913">
        <v>64</v>
      </c>
      <c r="M913">
        <v>825</v>
      </c>
      <c r="N913">
        <v>1700.73</v>
      </c>
      <c r="O913">
        <v>5.86</v>
      </c>
      <c r="P913">
        <v>17.5</v>
      </c>
      <c r="Q913">
        <v>1.08</v>
      </c>
      <c r="R913">
        <v>1.72</v>
      </c>
      <c r="S913">
        <v>533</v>
      </c>
      <c r="T913">
        <v>8645</v>
      </c>
      <c r="U913">
        <v>5440</v>
      </c>
      <c r="V913">
        <v>32</v>
      </c>
      <c r="W913">
        <v>27.63</v>
      </c>
      <c r="X913" s="10">
        <v>0.21313981010619218</v>
      </c>
      <c r="Y913" s="9">
        <v>8790</v>
      </c>
      <c r="Z913" s="9">
        <v>7490</v>
      </c>
      <c r="AA913" s="9">
        <v>8790</v>
      </c>
      <c r="AB913">
        <v>1</v>
      </c>
      <c r="AC913" s="11">
        <v>5.5190330647402046</v>
      </c>
      <c r="AD913" s="9">
        <v>7717.5028248587569</v>
      </c>
      <c r="AE913" s="8">
        <v>0.10566037735849057</v>
      </c>
    </row>
    <row r="914" spans="1:31" x14ac:dyDescent="0.35">
      <c r="A914" s="6" t="s">
        <v>935</v>
      </c>
      <c r="B914" s="7">
        <v>1</v>
      </c>
      <c r="C914" s="7">
        <v>3</v>
      </c>
      <c r="D914" s="7">
        <v>8</v>
      </c>
      <c r="E914" s="7">
        <v>6</v>
      </c>
      <c r="F914">
        <v>5262</v>
      </c>
      <c r="G914">
        <v>-591</v>
      </c>
      <c r="H914">
        <v>-11.24</v>
      </c>
      <c r="I914">
        <v>-2831</v>
      </c>
      <c r="J914">
        <v>-53.81</v>
      </c>
      <c r="K914">
        <v>18737</v>
      </c>
      <c r="L914">
        <v>16006</v>
      </c>
      <c r="M914">
        <v>2731</v>
      </c>
      <c r="N914">
        <v>582.57000000000005</v>
      </c>
      <c r="O914">
        <v>-69.03</v>
      </c>
      <c r="P914">
        <v>0</v>
      </c>
      <c r="Q914">
        <v>0.14000000000000001</v>
      </c>
      <c r="R914">
        <v>7.0000000000000007E-2</v>
      </c>
      <c r="S914">
        <v>-35407</v>
      </c>
      <c r="T914">
        <v>33764</v>
      </c>
      <c r="U914">
        <v>65804</v>
      </c>
      <c r="V914">
        <v>-561</v>
      </c>
      <c r="W914">
        <v>-20.03</v>
      </c>
      <c r="X914" s="10">
        <v>0.77593285755229457</v>
      </c>
      <c r="Y914" s="9">
        <v>10150</v>
      </c>
      <c r="Z914" s="9">
        <v>4485</v>
      </c>
      <c r="AA914" s="9">
        <v>7430</v>
      </c>
      <c r="AB914">
        <v>0.51985878199470437</v>
      </c>
      <c r="AC914" s="11">
        <v>81.876771325368153</v>
      </c>
      <c r="AD914" s="9">
        <v>4084.1751412429385</v>
      </c>
      <c r="AE914" s="8">
        <v>0.62582056892778992</v>
      </c>
    </row>
    <row r="915" spans="1:31" x14ac:dyDescent="0.35">
      <c r="A915" s="6" t="s">
        <v>936</v>
      </c>
      <c r="B915" s="7">
        <v>0</v>
      </c>
      <c r="C915" s="7">
        <v>7</v>
      </c>
      <c r="D915" s="7">
        <v>3</v>
      </c>
      <c r="E915" s="7">
        <v>8</v>
      </c>
      <c r="F915">
        <v>47202</v>
      </c>
      <c r="G915">
        <v>-837</v>
      </c>
      <c r="H915">
        <v>-1.77</v>
      </c>
      <c r="I915">
        <v>-1670</v>
      </c>
      <c r="J915">
        <v>-3.54</v>
      </c>
      <c r="K915">
        <v>152152</v>
      </c>
      <c r="L915">
        <v>36526</v>
      </c>
      <c r="M915">
        <v>115625</v>
      </c>
      <c r="N915">
        <v>3144.46</v>
      </c>
      <c r="O915">
        <v>-1.75</v>
      </c>
      <c r="P915">
        <v>0</v>
      </c>
      <c r="Q915">
        <v>0.78</v>
      </c>
      <c r="R915">
        <v>1.42</v>
      </c>
      <c r="S915">
        <v>-2993</v>
      </c>
      <c r="T915">
        <v>149455</v>
      </c>
      <c r="U915">
        <v>81477</v>
      </c>
      <c r="V915">
        <v>2833</v>
      </c>
      <c r="W915">
        <v>30.06</v>
      </c>
      <c r="X915" s="10">
        <v>0.80018418982626305</v>
      </c>
      <c r="Y915" s="9">
        <v>145000</v>
      </c>
      <c r="Z915" s="9">
        <v>109500</v>
      </c>
      <c r="AA915" s="9">
        <v>139500</v>
      </c>
      <c r="AB915">
        <v>0.84507042253521125</v>
      </c>
      <c r="AC915" s="11">
        <v>522.02000555709935</v>
      </c>
      <c r="AD915" s="9">
        <v>112420.05649717514</v>
      </c>
      <c r="AE915" s="8">
        <v>0.16736401673640167</v>
      </c>
    </row>
    <row r="916" spans="1:31" x14ac:dyDescent="0.35">
      <c r="A916" s="6" t="s">
        <v>937</v>
      </c>
      <c r="B916" s="7">
        <v>0</v>
      </c>
      <c r="C916" s="7">
        <v>0</v>
      </c>
      <c r="D916" s="7">
        <v>0</v>
      </c>
      <c r="E916" s="7">
        <v>18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 s="10">
        <v>0.46882758291311899</v>
      </c>
      <c r="Y916" s="9">
        <v>78300</v>
      </c>
      <c r="Z916" s="9">
        <v>68800</v>
      </c>
      <c r="AA916" s="9">
        <v>76300</v>
      </c>
      <c r="AB916">
        <v>0.78947368421052633</v>
      </c>
      <c r="AC916" s="11">
        <v>86.32675743262017</v>
      </c>
      <c r="AD916" s="9">
        <v>70038.700564971761</v>
      </c>
      <c r="AE916" s="8">
        <v>6.1196105702364396E-2</v>
      </c>
    </row>
    <row r="917" spans="1:31" x14ac:dyDescent="0.35">
      <c r="A917" s="6" t="s">
        <v>938</v>
      </c>
      <c r="B917" s="7">
        <v>6</v>
      </c>
      <c r="C917" s="7">
        <v>2</v>
      </c>
      <c r="D917" s="7">
        <v>4</v>
      </c>
      <c r="E917" s="7">
        <v>6</v>
      </c>
      <c r="F917">
        <v>779</v>
      </c>
      <c r="G917">
        <v>17</v>
      </c>
      <c r="H917">
        <v>2.1800000000000002</v>
      </c>
      <c r="I917">
        <v>70</v>
      </c>
      <c r="J917">
        <v>9.0399999999999991</v>
      </c>
      <c r="K917">
        <v>2124</v>
      </c>
      <c r="L917">
        <v>312</v>
      </c>
      <c r="M917">
        <v>1811</v>
      </c>
      <c r="N917">
        <v>4369.95</v>
      </c>
      <c r="O917">
        <v>3.93</v>
      </c>
      <c r="P917">
        <v>13.42</v>
      </c>
      <c r="Q917">
        <v>0.53</v>
      </c>
      <c r="R917">
        <v>1.21</v>
      </c>
      <c r="S917">
        <v>879</v>
      </c>
      <c r="T917">
        <v>22289</v>
      </c>
      <c r="U917">
        <v>9714</v>
      </c>
      <c r="V917">
        <v>37</v>
      </c>
      <c r="W917">
        <v>26.19</v>
      </c>
      <c r="X917" s="10">
        <v>0.12910767998993208</v>
      </c>
      <c r="Y917" s="9">
        <v>12650</v>
      </c>
      <c r="Z917" s="9">
        <v>10800</v>
      </c>
      <c r="AA917" s="9">
        <v>11400</v>
      </c>
      <c r="AB917">
        <v>0.32432432432432434</v>
      </c>
      <c r="AC917" s="11">
        <v>10.693248124479021</v>
      </c>
      <c r="AD917" s="9">
        <v>11299.689265536725</v>
      </c>
      <c r="AE917" s="8">
        <v>-3.3898305084745763E-2</v>
      </c>
    </row>
    <row r="918" spans="1:31" x14ac:dyDescent="0.35">
      <c r="A918" s="6" t="s">
        <v>939</v>
      </c>
      <c r="B918" s="7">
        <v>2</v>
      </c>
      <c r="C918" s="7">
        <v>12</v>
      </c>
      <c r="D918" s="7">
        <v>3</v>
      </c>
      <c r="E918" s="7">
        <v>1</v>
      </c>
      <c r="F918">
        <v>191500</v>
      </c>
      <c r="G918">
        <v>5276</v>
      </c>
      <c r="H918">
        <v>2.75</v>
      </c>
      <c r="I918">
        <v>3608</v>
      </c>
      <c r="J918">
        <v>1.88</v>
      </c>
      <c r="K918">
        <v>259785</v>
      </c>
      <c r="L918">
        <v>127541</v>
      </c>
      <c r="M918">
        <v>132243</v>
      </c>
      <c r="N918">
        <v>1580.05</v>
      </c>
      <c r="O918">
        <v>2.99</v>
      </c>
      <c r="P918">
        <v>25.26</v>
      </c>
      <c r="Q918">
        <v>0.76</v>
      </c>
      <c r="R918">
        <v>0.49</v>
      </c>
      <c r="S918">
        <v>2435</v>
      </c>
      <c r="T918">
        <v>80926</v>
      </c>
      <c r="U918">
        <v>126096</v>
      </c>
      <c r="V918">
        <v>6169</v>
      </c>
      <c r="W918">
        <v>20.170000000000002</v>
      </c>
      <c r="X918" s="10">
        <v>2.4049178333243955E-3</v>
      </c>
      <c r="Y918" s="9">
        <v>61500</v>
      </c>
      <c r="Z918" s="9">
        <v>51900</v>
      </c>
      <c r="AA918" s="9">
        <v>58900</v>
      </c>
      <c r="AB918">
        <v>0.72916666666666663</v>
      </c>
      <c r="AC918" s="11">
        <v>-5.4654070575159786</v>
      </c>
      <c r="AD918" s="9">
        <v>58385.028248587572</v>
      </c>
      <c r="AE918" s="8">
        <v>-4.071661237785016E-2</v>
      </c>
    </row>
    <row r="919" spans="1:31" x14ac:dyDescent="0.35">
      <c r="A919" s="6" t="s">
        <v>940</v>
      </c>
      <c r="B919" s="7">
        <v>0</v>
      </c>
      <c r="C919" s="7">
        <v>0</v>
      </c>
      <c r="D919" s="7">
        <v>0</v>
      </c>
      <c r="E919" s="7">
        <v>18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 s="10">
        <v>1.0091313611166797E-2</v>
      </c>
      <c r="Y919" s="9">
        <v>35450</v>
      </c>
      <c r="Z919" s="9">
        <v>29900</v>
      </c>
      <c r="AA919" s="9">
        <v>32000</v>
      </c>
      <c r="AB919">
        <v>0.3783783783783784</v>
      </c>
      <c r="AC919" s="11">
        <v>-6.3962211725479277</v>
      </c>
      <c r="AD919" s="9">
        <v>32308.418079096045</v>
      </c>
      <c r="AE919" s="8">
        <v>-9.4766619519094764E-2</v>
      </c>
    </row>
    <row r="920" spans="1:31" x14ac:dyDescent="0.35">
      <c r="A920" s="6" t="s">
        <v>941</v>
      </c>
      <c r="B920" s="7">
        <v>2</v>
      </c>
      <c r="C920" s="7">
        <v>11</v>
      </c>
      <c r="D920" s="7">
        <v>3</v>
      </c>
      <c r="E920" s="7">
        <v>2</v>
      </c>
      <c r="F920">
        <v>268858</v>
      </c>
      <c r="G920">
        <v>12809</v>
      </c>
      <c r="H920">
        <v>4.76</v>
      </c>
      <c r="I920">
        <v>11311</v>
      </c>
      <c r="J920">
        <v>4.21</v>
      </c>
      <c r="K920">
        <v>2112041</v>
      </c>
      <c r="L920">
        <v>1896363</v>
      </c>
      <c r="M920">
        <v>215678</v>
      </c>
      <c r="N920">
        <v>22548.080000000002</v>
      </c>
      <c r="O920">
        <v>5.65</v>
      </c>
      <c r="P920">
        <v>19.510000000000002</v>
      </c>
      <c r="Q920">
        <v>1.0900000000000001</v>
      </c>
      <c r="R920">
        <v>0.82</v>
      </c>
      <c r="S920">
        <v>5972</v>
      </c>
      <c r="T920">
        <v>106763</v>
      </c>
      <c r="U920">
        <v>141950</v>
      </c>
      <c r="V920">
        <v>0</v>
      </c>
      <c r="W920">
        <v>0</v>
      </c>
      <c r="X920" s="10">
        <v>0.86557552253809467</v>
      </c>
      <c r="Y920" s="9">
        <v>120500</v>
      </c>
      <c r="Z920" s="9">
        <v>95200</v>
      </c>
      <c r="AA920" s="9">
        <v>95900</v>
      </c>
      <c r="AB920">
        <v>2.766798418972332E-2</v>
      </c>
      <c r="AC920" s="11">
        <v>-448.39677688246729</v>
      </c>
      <c r="AD920" s="9">
        <v>120282.76836158193</v>
      </c>
      <c r="AE920" s="8">
        <v>-0.16608695652173913</v>
      </c>
    </row>
    <row r="921" spans="1:31" x14ac:dyDescent="0.35">
      <c r="A921" s="6" t="s">
        <v>942</v>
      </c>
      <c r="B921" s="7">
        <v>3</v>
      </c>
      <c r="C921" s="7">
        <v>13</v>
      </c>
      <c r="D921" s="7">
        <v>2</v>
      </c>
      <c r="E921" s="7">
        <v>0</v>
      </c>
      <c r="F921">
        <v>45748</v>
      </c>
      <c r="G921">
        <v>3644</v>
      </c>
      <c r="H921">
        <v>7.96</v>
      </c>
      <c r="I921">
        <v>3107</v>
      </c>
      <c r="J921">
        <v>6.79</v>
      </c>
      <c r="K921">
        <v>47170</v>
      </c>
      <c r="L921">
        <v>8327</v>
      </c>
      <c r="M921">
        <v>38843</v>
      </c>
      <c r="N921">
        <v>9943.92</v>
      </c>
      <c r="O921">
        <v>8.2200000000000006</v>
      </c>
      <c r="P921">
        <v>73.06</v>
      </c>
      <c r="Q921">
        <v>7.58</v>
      </c>
      <c r="R921">
        <v>4.96</v>
      </c>
      <c r="S921">
        <v>4017</v>
      </c>
      <c r="T921">
        <v>38700</v>
      </c>
      <c r="U921">
        <v>59144</v>
      </c>
      <c r="V921">
        <v>6940</v>
      </c>
      <c r="W921">
        <v>32.72</v>
      </c>
      <c r="X921" s="10">
        <v>1.6240503514741247E-4</v>
      </c>
      <c r="Y921" s="9">
        <v>318000</v>
      </c>
      <c r="Z921" s="9">
        <v>227500</v>
      </c>
      <c r="AA921" s="9">
        <v>271000</v>
      </c>
      <c r="AB921">
        <v>0.48066298342541436</v>
      </c>
      <c r="AC921" s="11">
        <v>-14.93470408446796</v>
      </c>
      <c r="AD921" s="9">
        <v>270163.8418079096</v>
      </c>
      <c r="AE921" s="8">
        <v>-8.1355932203389825E-2</v>
      </c>
    </row>
    <row r="922" spans="1:31" x14ac:dyDescent="0.35">
      <c r="A922" s="6" t="s">
        <v>943</v>
      </c>
      <c r="B922" s="7">
        <v>2</v>
      </c>
      <c r="C922" s="7">
        <v>8</v>
      </c>
      <c r="D922" s="7">
        <v>0</v>
      </c>
      <c r="E922" s="7">
        <v>8</v>
      </c>
      <c r="F922">
        <v>74723</v>
      </c>
      <c r="G922">
        <v>3029</v>
      </c>
      <c r="H922">
        <v>4.05</v>
      </c>
      <c r="I922">
        <v>-521</v>
      </c>
      <c r="J922">
        <v>-0.7</v>
      </c>
      <c r="K922">
        <v>50448</v>
      </c>
      <c r="L922">
        <v>42024</v>
      </c>
      <c r="M922">
        <v>8424</v>
      </c>
      <c r="N922">
        <v>463.51</v>
      </c>
      <c r="O922">
        <v>-6.1</v>
      </c>
      <c r="P922">
        <v>0</v>
      </c>
      <c r="Q922">
        <v>1.93</v>
      </c>
      <c r="R922">
        <v>0.19</v>
      </c>
      <c r="S922">
        <v>-1410</v>
      </c>
      <c r="T922">
        <v>19623</v>
      </c>
      <c r="U922">
        <v>202086</v>
      </c>
      <c r="V922">
        <v>3641</v>
      </c>
      <c r="W922">
        <v>4.16</v>
      </c>
      <c r="X922" s="10">
        <v>0.42685589681986247</v>
      </c>
      <c r="Y922" s="9">
        <v>44750</v>
      </c>
      <c r="Z922" s="9">
        <v>29200</v>
      </c>
      <c r="AA922" s="9">
        <v>38750</v>
      </c>
      <c r="AB922">
        <v>0.61414790996784563</v>
      </c>
      <c r="AC922" s="11">
        <v>155.58766323978884</v>
      </c>
      <c r="AD922" s="9">
        <v>32459.576271186441</v>
      </c>
      <c r="AE922" s="8">
        <v>1.8396846254927726E-2</v>
      </c>
    </row>
    <row r="923" spans="1:31" x14ac:dyDescent="0.35">
      <c r="A923" s="6" t="s">
        <v>944</v>
      </c>
      <c r="B923" s="7">
        <v>4</v>
      </c>
      <c r="C923" s="7">
        <v>5</v>
      </c>
      <c r="D923" s="7">
        <v>3</v>
      </c>
      <c r="E923" s="7">
        <v>6</v>
      </c>
      <c r="F923">
        <v>51827</v>
      </c>
      <c r="G923">
        <v>-2028</v>
      </c>
      <c r="H923">
        <v>-3.91</v>
      </c>
      <c r="I923">
        <v>4516</v>
      </c>
      <c r="J923">
        <v>8.7100000000000009</v>
      </c>
      <c r="K923">
        <v>59212</v>
      </c>
      <c r="L923">
        <v>15583</v>
      </c>
      <c r="M923">
        <v>43629</v>
      </c>
      <c r="N923">
        <v>1024.71</v>
      </c>
      <c r="O923">
        <v>10.82</v>
      </c>
      <c r="P923">
        <v>9.4</v>
      </c>
      <c r="Q923">
        <v>0.99</v>
      </c>
      <c r="R923">
        <v>0.82</v>
      </c>
      <c r="S923">
        <v>5822</v>
      </c>
      <c r="T923">
        <v>55378</v>
      </c>
      <c r="U923">
        <v>66788</v>
      </c>
      <c r="V923">
        <v>1501</v>
      </c>
      <c r="W923">
        <v>27.73</v>
      </c>
      <c r="X923" s="10">
        <v>0.91644855650928692</v>
      </c>
      <c r="Y923" s="9">
        <v>81800</v>
      </c>
      <c r="Z923" s="9">
        <v>54700</v>
      </c>
      <c r="AA923" s="9">
        <v>80700</v>
      </c>
      <c r="AB923">
        <v>0.95940959409594095</v>
      </c>
      <c r="AC923" s="11">
        <v>381.99222006112814</v>
      </c>
      <c r="AD923" s="9">
        <v>56840.903954802263</v>
      </c>
      <c r="AE923" s="8">
        <v>0.42077464788732394</v>
      </c>
    </row>
    <row r="924" spans="1:31" x14ac:dyDescent="0.35">
      <c r="A924" s="6" t="s">
        <v>945</v>
      </c>
      <c r="B924" s="7">
        <v>0</v>
      </c>
      <c r="C924" s="7">
        <v>0</v>
      </c>
      <c r="D924" s="7">
        <v>0</v>
      </c>
      <c r="E924" s="7">
        <v>18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 s="10">
        <v>0.85629373119594454</v>
      </c>
      <c r="Y924" s="9">
        <v>35700</v>
      </c>
      <c r="Z924" s="9">
        <v>26500</v>
      </c>
      <c r="AA924" s="9">
        <v>34750</v>
      </c>
      <c r="AB924">
        <v>0.89673913043478259</v>
      </c>
      <c r="AC924" s="11">
        <v>124.32481244790218</v>
      </c>
      <c r="AD924" s="9">
        <v>27228.926553672314</v>
      </c>
      <c r="AE924" s="8">
        <v>0.25451263537906138</v>
      </c>
    </row>
    <row r="925" spans="1:31" x14ac:dyDescent="0.35">
      <c r="A925" s="12" t="s">
        <v>946</v>
      </c>
      <c r="B925" s="7">
        <v>4</v>
      </c>
      <c r="C925" s="7">
        <v>3</v>
      </c>
      <c r="D925" s="7">
        <v>8</v>
      </c>
      <c r="E925" s="7">
        <v>3</v>
      </c>
      <c r="F925">
        <v>1378255</v>
      </c>
      <c r="G925">
        <v>139250</v>
      </c>
      <c r="H925">
        <v>10.1</v>
      </c>
      <c r="I925">
        <v>145918</v>
      </c>
      <c r="J925">
        <v>10.59</v>
      </c>
      <c r="K925">
        <v>1640606</v>
      </c>
      <c r="L925">
        <v>313835</v>
      </c>
      <c r="M925">
        <v>1326771</v>
      </c>
      <c r="N925">
        <v>15619.16</v>
      </c>
      <c r="O925">
        <v>11.44</v>
      </c>
      <c r="P925">
        <v>13.71</v>
      </c>
      <c r="Q925">
        <v>1.74</v>
      </c>
      <c r="R925">
        <v>1.48</v>
      </c>
      <c r="S925">
        <v>96784</v>
      </c>
      <c r="T925">
        <v>761908</v>
      </c>
      <c r="U925">
        <v>896383</v>
      </c>
      <c r="V925">
        <v>240359</v>
      </c>
      <c r="W925">
        <v>9.1199999999999992</v>
      </c>
      <c r="X925" s="10">
        <v>0.76114473354032264</v>
      </c>
      <c r="Y925" s="9">
        <v>1503000</v>
      </c>
      <c r="Z925" s="9">
        <v>1295000</v>
      </c>
      <c r="AA925" s="9">
        <v>1421000</v>
      </c>
      <c r="AB925">
        <v>0.60576923076923073</v>
      </c>
      <c r="AC925" s="11">
        <v>2655.4598499583221</v>
      </c>
      <c r="AD925" s="9">
        <v>1306541.8079096044</v>
      </c>
      <c r="AE925" s="8">
        <v>6.9224981188863804E-2</v>
      </c>
    </row>
    <row r="926" spans="1:31" x14ac:dyDescent="0.35">
      <c r="A926" s="6" t="s">
        <v>947</v>
      </c>
      <c r="B926" s="7">
        <v>0</v>
      </c>
      <c r="C926" s="7">
        <v>0</v>
      </c>
      <c r="D926" s="7">
        <v>0</v>
      </c>
      <c r="E926" s="7">
        <v>18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 s="10">
        <v>0.71654678702439301</v>
      </c>
      <c r="Y926" s="9">
        <v>1130000</v>
      </c>
      <c r="Z926" s="9">
        <v>1001000</v>
      </c>
      <c r="AA926" s="9">
        <v>1083000</v>
      </c>
      <c r="AB926">
        <v>0.63565891472868219</v>
      </c>
      <c r="AC926" s="11">
        <v>1626.2295081967216</v>
      </c>
      <c r="AD926" s="9">
        <v>1015133.3333333333</v>
      </c>
      <c r="AE926" s="8">
        <v>6.0724779627815868E-2</v>
      </c>
    </row>
    <row r="927" spans="1:31" x14ac:dyDescent="0.35">
      <c r="A927" s="6" t="s">
        <v>948</v>
      </c>
      <c r="B927" s="7">
        <v>0</v>
      </c>
      <c r="C927" s="7">
        <v>9</v>
      </c>
      <c r="D927" s="7">
        <v>4</v>
      </c>
      <c r="E927" s="7">
        <v>5</v>
      </c>
      <c r="F927">
        <v>12117</v>
      </c>
      <c r="G927">
        <v>-168</v>
      </c>
      <c r="H927">
        <v>-1.39</v>
      </c>
      <c r="I927">
        <v>415</v>
      </c>
      <c r="J927">
        <v>3.42</v>
      </c>
      <c r="K927">
        <v>17946</v>
      </c>
      <c r="L927">
        <v>5973</v>
      </c>
      <c r="M927">
        <v>11973</v>
      </c>
      <c r="N927">
        <v>835.38</v>
      </c>
      <c r="O927">
        <v>3.56</v>
      </c>
      <c r="P927">
        <v>20.07</v>
      </c>
      <c r="Q927">
        <v>0.72</v>
      </c>
      <c r="R927">
        <v>0.69</v>
      </c>
      <c r="S927">
        <v>1629</v>
      </c>
      <c r="T927">
        <v>45141</v>
      </c>
      <c r="U927">
        <v>47575</v>
      </c>
      <c r="V927">
        <v>509</v>
      </c>
      <c r="W927">
        <v>22.11</v>
      </c>
      <c r="X927" s="10">
        <v>0.79200146490092016</v>
      </c>
      <c r="Y927" s="9">
        <v>41400</v>
      </c>
      <c r="Z927" s="9">
        <v>29800</v>
      </c>
      <c r="AA927" s="9">
        <v>41400</v>
      </c>
      <c r="AB927">
        <v>1</v>
      </c>
      <c r="AC927" s="11">
        <v>149.3206446235065</v>
      </c>
      <c r="AD927" s="9">
        <v>30326.55367231639</v>
      </c>
      <c r="AE927" s="8">
        <v>0.25264750378214829</v>
      </c>
    </row>
    <row r="928" spans="1:31" x14ac:dyDescent="0.35">
      <c r="A928" s="6" t="s">
        <v>949</v>
      </c>
      <c r="B928" s="7">
        <v>1</v>
      </c>
      <c r="C928" s="7">
        <v>12</v>
      </c>
      <c r="D928" s="7">
        <v>0</v>
      </c>
      <c r="E928" s="7">
        <v>5</v>
      </c>
      <c r="F928">
        <v>227</v>
      </c>
      <c r="G928">
        <v>-10</v>
      </c>
      <c r="H928">
        <v>-4.2300000000000004</v>
      </c>
      <c r="I928">
        <v>-43</v>
      </c>
      <c r="J928">
        <v>-19.12</v>
      </c>
      <c r="K928">
        <v>794</v>
      </c>
      <c r="L928">
        <v>379</v>
      </c>
      <c r="M928">
        <v>415</v>
      </c>
      <c r="N928">
        <v>271.85000000000002</v>
      </c>
      <c r="O928">
        <v>-19.190000000000001</v>
      </c>
      <c r="P928">
        <v>0</v>
      </c>
      <c r="Q928">
        <v>1.68</v>
      </c>
      <c r="R928">
        <v>1.71</v>
      </c>
      <c r="S928">
        <v>-345</v>
      </c>
      <c r="T928">
        <v>1841</v>
      </c>
      <c r="U928">
        <v>1805</v>
      </c>
      <c r="V928">
        <v>2</v>
      </c>
      <c r="W928">
        <v>615.57000000000005</v>
      </c>
      <c r="X928" s="10">
        <v>0.86362768577026761</v>
      </c>
      <c r="Y928" s="9">
        <v>6540</v>
      </c>
      <c r="Z928" s="9">
        <v>2275</v>
      </c>
      <c r="AA928" s="9">
        <v>6540</v>
      </c>
      <c r="AB928">
        <v>1</v>
      </c>
      <c r="AC928" s="11">
        <v>58.576965823839956</v>
      </c>
      <c r="AD928" s="9">
        <v>1738.9858757062148</v>
      </c>
      <c r="AE928" s="8">
        <v>1.8373101952277657</v>
      </c>
    </row>
    <row r="929" spans="1:31" x14ac:dyDescent="0.35">
      <c r="A929" s="6" t="s">
        <v>950</v>
      </c>
      <c r="B929" s="7">
        <v>2</v>
      </c>
      <c r="C929" s="7">
        <v>0</v>
      </c>
      <c r="D929" s="7">
        <v>7</v>
      </c>
      <c r="E929" s="7">
        <v>9</v>
      </c>
      <c r="F929">
        <v>125842</v>
      </c>
      <c r="G929">
        <v>1427</v>
      </c>
      <c r="H929">
        <v>1.1299999999999999</v>
      </c>
      <c r="I929">
        <v>1124</v>
      </c>
      <c r="J929">
        <v>0.89</v>
      </c>
      <c r="K929">
        <v>166860</v>
      </c>
      <c r="L929">
        <v>112396</v>
      </c>
      <c r="M929">
        <v>54463</v>
      </c>
      <c r="N929">
        <v>455.57</v>
      </c>
      <c r="O929">
        <v>2</v>
      </c>
      <c r="P929">
        <v>38.22</v>
      </c>
      <c r="Q929">
        <v>0.87</v>
      </c>
      <c r="R929">
        <v>0.34</v>
      </c>
      <c r="S929">
        <v>522</v>
      </c>
      <c r="T929">
        <v>23054</v>
      </c>
      <c r="U929">
        <v>58438</v>
      </c>
      <c r="V929">
        <v>3868</v>
      </c>
      <c r="W929">
        <v>19.47</v>
      </c>
      <c r="X929" s="10">
        <v>5.7658507624470785E-2</v>
      </c>
      <c r="Y929" s="9">
        <v>20650</v>
      </c>
      <c r="Z929" s="9">
        <v>17250</v>
      </c>
      <c r="AA929" s="9">
        <v>18350</v>
      </c>
      <c r="AB929">
        <v>0.3235294117647059</v>
      </c>
      <c r="AC929" s="11">
        <v>10.162545151430953</v>
      </c>
      <c r="AD929" s="9">
        <v>18555.875706214687</v>
      </c>
      <c r="AE929" s="8">
        <v>-9.1584158415841582E-2</v>
      </c>
    </row>
    <row r="930" spans="1:31" x14ac:dyDescent="0.35">
      <c r="A930" s="6" t="s">
        <v>951</v>
      </c>
      <c r="B930" s="7">
        <v>0</v>
      </c>
      <c r="C930" s="7">
        <v>0</v>
      </c>
      <c r="D930" s="7">
        <v>0</v>
      </c>
      <c r="E930" s="7">
        <v>18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 s="10">
        <v>0.65289581107228589</v>
      </c>
      <c r="Y930" s="9">
        <v>30800</v>
      </c>
      <c r="Z930" s="9">
        <v>22400</v>
      </c>
      <c r="AA930" s="9">
        <v>27750</v>
      </c>
      <c r="AB930">
        <v>0.63690476190476186</v>
      </c>
      <c r="AC930" s="11">
        <v>106.84356765768268</v>
      </c>
      <c r="AD930" s="9">
        <v>22674.60451977401</v>
      </c>
      <c r="AE930" s="8">
        <v>9.2519685039370081E-2</v>
      </c>
    </row>
    <row r="931" spans="1:31" x14ac:dyDescent="0.35">
      <c r="A931" s="6" t="s">
        <v>952</v>
      </c>
      <c r="B931" s="7">
        <v>2</v>
      </c>
      <c r="C931" s="7">
        <v>11</v>
      </c>
      <c r="D931" s="7">
        <v>1</v>
      </c>
      <c r="E931" s="7">
        <v>4</v>
      </c>
      <c r="F931">
        <v>30425</v>
      </c>
      <c r="G931">
        <v>1605</v>
      </c>
      <c r="H931">
        <v>5.27</v>
      </c>
      <c r="I931">
        <v>2435</v>
      </c>
      <c r="J931">
        <v>8</v>
      </c>
      <c r="K931">
        <v>250373</v>
      </c>
      <c r="L931">
        <v>216055</v>
      </c>
      <c r="M931">
        <v>34318</v>
      </c>
      <c r="N931">
        <v>816.97</v>
      </c>
      <c r="O931">
        <v>7.26</v>
      </c>
      <c r="P931">
        <v>13.58</v>
      </c>
      <c r="Q931">
        <v>1.03</v>
      </c>
      <c r="R931">
        <v>1.0900000000000001</v>
      </c>
      <c r="S931">
        <v>3280</v>
      </c>
      <c r="T931">
        <v>43443</v>
      </c>
      <c r="U931">
        <v>40975</v>
      </c>
      <c r="V931">
        <v>0</v>
      </c>
      <c r="W931">
        <v>0</v>
      </c>
      <c r="X931" s="10">
        <v>0.36233687693207878</v>
      </c>
      <c r="Y931" s="9">
        <v>50200</v>
      </c>
      <c r="Z931" s="9">
        <v>42350</v>
      </c>
      <c r="AA931" s="9">
        <v>50200</v>
      </c>
      <c r="AB931">
        <v>1</v>
      </c>
      <c r="AC931" s="11">
        <v>64.608224506807446</v>
      </c>
      <c r="AD931" s="9">
        <v>44288.615819209037</v>
      </c>
      <c r="AE931" s="8">
        <v>0.1167964404894327</v>
      </c>
    </row>
    <row r="932" spans="1:31" x14ac:dyDescent="0.35">
      <c r="A932" s="6" t="s">
        <v>953</v>
      </c>
      <c r="B932" s="7">
        <v>6</v>
      </c>
      <c r="C932" s="7">
        <v>7</v>
      </c>
      <c r="D932" s="7">
        <v>2</v>
      </c>
      <c r="E932" s="7">
        <v>3</v>
      </c>
      <c r="F932">
        <v>565</v>
      </c>
      <c r="G932">
        <v>35</v>
      </c>
      <c r="H932">
        <v>6.21</v>
      </c>
      <c r="I932">
        <v>33</v>
      </c>
      <c r="J932">
        <v>5.84</v>
      </c>
      <c r="K932">
        <v>786</v>
      </c>
      <c r="L932">
        <v>93</v>
      </c>
      <c r="M932">
        <v>694</v>
      </c>
      <c r="N932">
        <v>1287.07</v>
      </c>
      <c r="O932">
        <v>4.83</v>
      </c>
      <c r="P932">
        <v>20.36</v>
      </c>
      <c r="Q932">
        <v>0.97</v>
      </c>
      <c r="R932">
        <v>1.19</v>
      </c>
      <c r="S932">
        <v>330</v>
      </c>
      <c r="T932">
        <v>6929</v>
      </c>
      <c r="U932">
        <v>5649</v>
      </c>
      <c r="V932">
        <v>48</v>
      </c>
      <c r="W932">
        <v>14.05</v>
      </c>
      <c r="X932" s="10">
        <v>0.52807473828571849</v>
      </c>
      <c r="Y932" s="9">
        <v>11250</v>
      </c>
      <c r="Z932" s="9">
        <v>6700</v>
      </c>
      <c r="AA932" s="9">
        <v>11250</v>
      </c>
      <c r="AB932">
        <v>1</v>
      </c>
      <c r="AC932" s="11">
        <v>54.720755765490402</v>
      </c>
      <c r="AD932" s="9">
        <v>7439.6836158192091</v>
      </c>
      <c r="AE932" s="8">
        <v>0.65441176470588236</v>
      </c>
    </row>
    <row r="933" spans="1:31" x14ac:dyDescent="0.35">
      <c r="A933" s="6" t="s">
        <v>954</v>
      </c>
      <c r="B933" s="7">
        <v>5</v>
      </c>
      <c r="C933" s="7">
        <v>9</v>
      </c>
      <c r="D933" s="7">
        <v>2</v>
      </c>
      <c r="E933" s="7">
        <v>2</v>
      </c>
      <c r="F933">
        <v>34318</v>
      </c>
      <c r="G933">
        <v>8622</v>
      </c>
      <c r="H933">
        <v>25.12</v>
      </c>
      <c r="I933">
        <v>6534</v>
      </c>
      <c r="J933">
        <v>19.04</v>
      </c>
      <c r="K933">
        <v>176905</v>
      </c>
      <c r="L933">
        <v>112820</v>
      </c>
      <c r="M933">
        <v>64085</v>
      </c>
      <c r="N933">
        <v>943.39</v>
      </c>
      <c r="O933">
        <v>10.36</v>
      </c>
      <c r="P933">
        <v>7.81</v>
      </c>
      <c r="Q933">
        <v>0.83</v>
      </c>
      <c r="R933">
        <v>1.49</v>
      </c>
      <c r="S933">
        <v>5662</v>
      </c>
      <c r="T933">
        <v>53509</v>
      </c>
      <c r="U933">
        <v>29738</v>
      </c>
      <c r="V933">
        <v>0</v>
      </c>
      <c r="W933">
        <v>0</v>
      </c>
      <c r="X933" s="10">
        <v>0.28745600579797392</v>
      </c>
      <c r="Y933" s="9">
        <v>45050</v>
      </c>
      <c r="Z933" s="9">
        <v>35150</v>
      </c>
      <c r="AA933" s="9">
        <v>39250</v>
      </c>
      <c r="AB933">
        <v>0.41414141414141414</v>
      </c>
      <c r="AC933" s="11">
        <v>-56.176715754376218</v>
      </c>
      <c r="AD933" s="9">
        <v>39970.056497175137</v>
      </c>
      <c r="AE933" s="8">
        <v>-0.12874583795782463</v>
      </c>
    </row>
    <row r="934" spans="1:31" x14ac:dyDescent="0.35">
      <c r="A934" s="6" t="s">
        <v>955</v>
      </c>
      <c r="B934" s="7">
        <v>3</v>
      </c>
      <c r="C934" s="7">
        <v>1</v>
      </c>
      <c r="D934" s="7">
        <v>4</v>
      </c>
      <c r="E934" s="7">
        <v>10</v>
      </c>
      <c r="F934">
        <v>24826</v>
      </c>
      <c r="G934">
        <v>-80</v>
      </c>
      <c r="H934">
        <v>-0.32</v>
      </c>
      <c r="I934">
        <v>-1387</v>
      </c>
      <c r="J934">
        <v>-5.59</v>
      </c>
      <c r="K934">
        <v>33596</v>
      </c>
      <c r="L934">
        <v>18986</v>
      </c>
      <c r="M934">
        <v>14609</v>
      </c>
      <c r="N934">
        <v>449.95</v>
      </c>
      <c r="O934">
        <v>-9.24</v>
      </c>
      <c r="P934">
        <v>0</v>
      </c>
      <c r="Q934">
        <v>1.04</v>
      </c>
      <c r="R934">
        <v>0.51</v>
      </c>
      <c r="S934">
        <v>-2610</v>
      </c>
      <c r="T934">
        <v>22870</v>
      </c>
      <c r="U934">
        <v>46728</v>
      </c>
      <c r="V934">
        <v>686</v>
      </c>
      <c r="W934">
        <v>24.44</v>
      </c>
      <c r="X934" s="10">
        <v>0.32369589983826275</v>
      </c>
      <c r="Y934" s="9">
        <v>26200</v>
      </c>
      <c r="Z934" s="9">
        <v>21300</v>
      </c>
      <c r="AA934" s="9">
        <v>23850</v>
      </c>
      <c r="AB934">
        <v>0.52040816326530615</v>
      </c>
      <c r="AC934" s="11">
        <v>43.380105584884689</v>
      </c>
      <c r="AD934" s="9">
        <v>22321.073446327686</v>
      </c>
      <c r="AE934" s="8">
        <v>8.4566596194503175E-3</v>
      </c>
    </row>
    <row r="935" spans="1:31" x14ac:dyDescent="0.35">
      <c r="A935" s="6" t="s">
        <v>956</v>
      </c>
      <c r="B935" s="7">
        <v>2</v>
      </c>
      <c r="C935" s="7">
        <v>11</v>
      </c>
      <c r="D935" s="7">
        <v>3</v>
      </c>
      <c r="E935" s="7">
        <v>2</v>
      </c>
      <c r="F935">
        <v>206753</v>
      </c>
      <c r="G935">
        <v>10638</v>
      </c>
      <c r="H935">
        <v>5.15</v>
      </c>
      <c r="I935">
        <v>7966</v>
      </c>
      <c r="J935">
        <v>3.85</v>
      </c>
      <c r="K935">
        <v>576319</v>
      </c>
      <c r="L935">
        <v>481824</v>
      </c>
      <c r="M935">
        <v>94495</v>
      </c>
      <c r="N935">
        <v>39248.550000000003</v>
      </c>
      <c r="O935">
        <v>9.2200000000000006</v>
      </c>
      <c r="P935">
        <v>15.78</v>
      </c>
      <c r="Q935">
        <v>1.54</v>
      </c>
      <c r="R935">
        <v>0.61</v>
      </c>
      <c r="S935">
        <v>17904</v>
      </c>
      <c r="T935">
        <v>183608</v>
      </c>
      <c r="U935">
        <v>459616</v>
      </c>
      <c r="V935">
        <v>0</v>
      </c>
      <c r="W935">
        <v>0</v>
      </c>
      <c r="X935" s="10">
        <v>0.53796556752259905</v>
      </c>
      <c r="Y935" s="9">
        <v>317500</v>
      </c>
      <c r="Z935" s="9">
        <v>244000</v>
      </c>
      <c r="AA935" s="9">
        <v>265000</v>
      </c>
      <c r="AB935">
        <v>0.2857142857142857</v>
      </c>
      <c r="AC935" s="11">
        <v>-811.23923312031116</v>
      </c>
      <c r="AD935" s="9">
        <v>303117.79661016946</v>
      </c>
      <c r="AE935" s="8">
        <v>-8.3044982698961933E-2</v>
      </c>
    </row>
    <row r="936" spans="1:31" x14ac:dyDescent="0.35">
      <c r="A936" s="6" t="s">
        <v>957</v>
      </c>
      <c r="B936" s="7">
        <v>0</v>
      </c>
      <c r="C936" s="7">
        <v>0</v>
      </c>
      <c r="D936" s="7">
        <v>0</v>
      </c>
      <c r="E936" s="7">
        <v>18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 s="10">
        <v>0.63622641200724062</v>
      </c>
      <c r="Y936" s="9">
        <v>176000</v>
      </c>
      <c r="Z936" s="9">
        <v>144000</v>
      </c>
      <c r="AA936" s="9">
        <v>153500</v>
      </c>
      <c r="AB936">
        <v>0.296875</v>
      </c>
      <c r="AC936" s="11">
        <v>-461.80883578771881</v>
      </c>
      <c r="AD936" s="9">
        <v>174893.50282485876</v>
      </c>
      <c r="AE936" s="8">
        <v>-0.10495626822157435</v>
      </c>
    </row>
    <row r="937" spans="1:31" x14ac:dyDescent="0.35">
      <c r="A937" s="6" t="s">
        <v>958</v>
      </c>
      <c r="B937" s="7">
        <v>3</v>
      </c>
      <c r="C937" s="7">
        <v>6</v>
      </c>
      <c r="D937" s="7">
        <v>1</v>
      </c>
      <c r="E937" s="7">
        <v>8</v>
      </c>
      <c r="F937">
        <v>1250</v>
      </c>
      <c r="G937">
        <v>2</v>
      </c>
      <c r="H937">
        <v>0.15</v>
      </c>
      <c r="I937">
        <v>9</v>
      </c>
      <c r="J937">
        <v>0.71</v>
      </c>
      <c r="K937">
        <v>1941</v>
      </c>
      <c r="L937">
        <v>854</v>
      </c>
      <c r="M937">
        <v>1087</v>
      </c>
      <c r="N937">
        <v>1877.15</v>
      </c>
      <c r="O937">
        <v>0.81</v>
      </c>
      <c r="P937">
        <v>36.5</v>
      </c>
      <c r="Q937">
        <v>0.3</v>
      </c>
      <c r="R937">
        <v>0.26</v>
      </c>
      <c r="S937">
        <v>80</v>
      </c>
      <c r="T937">
        <v>9878</v>
      </c>
      <c r="U937">
        <v>11362</v>
      </c>
      <c r="V937">
        <v>50</v>
      </c>
      <c r="W937">
        <v>17.29</v>
      </c>
      <c r="X937" s="10">
        <v>0.76492541200979591</v>
      </c>
      <c r="Y937" s="9">
        <v>4045</v>
      </c>
      <c r="Z937" s="9">
        <v>2795</v>
      </c>
      <c r="AA937" s="9">
        <v>3815</v>
      </c>
      <c r="AB937">
        <v>0.81599999999999995</v>
      </c>
      <c r="AC937" s="11">
        <v>17.526118366212842</v>
      </c>
      <c r="AD937" s="9">
        <v>2606.036723163842</v>
      </c>
      <c r="AE937" s="8">
        <v>0.33859649122807017</v>
      </c>
    </row>
    <row r="938" spans="1:31" x14ac:dyDescent="0.35">
      <c r="A938" s="6" t="s">
        <v>959</v>
      </c>
      <c r="B938" s="7">
        <v>5</v>
      </c>
      <c r="C938" s="7">
        <v>6</v>
      </c>
      <c r="D938" s="7">
        <v>3</v>
      </c>
      <c r="E938" s="7">
        <v>4</v>
      </c>
      <c r="F938">
        <v>568</v>
      </c>
      <c r="G938">
        <v>58</v>
      </c>
      <c r="H938">
        <v>10.24</v>
      </c>
      <c r="I938">
        <v>81</v>
      </c>
      <c r="J938">
        <v>14.21</v>
      </c>
      <c r="K938">
        <v>1459</v>
      </c>
      <c r="L938">
        <v>117</v>
      </c>
      <c r="M938">
        <v>1342</v>
      </c>
      <c r="N938">
        <v>2029.73</v>
      </c>
      <c r="O938">
        <v>6.17</v>
      </c>
      <c r="P938">
        <v>8.4</v>
      </c>
      <c r="Q938">
        <v>0.56000000000000005</v>
      </c>
      <c r="R938">
        <v>1.19</v>
      </c>
      <c r="S938">
        <v>1322</v>
      </c>
      <c r="T938">
        <v>19817</v>
      </c>
      <c r="U938">
        <v>9303</v>
      </c>
      <c r="V938">
        <v>79</v>
      </c>
      <c r="W938">
        <v>8.9499999999999993</v>
      </c>
      <c r="X938" s="10">
        <v>0.92004368704941308</v>
      </c>
      <c r="Y938" s="9">
        <v>14200</v>
      </c>
      <c r="Z938" s="9">
        <v>11100</v>
      </c>
      <c r="AA938" s="9">
        <v>13850</v>
      </c>
      <c r="AB938">
        <v>0.88709677419354838</v>
      </c>
      <c r="AC938" s="11">
        <v>47.939705473742713</v>
      </c>
      <c r="AD938" s="9">
        <v>10943.672316384182</v>
      </c>
      <c r="AE938" s="8">
        <v>0.22026431718061673</v>
      </c>
    </row>
    <row r="939" spans="1:31" x14ac:dyDescent="0.35">
      <c r="A939" s="6" t="s">
        <v>960</v>
      </c>
      <c r="B939" s="7">
        <v>4</v>
      </c>
      <c r="C939" s="7">
        <v>10</v>
      </c>
      <c r="D939" s="7">
        <v>0</v>
      </c>
      <c r="E939" s="7">
        <v>4</v>
      </c>
      <c r="F939">
        <v>12643</v>
      </c>
      <c r="G939">
        <v>346</v>
      </c>
      <c r="H939">
        <v>2.73</v>
      </c>
      <c r="I939">
        <v>285</v>
      </c>
      <c r="J939">
        <v>2.2599999999999998</v>
      </c>
      <c r="K939">
        <v>10567</v>
      </c>
      <c r="L939">
        <v>4798</v>
      </c>
      <c r="M939">
        <v>5769</v>
      </c>
      <c r="N939">
        <v>1735.8</v>
      </c>
      <c r="O939">
        <v>5.65</v>
      </c>
      <c r="P939">
        <v>10.78</v>
      </c>
      <c r="Q939">
        <v>0.68</v>
      </c>
      <c r="R939">
        <v>0.25</v>
      </c>
      <c r="S939">
        <v>5721</v>
      </c>
      <c r="T939">
        <v>90440</v>
      </c>
      <c r="U939">
        <v>251463</v>
      </c>
      <c r="V939">
        <v>521</v>
      </c>
      <c r="W939">
        <v>9.58</v>
      </c>
      <c r="X939" s="10">
        <v>0.61502905621573156</v>
      </c>
      <c r="Y939" s="9">
        <v>83700</v>
      </c>
      <c r="Z939" s="9">
        <v>58200</v>
      </c>
      <c r="AA939" s="9">
        <v>83700</v>
      </c>
      <c r="AB939">
        <v>1</v>
      </c>
      <c r="AC939" s="11">
        <v>256.20727979994444</v>
      </c>
      <c r="AD939" s="9">
        <v>59034.01129943502</v>
      </c>
      <c r="AE939" s="8">
        <v>0.31811023622047246</v>
      </c>
    </row>
    <row r="940" spans="1:31" x14ac:dyDescent="0.35">
      <c r="A940" s="6" t="s">
        <v>961</v>
      </c>
      <c r="B940" s="7">
        <v>0</v>
      </c>
      <c r="C940" s="7">
        <v>0</v>
      </c>
      <c r="D940" s="7">
        <v>0</v>
      </c>
      <c r="E940" s="7">
        <v>18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 s="10">
        <v>0.74807041777787653</v>
      </c>
      <c r="Y940" s="9">
        <v>43750</v>
      </c>
      <c r="Z940" s="9">
        <v>31450</v>
      </c>
      <c r="AA940" s="9">
        <v>43750</v>
      </c>
      <c r="AB940">
        <v>1</v>
      </c>
      <c r="AC940" s="11">
        <v>132.93692692414561</v>
      </c>
      <c r="AD940" s="9">
        <v>31248.757062146895</v>
      </c>
      <c r="AE940" s="8">
        <v>0.24643874643874644</v>
      </c>
    </row>
    <row r="941" spans="1:31" x14ac:dyDescent="0.35">
      <c r="A941" s="6" t="s">
        <v>962</v>
      </c>
      <c r="B941" s="7">
        <v>5</v>
      </c>
      <c r="C941" s="7">
        <v>6</v>
      </c>
      <c r="D941" s="7">
        <v>6</v>
      </c>
      <c r="E941" s="7">
        <v>1</v>
      </c>
      <c r="F941">
        <v>3060</v>
      </c>
      <c r="G941">
        <v>96</v>
      </c>
      <c r="H941">
        <v>3.12</v>
      </c>
      <c r="I941">
        <v>75</v>
      </c>
      <c r="J941">
        <v>2.4500000000000002</v>
      </c>
      <c r="K941">
        <v>2866</v>
      </c>
      <c r="L941">
        <v>1237</v>
      </c>
      <c r="M941">
        <v>1629</v>
      </c>
      <c r="N941">
        <v>332.62</v>
      </c>
      <c r="O941">
        <v>4.6900000000000004</v>
      </c>
      <c r="P941">
        <v>21.31</v>
      </c>
      <c r="Q941">
        <v>1.01</v>
      </c>
      <c r="R941">
        <v>0.52</v>
      </c>
      <c r="S941">
        <v>997</v>
      </c>
      <c r="T941">
        <v>21128</v>
      </c>
      <c r="U941">
        <v>40619</v>
      </c>
      <c r="V941">
        <v>149</v>
      </c>
      <c r="W941">
        <v>13.08</v>
      </c>
      <c r="X941" s="10">
        <v>0.84127354187817216</v>
      </c>
      <c r="Y941" s="9">
        <v>24500</v>
      </c>
      <c r="Z941" s="9">
        <v>20550</v>
      </c>
      <c r="AA941" s="9">
        <v>23850</v>
      </c>
      <c r="AB941">
        <v>0.83544303797468356</v>
      </c>
      <c r="AC941" s="11">
        <v>55.884968046679624</v>
      </c>
      <c r="AD941" s="9">
        <v>20382.17514124294</v>
      </c>
      <c r="AE941" s="8">
        <v>0.12235294117647059</v>
      </c>
    </row>
    <row r="942" spans="1:31" x14ac:dyDescent="0.35">
      <c r="A942" s="6" t="s">
        <v>963</v>
      </c>
      <c r="B942" s="7">
        <v>10</v>
      </c>
      <c r="C942" s="7">
        <v>3</v>
      </c>
      <c r="D942" s="7">
        <v>3</v>
      </c>
      <c r="E942" s="7">
        <v>2</v>
      </c>
      <c r="F942">
        <v>3671</v>
      </c>
      <c r="G942">
        <v>330</v>
      </c>
      <c r="H942">
        <v>8.99</v>
      </c>
      <c r="I942">
        <v>288</v>
      </c>
      <c r="J942">
        <v>7.86</v>
      </c>
      <c r="K942">
        <v>4885</v>
      </c>
      <c r="L942">
        <v>1479</v>
      </c>
      <c r="M942">
        <v>3406</v>
      </c>
      <c r="N942">
        <v>3234.97</v>
      </c>
      <c r="O942">
        <v>8.76</v>
      </c>
      <c r="P942">
        <v>6.37</v>
      </c>
      <c r="Q942">
        <v>0.59</v>
      </c>
      <c r="R942">
        <v>0.5</v>
      </c>
      <c r="S942">
        <v>15048</v>
      </c>
      <c r="T942">
        <v>161030</v>
      </c>
      <c r="U942">
        <v>190235</v>
      </c>
      <c r="V942">
        <v>411</v>
      </c>
      <c r="W942">
        <v>4.68</v>
      </c>
      <c r="X942" s="10">
        <v>0.62833973134727927</v>
      </c>
      <c r="Y942" s="9">
        <v>127000</v>
      </c>
      <c r="Z942" s="9">
        <v>92300</v>
      </c>
      <c r="AA942" s="9">
        <v>122000</v>
      </c>
      <c r="AB942">
        <v>0.85590778097982712</v>
      </c>
      <c r="AC942" s="11">
        <v>340.02222839677682</v>
      </c>
      <c r="AD942" s="9">
        <v>95935.98870056498</v>
      </c>
      <c r="AE942" s="8">
        <v>0.25773195876288657</v>
      </c>
    </row>
    <row r="943" spans="1:31" x14ac:dyDescent="0.35">
      <c r="A943" s="6" t="s">
        <v>964</v>
      </c>
      <c r="B943" s="7">
        <v>0</v>
      </c>
      <c r="C943" s="7">
        <v>0</v>
      </c>
      <c r="D943" s="7">
        <v>0</v>
      </c>
      <c r="E943" s="7">
        <v>18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 s="10">
        <v>0.56021636203770364</v>
      </c>
      <c r="Y943" s="9">
        <v>62000</v>
      </c>
      <c r="Z943" s="9">
        <v>53100</v>
      </c>
      <c r="AA943" s="9">
        <v>61100</v>
      </c>
      <c r="AB943">
        <v>0.898876404494382</v>
      </c>
      <c r="AC943" s="11">
        <v>91.706029452625728</v>
      </c>
      <c r="AD943" s="9">
        <v>53364.632768361582</v>
      </c>
      <c r="AE943" s="8">
        <v>7.7601410934744264E-2</v>
      </c>
    </row>
    <row r="944" spans="1:31" x14ac:dyDescent="0.35">
      <c r="A944" s="6" t="s">
        <v>965</v>
      </c>
      <c r="B944" s="7">
        <v>6</v>
      </c>
      <c r="C944" s="7">
        <v>10</v>
      </c>
      <c r="D944" s="7">
        <v>2</v>
      </c>
      <c r="E944" s="7">
        <v>0</v>
      </c>
      <c r="F944">
        <v>1970</v>
      </c>
      <c r="G944">
        <v>86</v>
      </c>
      <c r="H944">
        <v>4.3600000000000003</v>
      </c>
      <c r="I944">
        <v>101</v>
      </c>
      <c r="J944">
        <v>5.13</v>
      </c>
      <c r="K944">
        <v>2908</v>
      </c>
      <c r="L944">
        <v>752</v>
      </c>
      <c r="M944">
        <v>2156</v>
      </c>
      <c r="N944">
        <v>1337.19</v>
      </c>
      <c r="O944">
        <v>4.7699999999999996</v>
      </c>
      <c r="P944">
        <v>25.68</v>
      </c>
      <c r="Q944">
        <v>1.21</v>
      </c>
      <c r="R944">
        <v>1.32</v>
      </c>
      <c r="S944">
        <v>3365</v>
      </c>
      <c r="T944">
        <v>71589</v>
      </c>
      <c r="U944">
        <v>65657</v>
      </c>
      <c r="V944">
        <v>114</v>
      </c>
      <c r="W944">
        <v>22.79</v>
      </c>
      <c r="X944" s="10">
        <v>0.84269655765597573</v>
      </c>
      <c r="Y944" s="9">
        <v>124500</v>
      </c>
      <c r="Z944" s="9">
        <v>85900</v>
      </c>
      <c r="AA944" s="9">
        <v>124500</v>
      </c>
      <c r="AB944">
        <v>1</v>
      </c>
      <c r="AC944" s="11">
        <v>459.07196443456525</v>
      </c>
      <c r="AD944" s="9">
        <v>90854.971751412435</v>
      </c>
      <c r="AE944" s="8">
        <v>0.44935972060535506</v>
      </c>
    </row>
    <row r="945" spans="1:31" x14ac:dyDescent="0.35">
      <c r="A945" s="6" t="s">
        <v>966</v>
      </c>
      <c r="B945" s="7">
        <v>9</v>
      </c>
      <c r="C945" s="7">
        <v>6</v>
      </c>
      <c r="D945" s="7">
        <v>0</v>
      </c>
      <c r="E945" s="7">
        <v>3</v>
      </c>
      <c r="F945">
        <v>2134</v>
      </c>
      <c r="G945">
        <v>499</v>
      </c>
      <c r="H945">
        <v>23.38</v>
      </c>
      <c r="I945">
        <v>474</v>
      </c>
      <c r="J945">
        <v>22.21</v>
      </c>
      <c r="K945">
        <v>13097</v>
      </c>
      <c r="L945">
        <v>2785</v>
      </c>
      <c r="M945">
        <v>10312</v>
      </c>
      <c r="N945">
        <v>2248.12</v>
      </c>
      <c r="O945">
        <v>4.7699999999999996</v>
      </c>
      <c r="P945">
        <v>14.4</v>
      </c>
      <c r="Q945">
        <v>0.78</v>
      </c>
      <c r="R945">
        <v>3.2</v>
      </c>
      <c r="S945">
        <v>6228</v>
      </c>
      <c r="T945">
        <v>115660</v>
      </c>
      <c r="U945">
        <v>28023</v>
      </c>
      <c r="V945">
        <v>526</v>
      </c>
      <c r="W945">
        <v>14.94</v>
      </c>
      <c r="X945" s="10">
        <v>9.7608530113376529E-3</v>
      </c>
      <c r="Y945" s="9">
        <v>95100</v>
      </c>
      <c r="Z945" s="9">
        <v>82600</v>
      </c>
      <c r="AA945" s="9">
        <v>92600</v>
      </c>
      <c r="AB945">
        <v>0.8</v>
      </c>
      <c r="AC945" s="11">
        <v>-16.518477354820785</v>
      </c>
      <c r="AD945" s="9">
        <v>90232.146892655364</v>
      </c>
      <c r="AE945" s="8">
        <v>2.2075055187637971E-2</v>
      </c>
    </row>
    <row r="946" spans="1:31" x14ac:dyDescent="0.35">
      <c r="A946" s="6" t="s">
        <v>967</v>
      </c>
      <c r="B946" s="7">
        <v>0</v>
      </c>
      <c r="C946" s="7">
        <v>0</v>
      </c>
      <c r="D946" s="7">
        <v>0</v>
      </c>
      <c r="E946" s="7">
        <v>18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 s="10">
        <v>0.75259690001327928</v>
      </c>
      <c r="Y946" s="9">
        <v>43850</v>
      </c>
      <c r="Z946" s="9">
        <v>40000</v>
      </c>
      <c r="AA946" s="9">
        <v>43300</v>
      </c>
      <c r="AB946">
        <v>0.8571428571428571</v>
      </c>
      <c r="AC946" s="11">
        <v>58.395387607668795</v>
      </c>
      <c r="AD946" s="9">
        <v>40124.774011299436</v>
      </c>
      <c r="AE946" s="8">
        <v>5.6097560975609757E-2</v>
      </c>
    </row>
    <row r="947" spans="1:31" x14ac:dyDescent="0.35">
      <c r="A947" s="6" t="s">
        <v>968</v>
      </c>
      <c r="B947" s="7">
        <v>9</v>
      </c>
      <c r="C947" s="7">
        <v>3</v>
      </c>
      <c r="D947" s="7">
        <v>0</v>
      </c>
      <c r="E947" s="7">
        <v>6</v>
      </c>
      <c r="F947">
        <v>2626</v>
      </c>
      <c r="G947">
        <v>46</v>
      </c>
      <c r="H947">
        <v>1.76</v>
      </c>
      <c r="I947">
        <v>142</v>
      </c>
      <c r="J947">
        <v>5.4</v>
      </c>
      <c r="K947">
        <v>2516</v>
      </c>
      <c r="L947">
        <v>454</v>
      </c>
      <c r="M947">
        <v>2062</v>
      </c>
      <c r="N947">
        <v>2417.5700000000002</v>
      </c>
      <c r="O947">
        <v>7.08</v>
      </c>
      <c r="P947">
        <v>27.01</v>
      </c>
      <c r="Q947">
        <v>1.92</v>
      </c>
      <c r="R947">
        <v>1.46</v>
      </c>
      <c r="S947">
        <v>885</v>
      </c>
      <c r="T947">
        <v>12432</v>
      </c>
      <c r="U947">
        <v>16390</v>
      </c>
      <c r="V947">
        <v>51</v>
      </c>
      <c r="W947">
        <v>77.22</v>
      </c>
      <c r="X947" s="10">
        <v>0.38518266922427197</v>
      </c>
      <c r="Y947" s="9">
        <v>24400</v>
      </c>
      <c r="Z947" s="9">
        <v>21150</v>
      </c>
      <c r="AA947" s="9">
        <v>23900</v>
      </c>
      <c r="AB947">
        <v>0.84615384615384615</v>
      </c>
      <c r="AC947" s="11">
        <v>-33.043901083634339</v>
      </c>
      <c r="AD947" s="9">
        <v>23478.672316384178</v>
      </c>
      <c r="AE947" s="8">
        <v>8.4388185654008432E-3</v>
      </c>
    </row>
    <row r="948" spans="1:31" x14ac:dyDescent="0.35">
      <c r="A948" s="6" t="s">
        <v>969</v>
      </c>
      <c r="B948" s="7">
        <v>1</v>
      </c>
      <c r="C948" s="7">
        <v>0</v>
      </c>
      <c r="D948" s="7">
        <v>8</v>
      </c>
      <c r="E948" s="7">
        <v>9</v>
      </c>
      <c r="F948">
        <v>901</v>
      </c>
      <c r="G948">
        <v>2</v>
      </c>
      <c r="H948">
        <v>0.26</v>
      </c>
      <c r="I948">
        <v>-9</v>
      </c>
      <c r="J948">
        <v>-0.98</v>
      </c>
      <c r="K948">
        <v>1356</v>
      </c>
      <c r="L948">
        <v>600</v>
      </c>
      <c r="M948">
        <v>756</v>
      </c>
      <c r="N948">
        <v>1040.9000000000001</v>
      </c>
      <c r="O948">
        <v>-1.1399999999999999</v>
      </c>
      <c r="P948">
        <v>0</v>
      </c>
      <c r="Q948">
        <v>0.56999999999999995</v>
      </c>
      <c r="R948">
        <v>0.47</v>
      </c>
      <c r="S948">
        <v>-66</v>
      </c>
      <c r="T948">
        <v>5521</v>
      </c>
      <c r="U948">
        <v>6770</v>
      </c>
      <c r="V948">
        <v>21</v>
      </c>
      <c r="W948">
        <v>31</v>
      </c>
      <c r="X948" s="10">
        <v>0.25524716855155266</v>
      </c>
      <c r="Y948" s="9">
        <v>3670</v>
      </c>
      <c r="Z948" s="9">
        <v>3090</v>
      </c>
      <c r="AA948" s="9">
        <v>3515</v>
      </c>
      <c r="AB948">
        <v>0.73275862068965514</v>
      </c>
      <c r="AC948" s="11">
        <v>4.1882467352042232</v>
      </c>
      <c r="AD948" s="9">
        <v>3241.3418079096045</v>
      </c>
      <c r="AE948" s="8">
        <v>0.13754045307443366</v>
      </c>
    </row>
    <row r="949" spans="1:31" x14ac:dyDescent="0.35">
      <c r="A949" s="6" t="s">
        <v>970</v>
      </c>
      <c r="B949" s="7">
        <v>8</v>
      </c>
      <c r="C949" s="7">
        <v>1</v>
      </c>
      <c r="D949" s="7">
        <v>1</v>
      </c>
      <c r="E949" s="7">
        <v>8</v>
      </c>
      <c r="F949">
        <v>306</v>
      </c>
      <c r="G949">
        <v>55</v>
      </c>
      <c r="H949">
        <v>17.829999999999998</v>
      </c>
      <c r="I949">
        <v>47</v>
      </c>
      <c r="J949">
        <v>15.36</v>
      </c>
      <c r="K949">
        <v>863</v>
      </c>
      <c r="L949">
        <v>125</v>
      </c>
      <c r="M949">
        <v>738</v>
      </c>
      <c r="N949">
        <v>1576.82</v>
      </c>
      <c r="O949">
        <v>8.66</v>
      </c>
      <c r="P949">
        <v>12.72</v>
      </c>
      <c r="Q949">
        <v>1.23</v>
      </c>
      <c r="R949">
        <v>1.95</v>
      </c>
      <c r="S949">
        <v>712</v>
      </c>
      <c r="T949">
        <v>7366</v>
      </c>
      <c r="U949">
        <v>4635</v>
      </c>
      <c r="V949">
        <v>96</v>
      </c>
      <c r="W949">
        <v>8.59</v>
      </c>
      <c r="X949" s="10">
        <v>8.1958075709261835E-2</v>
      </c>
      <c r="Y949" s="9">
        <v>9490</v>
      </c>
      <c r="Z949" s="9">
        <v>8780</v>
      </c>
      <c r="AA949" s="9">
        <v>9100</v>
      </c>
      <c r="AB949">
        <v>0.45070422535211269</v>
      </c>
      <c r="AC949" s="11">
        <v>-2.5245901639344264</v>
      </c>
      <c r="AD949" s="9">
        <v>9187</v>
      </c>
      <c r="AE949" s="8">
        <v>0</v>
      </c>
    </row>
    <row r="950" spans="1:31" x14ac:dyDescent="0.35">
      <c r="A950" s="6" t="s">
        <v>971</v>
      </c>
      <c r="B950" s="7">
        <v>11</v>
      </c>
      <c r="C950" s="7">
        <v>2</v>
      </c>
      <c r="D950" s="7">
        <v>1</v>
      </c>
      <c r="E950" s="7">
        <v>4</v>
      </c>
      <c r="F950">
        <v>2219</v>
      </c>
      <c r="G950">
        <v>103</v>
      </c>
      <c r="H950">
        <v>4.66</v>
      </c>
      <c r="I950">
        <v>170</v>
      </c>
      <c r="J950">
        <v>7.68</v>
      </c>
      <c r="K950">
        <v>4326</v>
      </c>
      <c r="L950">
        <v>212</v>
      </c>
      <c r="M950">
        <v>4115</v>
      </c>
      <c r="N950">
        <v>4014.62</v>
      </c>
      <c r="O950">
        <v>4.21</v>
      </c>
      <c r="P950">
        <v>13.91</v>
      </c>
      <c r="Q950">
        <v>0.57999999999999996</v>
      </c>
      <c r="R950">
        <v>1.07</v>
      </c>
      <c r="S950">
        <v>852</v>
      </c>
      <c r="T950">
        <v>20570</v>
      </c>
      <c r="U950">
        <v>11095</v>
      </c>
      <c r="V950">
        <v>233</v>
      </c>
      <c r="W950">
        <v>10.19</v>
      </c>
      <c r="X950" s="10">
        <v>0.64134406579700931</v>
      </c>
      <c r="Y950" s="9">
        <v>14100</v>
      </c>
      <c r="Z950" s="9">
        <v>11500</v>
      </c>
      <c r="AA950" s="9">
        <v>13950</v>
      </c>
      <c r="AB950">
        <v>0.94230769230769229</v>
      </c>
      <c r="AC950" s="11">
        <v>36.319811058627387</v>
      </c>
      <c r="AD950" s="9">
        <v>11233.0790960452</v>
      </c>
      <c r="AE950" s="8">
        <v>0.20779220779220781</v>
      </c>
    </row>
    <row r="951" spans="1:31" x14ac:dyDescent="0.35">
      <c r="A951" s="6" t="s">
        <v>972</v>
      </c>
      <c r="B951" s="7">
        <v>3</v>
      </c>
      <c r="C951" s="7">
        <v>0</v>
      </c>
      <c r="D951" s="7">
        <v>5</v>
      </c>
      <c r="E951" s="7">
        <v>10</v>
      </c>
      <c r="F951">
        <v>53</v>
      </c>
      <c r="G951">
        <v>-18</v>
      </c>
      <c r="H951">
        <v>-33.6</v>
      </c>
      <c r="I951">
        <v>-25</v>
      </c>
      <c r="J951">
        <v>-46.34</v>
      </c>
      <c r="K951">
        <v>261</v>
      </c>
      <c r="L951">
        <v>71</v>
      </c>
      <c r="M951">
        <v>190</v>
      </c>
      <c r="N951">
        <v>56.37</v>
      </c>
      <c r="O951">
        <v>-12.99</v>
      </c>
      <c r="P951">
        <v>0</v>
      </c>
      <c r="Q951">
        <v>0.81</v>
      </c>
      <c r="R951">
        <v>2.42</v>
      </c>
      <c r="S951">
        <v>-121</v>
      </c>
      <c r="T951">
        <v>774</v>
      </c>
      <c r="U951">
        <v>260</v>
      </c>
      <c r="V951">
        <v>-8</v>
      </c>
      <c r="W951">
        <v>-24.99</v>
      </c>
      <c r="X951" s="10">
        <v>0.48889138721229813</v>
      </c>
      <c r="Y951" s="9">
        <v>791</v>
      </c>
      <c r="Z951" s="9">
        <v>621</v>
      </c>
      <c r="AA951" s="9">
        <v>709</v>
      </c>
      <c r="AB951">
        <v>0.51764705882352946</v>
      </c>
      <c r="AC951" s="11">
        <v>1.8932481244790225</v>
      </c>
      <c r="AD951" s="9">
        <v>643.92259887005639</v>
      </c>
      <c r="AE951" s="8">
        <v>0.14170692431561996</v>
      </c>
    </row>
    <row r="952" spans="1:31" x14ac:dyDescent="0.35">
      <c r="A952" s="6" t="s">
        <v>973</v>
      </c>
      <c r="B952" s="7">
        <v>0</v>
      </c>
      <c r="C952" s="7">
        <v>0</v>
      </c>
      <c r="D952" s="7">
        <v>2</v>
      </c>
      <c r="E952" s="7">
        <v>16</v>
      </c>
      <c r="F952">
        <v>1311</v>
      </c>
      <c r="G952">
        <v>-68</v>
      </c>
      <c r="H952">
        <v>-5.2</v>
      </c>
      <c r="I952">
        <v>-125</v>
      </c>
      <c r="J952">
        <v>-9.5</v>
      </c>
      <c r="K952">
        <v>1602</v>
      </c>
      <c r="L952">
        <v>399</v>
      </c>
      <c r="M952">
        <v>1203</v>
      </c>
      <c r="N952">
        <v>607.98</v>
      </c>
      <c r="O952">
        <v>-9.84</v>
      </c>
      <c r="P952">
        <v>0</v>
      </c>
      <c r="Q952">
        <v>0.43</v>
      </c>
      <c r="R952">
        <v>0.4</v>
      </c>
      <c r="S952">
        <v>-366</v>
      </c>
      <c r="T952">
        <v>3539</v>
      </c>
      <c r="U952">
        <v>3857</v>
      </c>
      <c r="V952">
        <v>-22</v>
      </c>
      <c r="W952">
        <v>-31.61</v>
      </c>
      <c r="X952" s="10">
        <v>0.78271030308332923</v>
      </c>
      <c r="Y952" s="9">
        <v>1770</v>
      </c>
      <c r="Z952" s="9">
        <v>1440</v>
      </c>
      <c r="AA952" s="9">
        <v>1680</v>
      </c>
      <c r="AB952">
        <v>0.72727272727272729</v>
      </c>
      <c r="AC952" s="11">
        <v>5.1282300639066412</v>
      </c>
      <c r="AD952" s="9">
        <v>1444.5056497175142</v>
      </c>
      <c r="AE952" s="8">
        <v>9.8039215686274508E-2</v>
      </c>
    </row>
    <row r="953" spans="1:31" x14ac:dyDescent="0.35">
      <c r="A953" s="6" t="s">
        <v>974</v>
      </c>
      <c r="B953" s="7">
        <v>4</v>
      </c>
      <c r="C953" s="7">
        <v>0</v>
      </c>
      <c r="D953" s="7">
        <v>12</v>
      </c>
      <c r="E953" s="7">
        <v>2</v>
      </c>
      <c r="F953">
        <v>1162</v>
      </c>
      <c r="G953">
        <v>2</v>
      </c>
      <c r="H953">
        <v>0.2</v>
      </c>
      <c r="I953">
        <v>-15</v>
      </c>
      <c r="J953">
        <v>-1.29</v>
      </c>
      <c r="K953">
        <v>1088</v>
      </c>
      <c r="L953">
        <v>696</v>
      </c>
      <c r="M953">
        <v>392</v>
      </c>
      <c r="N953">
        <v>628.51</v>
      </c>
      <c r="O953">
        <v>-4.01</v>
      </c>
      <c r="P953">
        <v>0</v>
      </c>
      <c r="Q953">
        <v>0.86</v>
      </c>
      <c r="R953">
        <v>0.27</v>
      </c>
      <c r="S953">
        <v>-141</v>
      </c>
      <c r="T953">
        <v>3497</v>
      </c>
      <c r="U953">
        <v>10926</v>
      </c>
      <c r="V953">
        <v>31</v>
      </c>
      <c r="W953">
        <v>27.05</v>
      </c>
      <c r="X953" s="10">
        <v>0.53737269946117872</v>
      </c>
      <c r="Y953" s="9">
        <v>4345</v>
      </c>
      <c r="Z953" s="9">
        <v>2990</v>
      </c>
      <c r="AA953" s="9">
        <v>3750</v>
      </c>
      <c r="AB953">
        <v>0.56088560885608851</v>
      </c>
      <c r="AC953" s="11">
        <v>17.999444290080575</v>
      </c>
      <c r="AD953" s="9">
        <v>3093.1836158192091</v>
      </c>
      <c r="AE953" s="8">
        <v>0.23558484349258649</v>
      </c>
    </row>
    <row r="954" spans="1:31" x14ac:dyDescent="0.35">
      <c r="A954" s="6" t="s">
        <v>975</v>
      </c>
      <c r="B954" s="7">
        <v>3</v>
      </c>
      <c r="C954" s="7">
        <v>6</v>
      </c>
      <c r="D954" s="7">
        <v>0</v>
      </c>
      <c r="E954" s="7">
        <v>9</v>
      </c>
      <c r="F954">
        <v>2829</v>
      </c>
      <c r="G954">
        <v>159</v>
      </c>
      <c r="H954">
        <v>5.63</v>
      </c>
      <c r="I954">
        <v>145</v>
      </c>
      <c r="J954">
        <v>5.13</v>
      </c>
      <c r="K954">
        <v>2112</v>
      </c>
      <c r="L954">
        <v>417</v>
      </c>
      <c r="M954">
        <v>1695</v>
      </c>
      <c r="N954">
        <v>747.57</v>
      </c>
      <c r="O954">
        <v>8.7799999999999994</v>
      </c>
      <c r="P954">
        <v>11.36</v>
      </c>
      <c r="Q954">
        <v>0.98</v>
      </c>
      <c r="R954">
        <v>0.57999999999999996</v>
      </c>
      <c r="S954">
        <v>363</v>
      </c>
      <c r="T954">
        <v>4222</v>
      </c>
      <c r="U954">
        <v>7073</v>
      </c>
      <c r="V954">
        <v>209</v>
      </c>
      <c r="W954">
        <v>7.91</v>
      </c>
      <c r="X954" s="10">
        <v>1.196620697060344E-2</v>
      </c>
      <c r="Y954" s="9">
        <v>4260</v>
      </c>
      <c r="Z954" s="9">
        <v>3830</v>
      </c>
      <c r="AA954" s="9">
        <v>4260</v>
      </c>
      <c r="AB954">
        <v>1</v>
      </c>
      <c r="AC954" s="11">
        <v>-0.49152542372881364</v>
      </c>
      <c r="AD954" s="9">
        <v>3992.1581920903955</v>
      </c>
      <c r="AE954" s="8">
        <v>1.6706443914081145E-2</v>
      </c>
    </row>
    <row r="955" spans="1:31" x14ac:dyDescent="0.35">
      <c r="A955" s="6" t="s">
        <v>976</v>
      </c>
      <c r="B955" s="7">
        <v>1</v>
      </c>
      <c r="C955" s="7">
        <v>2</v>
      </c>
      <c r="D955" s="7">
        <v>1</v>
      </c>
      <c r="E955" s="7">
        <v>14</v>
      </c>
      <c r="F955">
        <v>343</v>
      </c>
      <c r="G955">
        <v>-45</v>
      </c>
      <c r="H955">
        <v>-13.17</v>
      </c>
      <c r="I955">
        <v>-70</v>
      </c>
      <c r="J955">
        <v>-20.440000000000001</v>
      </c>
      <c r="K955">
        <v>1365</v>
      </c>
      <c r="L955">
        <v>900</v>
      </c>
      <c r="M955">
        <v>465</v>
      </c>
      <c r="N955">
        <v>263.85000000000002</v>
      </c>
      <c r="O955">
        <v>-14.02</v>
      </c>
      <c r="P955">
        <v>0</v>
      </c>
      <c r="Q955">
        <v>0.41</v>
      </c>
      <c r="R955">
        <v>0.55000000000000004</v>
      </c>
      <c r="S955">
        <v>-263</v>
      </c>
      <c r="T955">
        <v>1724</v>
      </c>
      <c r="U955">
        <v>1285</v>
      </c>
      <c r="V955">
        <v>-36</v>
      </c>
      <c r="W955">
        <v>-24.57</v>
      </c>
      <c r="X955" s="10">
        <v>0.88405522974092521</v>
      </c>
      <c r="Y955" s="9">
        <v>914</v>
      </c>
      <c r="Z955" s="9">
        <v>701</v>
      </c>
      <c r="AA955" s="9">
        <v>900</v>
      </c>
      <c r="AB955">
        <v>0.93427230046948362</v>
      </c>
      <c r="AC955" s="11">
        <v>3.1551819949986113</v>
      </c>
      <c r="AD955" s="9">
        <v>717.88361581920901</v>
      </c>
      <c r="AE955" s="8">
        <v>0.2711864406779661</v>
      </c>
    </row>
    <row r="956" spans="1:31" x14ac:dyDescent="0.35">
      <c r="A956" s="6" t="s">
        <v>977</v>
      </c>
      <c r="B956" s="7">
        <v>9</v>
      </c>
      <c r="C956" s="7">
        <v>3</v>
      </c>
      <c r="D956" s="7">
        <v>6</v>
      </c>
      <c r="E956" s="7">
        <v>0</v>
      </c>
      <c r="F956">
        <v>1885</v>
      </c>
      <c r="G956">
        <v>169</v>
      </c>
      <c r="H956">
        <v>8.98</v>
      </c>
      <c r="I956">
        <v>176</v>
      </c>
      <c r="J956">
        <v>9.36</v>
      </c>
      <c r="K956">
        <v>2162</v>
      </c>
      <c r="L956">
        <v>771</v>
      </c>
      <c r="M956">
        <v>1391</v>
      </c>
      <c r="N956">
        <v>1233.74</v>
      </c>
      <c r="O956">
        <v>13.09</v>
      </c>
      <c r="P956">
        <v>9.94</v>
      </c>
      <c r="Q956">
        <v>1.29</v>
      </c>
      <c r="R956">
        <v>0.93</v>
      </c>
      <c r="S956">
        <v>852</v>
      </c>
      <c r="T956">
        <v>6565</v>
      </c>
      <c r="U956">
        <v>9105</v>
      </c>
      <c r="V956">
        <v>258</v>
      </c>
      <c r="W956">
        <v>7.09</v>
      </c>
      <c r="X956" s="10">
        <v>0.13147650900039382</v>
      </c>
      <c r="Y956" s="9">
        <v>8620</v>
      </c>
      <c r="Z956" s="9">
        <v>7870</v>
      </c>
      <c r="AA956" s="9">
        <v>8140</v>
      </c>
      <c r="AB956">
        <v>0.36</v>
      </c>
      <c r="AC956" s="11">
        <v>-3.7752153375937763</v>
      </c>
      <c r="AD956" s="9">
        <v>8375.6440677966093</v>
      </c>
      <c r="AE956" s="8">
        <v>-3.7825059101654845E-2</v>
      </c>
    </row>
    <row r="957" spans="1:31" x14ac:dyDescent="0.35">
      <c r="A957" s="6" t="s">
        <v>978</v>
      </c>
      <c r="B957" s="7">
        <v>8</v>
      </c>
      <c r="C957" s="7">
        <v>2</v>
      </c>
      <c r="D957" s="7">
        <v>8</v>
      </c>
      <c r="E957" s="7">
        <v>0</v>
      </c>
      <c r="F957">
        <v>780</v>
      </c>
      <c r="G957">
        <v>62</v>
      </c>
      <c r="H957">
        <v>7.95</v>
      </c>
      <c r="I957">
        <v>8</v>
      </c>
      <c r="J957">
        <v>1.06</v>
      </c>
      <c r="K957">
        <v>3223</v>
      </c>
      <c r="L957">
        <v>1328</v>
      </c>
      <c r="M957">
        <v>1895</v>
      </c>
      <c r="N957">
        <v>375.65</v>
      </c>
      <c r="O957">
        <v>0.61</v>
      </c>
      <c r="P957">
        <v>274</v>
      </c>
      <c r="Q957">
        <v>1.83</v>
      </c>
      <c r="R957">
        <v>2.9</v>
      </c>
      <c r="S957">
        <v>15</v>
      </c>
      <c r="T957">
        <v>2252</v>
      </c>
      <c r="U957">
        <v>1419</v>
      </c>
      <c r="V957">
        <v>94</v>
      </c>
      <c r="W957">
        <v>40.74</v>
      </c>
      <c r="X957" s="10">
        <v>0.25102295169927225</v>
      </c>
      <c r="Y957" s="9">
        <v>4435</v>
      </c>
      <c r="Z957" s="9">
        <v>3190</v>
      </c>
      <c r="AA957" s="9">
        <v>4040</v>
      </c>
      <c r="AB957">
        <v>0.68273092369477917</v>
      </c>
      <c r="AC957" s="11">
        <v>8.84328980272298</v>
      </c>
      <c r="AD957" s="9">
        <v>3684.1129943502824</v>
      </c>
      <c r="AE957" s="8">
        <v>0.2664576802507837</v>
      </c>
    </row>
    <row r="958" spans="1:31" x14ac:dyDescent="0.35">
      <c r="A958" s="6" t="s">
        <v>979</v>
      </c>
      <c r="B958" s="7">
        <v>5</v>
      </c>
      <c r="C958" s="7">
        <v>4</v>
      </c>
      <c r="D958" s="7">
        <v>8</v>
      </c>
      <c r="E958" s="7">
        <v>1</v>
      </c>
      <c r="F958">
        <v>999</v>
      </c>
      <c r="G958">
        <v>29</v>
      </c>
      <c r="H958">
        <v>2.88</v>
      </c>
      <c r="I958">
        <v>28</v>
      </c>
      <c r="J958">
        <v>2.8</v>
      </c>
      <c r="K958">
        <v>1083</v>
      </c>
      <c r="L958">
        <v>735</v>
      </c>
      <c r="M958">
        <v>349</v>
      </c>
      <c r="N958">
        <v>141.94</v>
      </c>
      <c r="O958">
        <v>8.31</v>
      </c>
      <c r="P958">
        <v>12.29</v>
      </c>
      <c r="Q958">
        <v>1.05</v>
      </c>
      <c r="R958">
        <v>0.34</v>
      </c>
      <c r="S958">
        <v>199</v>
      </c>
      <c r="T958">
        <v>2335</v>
      </c>
      <c r="U958">
        <v>7133</v>
      </c>
      <c r="V958">
        <v>44</v>
      </c>
      <c r="W958">
        <v>19.170000000000002</v>
      </c>
      <c r="X958" s="10">
        <v>4.6188597643597043E-3</v>
      </c>
      <c r="Y958" s="9">
        <v>2915</v>
      </c>
      <c r="Z958" s="9">
        <v>2390</v>
      </c>
      <c r="AA958" s="9">
        <v>2670</v>
      </c>
      <c r="AB958">
        <v>0.53333333333333333</v>
      </c>
      <c r="AC958" s="11">
        <v>0.48638510697415926</v>
      </c>
      <c r="AD958" s="9">
        <v>2596.7485875706216</v>
      </c>
      <c r="AE958" s="8">
        <v>8.3164300202839755E-2</v>
      </c>
    </row>
    <row r="959" spans="1:31" x14ac:dyDescent="0.35">
      <c r="A959" s="6" t="s">
        <v>980</v>
      </c>
      <c r="B959" s="7">
        <v>4</v>
      </c>
      <c r="C959" s="7">
        <v>4</v>
      </c>
      <c r="D959" s="7">
        <v>2</v>
      </c>
      <c r="E959" s="7">
        <v>8</v>
      </c>
      <c r="F959">
        <v>404</v>
      </c>
      <c r="G959">
        <v>3</v>
      </c>
      <c r="H959">
        <v>0.76</v>
      </c>
      <c r="I959">
        <v>10</v>
      </c>
      <c r="J959">
        <v>2.4700000000000002</v>
      </c>
      <c r="K959">
        <v>630</v>
      </c>
      <c r="L959">
        <v>141</v>
      </c>
      <c r="M959">
        <v>489</v>
      </c>
      <c r="N959">
        <v>688.88</v>
      </c>
      <c r="O959">
        <v>2.74</v>
      </c>
      <c r="P959">
        <v>17.62</v>
      </c>
      <c r="Q959">
        <v>0.48</v>
      </c>
      <c r="R959">
        <v>0.43</v>
      </c>
      <c r="S959">
        <v>107</v>
      </c>
      <c r="T959">
        <v>3940</v>
      </c>
      <c r="U959">
        <v>4340</v>
      </c>
      <c r="V959">
        <v>5</v>
      </c>
      <c r="W959">
        <v>44.84</v>
      </c>
      <c r="X959" s="10">
        <v>0.84462043157588396</v>
      </c>
      <c r="Y959" s="9">
        <v>2370</v>
      </c>
      <c r="Z959" s="9">
        <v>1675</v>
      </c>
      <c r="AA959" s="9">
        <v>2320</v>
      </c>
      <c r="AB959">
        <v>0.92805755395683454</v>
      </c>
      <c r="AC959" s="11">
        <v>10.640872464573491</v>
      </c>
      <c r="AD959" s="9">
        <v>1578.0367231638418</v>
      </c>
      <c r="AE959" s="8">
        <v>0.35672514619883039</v>
      </c>
    </row>
    <row r="960" spans="1:31" x14ac:dyDescent="0.35">
      <c r="A960" s="6" t="s">
        <v>981</v>
      </c>
      <c r="B960" s="7">
        <v>1</v>
      </c>
      <c r="C960" s="7">
        <v>1</v>
      </c>
      <c r="D960" s="7">
        <v>10</v>
      </c>
      <c r="E960" s="7">
        <v>6</v>
      </c>
      <c r="F960">
        <v>847</v>
      </c>
      <c r="G960">
        <v>-84</v>
      </c>
      <c r="H960">
        <v>-9.93</v>
      </c>
      <c r="I960">
        <v>-110</v>
      </c>
      <c r="J960">
        <v>-13</v>
      </c>
      <c r="K960">
        <v>1075</v>
      </c>
      <c r="L960">
        <v>521</v>
      </c>
      <c r="M960">
        <v>553</v>
      </c>
      <c r="N960">
        <v>952.91</v>
      </c>
      <c r="O960">
        <v>-17.600000000000001</v>
      </c>
      <c r="P960">
        <v>0</v>
      </c>
      <c r="Q960">
        <v>0.57999999999999996</v>
      </c>
      <c r="R960">
        <v>0.34</v>
      </c>
      <c r="S960">
        <v>-2136</v>
      </c>
      <c r="T960">
        <v>9700</v>
      </c>
      <c r="U960">
        <v>16430</v>
      </c>
      <c r="V960">
        <v>-50</v>
      </c>
      <c r="W960">
        <v>-11.27</v>
      </c>
      <c r="X960" s="10">
        <v>0.61205703369191833</v>
      </c>
      <c r="Y960" s="9">
        <v>6210</v>
      </c>
      <c r="Z960" s="9">
        <v>5380</v>
      </c>
      <c r="AA960" s="9">
        <v>6150</v>
      </c>
      <c r="AB960">
        <v>0.92771084337349397</v>
      </c>
      <c r="AC960" s="11">
        <v>7.4320644623506533</v>
      </c>
      <c r="AD960" s="9">
        <v>5465.9887005649716</v>
      </c>
      <c r="AE960" s="8">
        <v>9.4306049822064059E-2</v>
      </c>
    </row>
    <row r="961" spans="1:31" x14ac:dyDescent="0.35">
      <c r="A961" s="6" t="s">
        <v>982</v>
      </c>
      <c r="B961" s="7">
        <v>3</v>
      </c>
      <c r="C961" s="7">
        <v>4</v>
      </c>
      <c r="D961" s="7">
        <v>4</v>
      </c>
      <c r="E961" s="7">
        <v>7</v>
      </c>
      <c r="F961">
        <v>1454</v>
      </c>
      <c r="G961">
        <v>69</v>
      </c>
      <c r="H961">
        <v>4.75</v>
      </c>
      <c r="I961">
        <v>66</v>
      </c>
      <c r="J961">
        <v>4.5199999999999996</v>
      </c>
      <c r="K961">
        <v>1807</v>
      </c>
      <c r="L961">
        <v>243</v>
      </c>
      <c r="M961">
        <v>1564</v>
      </c>
      <c r="N961">
        <v>1151.1099999999999</v>
      </c>
      <c r="O961">
        <v>4.25</v>
      </c>
      <c r="P961">
        <v>15</v>
      </c>
      <c r="Q961">
        <v>0.63</v>
      </c>
      <c r="R961">
        <v>0.68</v>
      </c>
      <c r="S961">
        <v>2626</v>
      </c>
      <c r="T961">
        <v>62341</v>
      </c>
      <c r="U961">
        <v>58150</v>
      </c>
      <c r="V961">
        <v>159</v>
      </c>
      <c r="W961">
        <v>6.18</v>
      </c>
      <c r="X961" s="10">
        <v>0.55039861329025164</v>
      </c>
      <c r="Y961" s="9">
        <v>41150</v>
      </c>
      <c r="Z961" s="9">
        <v>37350</v>
      </c>
      <c r="AA961" s="9">
        <v>37350</v>
      </c>
      <c r="AB961">
        <v>0</v>
      </c>
      <c r="AC961" s="11">
        <v>-31.807446512920254</v>
      </c>
      <c r="AD961" s="9">
        <v>39560.9604519774</v>
      </c>
      <c r="AE961" s="8">
        <v>-5.4430379746835442E-2</v>
      </c>
    </row>
    <row r="962" spans="1:31" x14ac:dyDescent="0.35">
      <c r="A962" s="6" t="s">
        <v>983</v>
      </c>
      <c r="B962" s="7">
        <v>1</v>
      </c>
      <c r="C962" s="7">
        <v>5</v>
      </c>
      <c r="D962" s="7">
        <v>3</v>
      </c>
      <c r="E962" s="7">
        <v>9</v>
      </c>
      <c r="F962">
        <v>252</v>
      </c>
      <c r="G962">
        <v>-27</v>
      </c>
      <c r="H962">
        <v>-10.88</v>
      </c>
      <c r="I962">
        <v>-23</v>
      </c>
      <c r="J962">
        <v>-9.01</v>
      </c>
      <c r="K962">
        <v>797</v>
      </c>
      <c r="L962">
        <v>132</v>
      </c>
      <c r="M962">
        <v>664</v>
      </c>
      <c r="N962">
        <v>950.52</v>
      </c>
      <c r="O962">
        <v>-4.58</v>
      </c>
      <c r="P962">
        <v>0</v>
      </c>
      <c r="Q962">
        <v>0.64</v>
      </c>
      <c r="R962">
        <v>1.08</v>
      </c>
      <c r="S962">
        <v>-264</v>
      </c>
      <c r="T962">
        <v>4928</v>
      </c>
      <c r="U962">
        <v>2924</v>
      </c>
      <c r="V962">
        <v>-22</v>
      </c>
      <c r="W962">
        <v>-18.22</v>
      </c>
      <c r="X962" s="10">
        <v>0.42544956239692794</v>
      </c>
      <c r="Y962" s="9">
        <v>3730</v>
      </c>
      <c r="Z962" s="9">
        <v>2650</v>
      </c>
      <c r="AA962" s="9">
        <v>3410</v>
      </c>
      <c r="AB962">
        <v>0.70370370370370372</v>
      </c>
      <c r="AC962" s="11">
        <v>9.1041956098916348</v>
      </c>
      <c r="AD962" s="9">
        <v>2757.4887005649716</v>
      </c>
      <c r="AE962" s="8">
        <v>0.26062846580406657</v>
      </c>
    </row>
    <row r="963" spans="1:31" x14ac:dyDescent="0.35">
      <c r="A963" s="6" t="s">
        <v>984</v>
      </c>
      <c r="B963" s="7">
        <v>5</v>
      </c>
      <c r="C963" s="7">
        <v>2</v>
      </c>
      <c r="D963" s="7">
        <v>4</v>
      </c>
      <c r="E963" s="7">
        <v>7</v>
      </c>
      <c r="F963">
        <v>1354</v>
      </c>
      <c r="G963">
        <v>6</v>
      </c>
      <c r="H963">
        <v>0.45</v>
      </c>
      <c r="I963">
        <v>13</v>
      </c>
      <c r="J963">
        <v>0.96</v>
      </c>
      <c r="K963">
        <v>740</v>
      </c>
      <c r="L963">
        <v>247</v>
      </c>
      <c r="M963">
        <v>493</v>
      </c>
      <c r="N963">
        <v>1543.26</v>
      </c>
      <c r="O963">
        <v>2.65</v>
      </c>
      <c r="P963">
        <v>27.82</v>
      </c>
      <c r="Q963">
        <v>0.75</v>
      </c>
      <c r="R963">
        <v>0.27</v>
      </c>
      <c r="S963">
        <v>216</v>
      </c>
      <c r="T963">
        <v>8028</v>
      </c>
      <c r="U963">
        <v>22568</v>
      </c>
      <c r="V963">
        <v>17</v>
      </c>
      <c r="W963">
        <v>22.32</v>
      </c>
      <c r="X963" s="10">
        <v>9.9404246874236532E-2</v>
      </c>
      <c r="Y963" s="9">
        <v>6660</v>
      </c>
      <c r="Z963" s="9">
        <v>5820</v>
      </c>
      <c r="AA963" s="9">
        <v>6480</v>
      </c>
      <c r="AB963">
        <v>0.7857142857142857</v>
      </c>
      <c r="AC963" s="11">
        <v>3.8980272297860519</v>
      </c>
      <c r="AD963" s="9">
        <v>6046.9435028248581</v>
      </c>
      <c r="AE963" s="8">
        <v>8.3612040133779264E-2</v>
      </c>
    </row>
    <row r="964" spans="1:31" x14ac:dyDescent="0.35">
      <c r="A964" s="6" t="s">
        <v>985</v>
      </c>
      <c r="B964" s="7">
        <v>0</v>
      </c>
      <c r="C964" s="7">
        <v>0</v>
      </c>
      <c r="D964" s="7">
        <v>12</v>
      </c>
      <c r="E964" s="7">
        <v>6</v>
      </c>
      <c r="F964">
        <v>1012</v>
      </c>
      <c r="G964">
        <v>-51</v>
      </c>
      <c r="H964">
        <v>-5</v>
      </c>
      <c r="I964">
        <v>-58</v>
      </c>
      <c r="J964">
        <v>-5.68</v>
      </c>
      <c r="K964">
        <v>1239</v>
      </c>
      <c r="L964">
        <v>514</v>
      </c>
      <c r="M964">
        <v>725</v>
      </c>
      <c r="N964">
        <v>579.41999999999996</v>
      </c>
      <c r="O964">
        <v>-7.86</v>
      </c>
      <c r="P964">
        <v>0</v>
      </c>
      <c r="Q964">
        <v>0.63</v>
      </c>
      <c r="R964">
        <v>0.4</v>
      </c>
      <c r="S964">
        <v>-300</v>
      </c>
      <c r="T964">
        <v>3340</v>
      </c>
      <c r="U964">
        <v>5286</v>
      </c>
      <c r="V964">
        <v>-13</v>
      </c>
      <c r="W964">
        <v>-51.36</v>
      </c>
      <c r="X964" s="10">
        <v>0.13298631596529881</v>
      </c>
      <c r="Y964" s="9">
        <v>2620</v>
      </c>
      <c r="Z964" s="9">
        <v>2100</v>
      </c>
      <c r="AA964" s="9">
        <v>2560</v>
      </c>
      <c r="AB964">
        <v>0.88461538461538458</v>
      </c>
      <c r="AC964" s="11">
        <v>2.7345095859961099</v>
      </c>
      <c r="AD964" s="9">
        <v>2281.8474576271187</v>
      </c>
      <c r="AE964" s="8">
        <v>0.21904761904761905</v>
      </c>
    </row>
    <row r="965" spans="1:31" x14ac:dyDescent="0.35">
      <c r="A965" s="6" t="s">
        <v>986</v>
      </c>
      <c r="B965" s="7">
        <v>10</v>
      </c>
      <c r="C965" s="7">
        <v>6</v>
      </c>
      <c r="D965" s="7">
        <v>1</v>
      </c>
      <c r="E965" s="7">
        <v>1</v>
      </c>
      <c r="F965">
        <v>2013</v>
      </c>
      <c r="G965">
        <v>316</v>
      </c>
      <c r="H965">
        <v>15.69</v>
      </c>
      <c r="I965">
        <v>207</v>
      </c>
      <c r="J965">
        <v>10.29</v>
      </c>
      <c r="K965">
        <v>2093</v>
      </c>
      <c r="L965">
        <v>833</v>
      </c>
      <c r="M965">
        <v>1260</v>
      </c>
      <c r="N965">
        <v>964.21</v>
      </c>
      <c r="O965">
        <v>17.329999999999998</v>
      </c>
      <c r="P965">
        <v>12.86</v>
      </c>
      <c r="Q965">
        <v>2.42</v>
      </c>
      <c r="R965">
        <v>1.32</v>
      </c>
      <c r="S965">
        <v>1664</v>
      </c>
      <c r="T965">
        <v>8861</v>
      </c>
      <c r="U965">
        <v>16165</v>
      </c>
      <c r="V965">
        <v>377</v>
      </c>
      <c r="W965">
        <v>8.61</v>
      </c>
      <c r="X965" s="10">
        <v>0.48095860110049771</v>
      </c>
      <c r="Y965" s="9">
        <v>25450</v>
      </c>
      <c r="Z965" s="9">
        <v>20850</v>
      </c>
      <c r="AA965" s="9">
        <v>23750</v>
      </c>
      <c r="AB965">
        <v>0.63043478260869568</v>
      </c>
      <c r="AC965" s="11">
        <v>46.032231175326487</v>
      </c>
      <c r="AD965" s="9">
        <v>22054.350282485873</v>
      </c>
      <c r="AE965" s="8">
        <v>0.12028301886792453</v>
      </c>
    </row>
    <row r="966" spans="1:31" x14ac:dyDescent="0.35">
      <c r="A966" s="6" t="s">
        <v>987</v>
      </c>
      <c r="B966" s="7">
        <v>15</v>
      </c>
      <c r="C966" s="7">
        <v>1</v>
      </c>
      <c r="D966" s="7">
        <v>2</v>
      </c>
      <c r="E966" s="7">
        <v>0</v>
      </c>
      <c r="F966">
        <v>915</v>
      </c>
      <c r="G966">
        <v>103</v>
      </c>
      <c r="H966">
        <v>11.22</v>
      </c>
      <c r="I966">
        <v>82</v>
      </c>
      <c r="J966">
        <v>8.98</v>
      </c>
      <c r="K966">
        <v>1222</v>
      </c>
      <c r="L966">
        <v>233</v>
      </c>
      <c r="M966">
        <v>990</v>
      </c>
      <c r="N966">
        <v>858.95</v>
      </c>
      <c r="O966">
        <v>8.7100000000000009</v>
      </c>
      <c r="P966">
        <v>23.73</v>
      </c>
      <c r="Q966">
        <v>2.15</v>
      </c>
      <c r="R966">
        <v>2.13</v>
      </c>
      <c r="S966">
        <v>413</v>
      </c>
      <c r="T966">
        <v>4567</v>
      </c>
      <c r="U966">
        <v>4595</v>
      </c>
      <c r="V966">
        <v>127</v>
      </c>
      <c r="W966">
        <v>16.29</v>
      </c>
      <c r="X966" s="10">
        <v>0.39502030047461034</v>
      </c>
      <c r="Y966" s="9">
        <v>12900</v>
      </c>
      <c r="Z966" s="9">
        <v>9570</v>
      </c>
      <c r="AA966" s="9">
        <v>12250</v>
      </c>
      <c r="AB966">
        <v>0.80480480480480476</v>
      </c>
      <c r="AC966" s="11">
        <v>27.045846068352319</v>
      </c>
      <c r="AD966" s="9">
        <v>10001.435028248588</v>
      </c>
      <c r="AE966" s="8">
        <v>0.28004179728317657</v>
      </c>
    </row>
    <row r="967" spans="1:31" x14ac:dyDescent="0.35">
      <c r="A967" s="6" t="s">
        <v>988</v>
      </c>
      <c r="B967" s="7">
        <v>0</v>
      </c>
      <c r="C967" s="7">
        <v>6</v>
      </c>
      <c r="D967" s="7">
        <v>12</v>
      </c>
      <c r="E967" s="7">
        <v>0</v>
      </c>
      <c r="F967">
        <v>35003</v>
      </c>
      <c r="G967">
        <v>207</v>
      </c>
      <c r="H967">
        <v>0.59</v>
      </c>
      <c r="I967">
        <v>141</v>
      </c>
      <c r="J967">
        <v>0.4</v>
      </c>
      <c r="K967">
        <v>25242</v>
      </c>
      <c r="L967">
        <v>13418</v>
      </c>
      <c r="M967">
        <v>11824</v>
      </c>
      <c r="N967">
        <v>5979.39</v>
      </c>
      <c r="O967">
        <v>1.19</v>
      </c>
      <c r="P967">
        <v>35.090000000000003</v>
      </c>
      <c r="Q967">
        <v>0.48</v>
      </c>
      <c r="R967">
        <v>0.14000000000000001</v>
      </c>
      <c r="S967">
        <v>3961</v>
      </c>
      <c r="T967">
        <v>288612</v>
      </c>
      <c r="U967">
        <v>982300</v>
      </c>
      <c r="V967">
        <v>840</v>
      </c>
      <c r="W967">
        <v>7.79</v>
      </c>
      <c r="X967" s="10">
        <v>0.81905830046181538</v>
      </c>
      <c r="Y967" s="9">
        <v>142000</v>
      </c>
      <c r="Z967" s="9">
        <v>115000</v>
      </c>
      <c r="AA967" s="9">
        <v>115000</v>
      </c>
      <c r="AB967">
        <v>0</v>
      </c>
      <c r="AC967" s="11">
        <v>-412.79522089469293</v>
      </c>
      <c r="AD967" s="9">
        <v>139431.9209039548</v>
      </c>
      <c r="AE967" s="8">
        <v>-0.19014084507042253</v>
      </c>
    </row>
    <row r="968" spans="1:31" x14ac:dyDescent="0.35">
      <c r="A968" s="6" t="s">
        <v>989</v>
      </c>
      <c r="B968" s="7">
        <v>13</v>
      </c>
      <c r="C968" s="7">
        <v>1</v>
      </c>
      <c r="D968" s="7">
        <v>4</v>
      </c>
      <c r="E968" s="7">
        <v>0</v>
      </c>
      <c r="F968">
        <v>1219</v>
      </c>
      <c r="G968">
        <v>140</v>
      </c>
      <c r="H968">
        <v>11.46</v>
      </c>
      <c r="I968">
        <v>101</v>
      </c>
      <c r="J968">
        <v>8.2799999999999994</v>
      </c>
      <c r="K968">
        <v>1188</v>
      </c>
      <c r="L968">
        <v>278</v>
      </c>
      <c r="M968">
        <v>910</v>
      </c>
      <c r="N968">
        <v>1312.85</v>
      </c>
      <c r="O968">
        <v>11.6</v>
      </c>
      <c r="P968">
        <v>23.38</v>
      </c>
      <c r="Q968">
        <v>2.86</v>
      </c>
      <c r="R968">
        <v>1.94</v>
      </c>
      <c r="S968">
        <v>817</v>
      </c>
      <c r="T968">
        <v>6681</v>
      </c>
      <c r="U968">
        <v>9863</v>
      </c>
      <c r="V968">
        <v>149</v>
      </c>
      <c r="W968">
        <v>17.170000000000002</v>
      </c>
      <c r="X968" s="10">
        <v>0.86178546738630868</v>
      </c>
      <c r="Y968" s="9">
        <v>22300</v>
      </c>
      <c r="Z968" s="9">
        <v>18950</v>
      </c>
      <c r="AA968" s="9">
        <v>21300</v>
      </c>
      <c r="AB968">
        <v>0.70149253731343286</v>
      </c>
      <c r="AC968" s="11">
        <v>50.402889691580995</v>
      </c>
      <c r="AD968" s="9">
        <v>19239.378531073446</v>
      </c>
      <c r="AE968" s="8">
        <v>0.12105263157894737</v>
      </c>
    </row>
    <row r="969" spans="1:31" x14ac:dyDescent="0.35">
      <c r="A969" s="6" t="s">
        <v>990</v>
      </c>
      <c r="B969" s="7">
        <v>5</v>
      </c>
      <c r="C969" s="7">
        <v>5</v>
      </c>
      <c r="D969" s="7">
        <v>2</v>
      </c>
      <c r="E969" s="7">
        <v>6</v>
      </c>
      <c r="F969">
        <v>2231</v>
      </c>
      <c r="G969">
        <v>92</v>
      </c>
      <c r="H969">
        <v>4.1100000000000003</v>
      </c>
      <c r="I969">
        <v>127</v>
      </c>
      <c r="J969">
        <v>5.69</v>
      </c>
      <c r="K969">
        <v>1644</v>
      </c>
      <c r="L969">
        <v>346</v>
      </c>
      <c r="M969">
        <v>1297</v>
      </c>
      <c r="N969">
        <v>1427.1</v>
      </c>
      <c r="O969">
        <v>10.11</v>
      </c>
      <c r="P969">
        <v>2.33</v>
      </c>
      <c r="Q969">
        <v>0.47</v>
      </c>
      <c r="R969">
        <v>0.26</v>
      </c>
      <c r="S969">
        <v>1644</v>
      </c>
      <c r="T969">
        <v>8195</v>
      </c>
      <c r="U969">
        <v>14466</v>
      </c>
      <c r="V969">
        <v>119</v>
      </c>
      <c r="W969">
        <v>5.0599999999999996</v>
      </c>
      <c r="X969" s="10">
        <v>0.83733382526447364</v>
      </c>
      <c r="Y969" s="9">
        <v>4535</v>
      </c>
      <c r="Z969" s="9">
        <v>3710</v>
      </c>
      <c r="AA969" s="9">
        <v>4485</v>
      </c>
      <c r="AB969">
        <v>0.93939393939393945</v>
      </c>
      <c r="AC969" s="11">
        <v>11.34856904695749</v>
      </c>
      <c r="AD969" s="9">
        <v>3636.9519774011301</v>
      </c>
      <c r="AE969" s="8">
        <v>0.17871222076215507</v>
      </c>
    </row>
    <row r="970" spans="1:31" x14ac:dyDescent="0.35">
      <c r="A970" s="6" t="s">
        <v>991</v>
      </c>
      <c r="B970" s="7">
        <v>11</v>
      </c>
      <c r="C970" s="7">
        <v>3</v>
      </c>
      <c r="D970" s="7">
        <v>4</v>
      </c>
      <c r="E970" s="7">
        <v>0</v>
      </c>
      <c r="F970">
        <v>6312</v>
      </c>
      <c r="G970">
        <v>480</v>
      </c>
      <c r="H970">
        <v>7.6</v>
      </c>
      <c r="I970">
        <v>202</v>
      </c>
      <c r="J970">
        <v>3.2</v>
      </c>
      <c r="K970">
        <v>6486</v>
      </c>
      <c r="L970">
        <v>5139</v>
      </c>
      <c r="M970">
        <v>1347</v>
      </c>
      <c r="N970">
        <v>77.47</v>
      </c>
      <c r="O970">
        <v>21.62</v>
      </c>
      <c r="P970">
        <v>8.86</v>
      </c>
      <c r="Q970">
        <v>1.79</v>
      </c>
      <c r="R970">
        <v>0.28000000000000003</v>
      </c>
      <c r="S970">
        <v>1773</v>
      </c>
      <c r="T970">
        <v>8760</v>
      </c>
      <c r="U970">
        <v>55447</v>
      </c>
      <c r="V970">
        <v>643</v>
      </c>
      <c r="W970">
        <v>4.04</v>
      </c>
      <c r="X970" s="10">
        <v>0.74594113626891934</v>
      </c>
      <c r="Y970" s="9">
        <v>22950</v>
      </c>
      <c r="Z970" s="9">
        <v>13000</v>
      </c>
      <c r="AA970" s="9">
        <v>21700</v>
      </c>
      <c r="AB970">
        <v>0.87437185929648242</v>
      </c>
      <c r="AC970" s="11">
        <v>151.42678521811618</v>
      </c>
      <c r="AD970" s="9">
        <v>12655.649717514123</v>
      </c>
      <c r="AE970" s="8">
        <v>0.63773584905660374</v>
      </c>
    </row>
    <row r="971" spans="1:31" x14ac:dyDescent="0.35">
      <c r="A971" s="6" t="s">
        <v>992</v>
      </c>
      <c r="B971" s="7">
        <v>5</v>
      </c>
      <c r="C971" s="7">
        <v>1</v>
      </c>
      <c r="D971" s="7">
        <v>4</v>
      </c>
      <c r="E971" s="7">
        <v>8</v>
      </c>
      <c r="F971">
        <v>2067</v>
      </c>
      <c r="G971">
        <v>62</v>
      </c>
      <c r="H971">
        <v>2.99</v>
      </c>
      <c r="I971">
        <v>32</v>
      </c>
      <c r="J971">
        <v>1.53</v>
      </c>
      <c r="K971">
        <v>2046</v>
      </c>
      <c r="L971">
        <v>762</v>
      </c>
      <c r="M971">
        <v>1284</v>
      </c>
      <c r="N971">
        <v>959.9</v>
      </c>
      <c r="O971">
        <v>2.46</v>
      </c>
      <c r="P971">
        <v>23.13</v>
      </c>
      <c r="Q971">
        <v>0.61</v>
      </c>
      <c r="R971">
        <v>0.35</v>
      </c>
      <c r="S971">
        <v>134</v>
      </c>
      <c r="T971">
        <v>5098</v>
      </c>
      <c r="U971">
        <v>8786</v>
      </c>
      <c r="V971">
        <v>87</v>
      </c>
      <c r="W971">
        <v>8.94</v>
      </c>
      <c r="X971" s="10">
        <v>0.57506151666067784</v>
      </c>
      <c r="Y971" s="9">
        <v>3325</v>
      </c>
      <c r="Z971" s="9">
        <v>2830</v>
      </c>
      <c r="AA971" s="9">
        <v>3225</v>
      </c>
      <c r="AB971">
        <v>0.79797979797979801</v>
      </c>
      <c r="AC971" s="11">
        <v>6.505834954153932</v>
      </c>
      <c r="AD971" s="9">
        <v>2888.1553672316386</v>
      </c>
      <c r="AE971" s="8">
        <v>3.5313001605136438E-2</v>
      </c>
    </row>
    <row r="972" spans="1:31" x14ac:dyDescent="0.35">
      <c r="A972" s="6" t="s">
        <v>993</v>
      </c>
      <c r="B972" s="7">
        <v>3</v>
      </c>
      <c r="C972" s="7">
        <v>2</v>
      </c>
      <c r="D972" s="7">
        <v>13</v>
      </c>
      <c r="E972" s="7">
        <v>0</v>
      </c>
      <c r="F972">
        <v>318</v>
      </c>
      <c r="G972">
        <v>-23</v>
      </c>
      <c r="H972">
        <v>-7.35</v>
      </c>
      <c r="I972">
        <v>-20</v>
      </c>
      <c r="J972">
        <v>-6.31</v>
      </c>
      <c r="K972">
        <v>412</v>
      </c>
      <c r="L972">
        <v>63</v>
      </c>
      <c r="M972">
        <v>350</v>
      </c>
      <c r="N972">
        <v>328.04</v>
      </c>
      <c r="O972">
        <v>-5.81</v>
      </c>
      <c r="P972">
        <v>0</v>
      </c>
      <c r="Q972">
        <v>2.34</v>
      </c>
      <c r="R972">
        <v>2.19</v>
      </c>
      <c r="S972">
        <v>-49</v>
      </c>
      <c r="T972">
        <v>728</v>
      </c>
      <c r="U972">
        <v>776</v>
      </c>
      <c r="V972">
        <v>20</v>
      </c>
      <c r="W972">
        <v>35.54</v>
      </c>
      <c r="X972" s="10">
        <v>0.73364823004289481</v>
      </c>
      <c r="Y972" s="9">
        <v>1995</v>
      </c>
      <c r="Z972" s="9">
        <v>1395</v>
      </c>
      <c r="AA972" s="9">
        <v>1425</v>
      </c>
      <c r="AB972">
        <v>0.05</v>
      </c>
      <c r="AC972" s="11">
        <v>-7.450402889691583</v>
      </c>
      <c r="AD972" s="9">
        <v>1826.0706214689264</v>
      </c>
      <c r="AE972" s="8">
        <v>-0.16176470588235295</v>
      </c>
    </row>
    <row r="973" spans="1:31" x14ac:dyDescent="0.35">
      <c r="A973" s="6" t="s">
        <v>994</v>
      </c>
      <c r="B973" s="7">
        <v>12</v>
      </c>
      <c r="C973" s="7">
        <v>3</v>
      </c>
      <c r="D973" s="7">
        <v>2</v>
      </c>
      <c r="E973" s="7">
        <v>1</v>
      </c>
      <c r="F973">
        <v>733</v>
      </c>
      <c r="G973">
        <v>79</v>
      </c>
      <c r="H973">
        <v>10.79</v>
      </c>
      <c r="I973">
        <v>63</v>
      </c>
      <c r="J973">
        <v>8.65</v>
      </c>
      <c r="K973">
        <v>1407</v>
      </c>
      <c r="L973">
        <v>278</v>
      </c>
      <c r="M973">
        <v>1129</v>
      </c>
      <c r="N973">
        <v>1009.69</v>
      </c>
      <c r="O973">
        <v>7.68</v>
      </c>
      <c r="P973">
        <v>7.87</v>
      </c>
      <c r="Q973">
        <v>0.72</v>
      </c>
      <c r="R973">
        <v>0.68</v>
      </c>
      <c r="S973">
        <v>4548</v>
      </c>
      <c r="T973">
        <v>49771</v>
      </c>
      <c r="U973">
        <v>52567</v>
      </c>
      <c r="V973">
        <v>159</v>
      </c>
      <c r="W973">
        <v>4.84</v>
      </c>
      <c r="X973" s="10">
        <v>0.46809386523762664</v>
      </c>
      <c r="Y973" s="9">
        <v>42400</v>
      </c>
      <c r="Z973" s="9">
        <v>31250</v>
      </c>
      <c r="AA973" s="9">
        <v>42000</v>
      </c>
      <c r="AB973">
        <v>0.9641255605381166</v>
      </c>
      <c r="AC973" s="11">
        <v>81.153098082800781</v>
      </c>
      <c r="AD973" s="9">
        <v>32606.497175141241</v>
      </c>
      <c r="AE973" s="8">
        <v>0.19487908961593173</v>
      </c>
    </row>
    <row r="974" spans="1:31" x14ac:dyDescent="0.35">
      <c r="A974" s="6" t="s">
        <v>995</v>
      </c>
      <c r="B974" s="7">
        <v>2</v>
      </c>
      <c r="C974" s="7">
        <v>4</v>
      </c>
      <c r="D974" s="7">
        <v>4</v>
      </c>
      <c r="E974" s="7">
        <v>8</v>
      </c>
      <c r="F974">
        <v>1356</v>
      </c>
      <c r="G974">
        <v>16</v>
      </c>
      <c r="H974">
        <v>1.21</v>
      </c>
      <c r="I974">
        <v>-7</v>
      </c>
      <c r="J974">
        <v>-0.55000000000000004</v>
      </c>
      <c r="K974">
        <v>1064</v>
      </c>
      <c r="L974">
        <v>805</v>
      </c>
      <c r="M974">
        <v>259</v>
      </c>
      <c r="N974">
        <v>292.2</v>
      </c>
      <c r="O974">
        <v>-2.8</v>
      </c>
      <c r="P974">
        <v>0</v>
      </c>
      <c r="Q974">
        <v>1.27</v>
      </c>
      <c r="R974">
        <v>0.24</v>
      </c>
      <c r="S974">
        <v>-112</v>
      </c>
      <c r="T974">
        <v>3885</v>
      </c>
      <c r="U974">
        <v>20501</v>
      </c>
      <c r="V974">
        <v>46</v>
      </c>
      <c r="W974">
        <v>16.190000000000001</v>
      </c>
      <c r="X974" s="10">
        <v>0.84085934627700187</v>
      </c>
      <c r="Y974" s="9">
        <v>6100</v>
      </c>
      <c r="Z974" s="9">
        <v>4890</v>
      </c>
      <c r="AA974" s="9">
        <v>5990</v>
      </c>
      <c r="AB974">
        <v>0.90909090909090906</v>
      </c>
      <c r="AC974" s="11">
        <v>20.733120311197553</v>
      </c>
      <c r="AD974" s="9">
        <v>4749.7231638418079</v>
      </c>
      <c r="AE974" s="8">
        <v>0.22494887525562371</v>
      </c>
    </row>
    <row r="975" spans="1:31" x14ac:dyDescent="0.35">
      <c r="A975" s="6" t="s">
        <v>996</v>
      </c>
      <c r="B975" s="7">
        <v>3</v>
      </c>
      <c r="C975" s="7">
        <v>3</v>
      </c>
      <c r="D975" s="7">
        <v>8</v>
      </c>
      <c r="E975" s="7">
        <v>4</v>
      </c>
      <c r="F975">
        <v>303</v>
      </c>
      <c r="G975">
        <v>-10</v>
      </c>
      <c r="H975">
        <v>-3.16</v>
      </c>
      <c r="I975">
        <v>-38</v>
      </c>
      <c r="J975">
        <v>-12.42</v>
      </c>
      <c r="K975">
        <v>692</v>
      </c>
      <c r="L975">
        <v>598</v>
      </c>
      <c r="M975">
        <v>94</v>
      </c>
      <c r="N975">
        <v>-18.82</v>
      </c>
      <c r="O975">
        <v>-47.88</v>
      </c>
      <c r="P975">
        <v>0</v>
      </c>
      <c r="Q975">
        <v>1.57</v>
      </c>
      <c r="R975">
        <v>0.49</v>
      </c>
      <c r="S975">
        <v>-323</v>
      </c>
      <c r="T975">
        <v>810</v>
      </c>
      <c r="U975">
        <v>2605</v>
      </c>
      <c r="V975">
        <v>5</v>
      </c>
      <c r="W975">
        <v>110.42</v>
      </c>
      <c r="X975" s="10">
        <v>0.72604191544080454</v>
      </c>
      <c r="Y975" s="9">
        <v>1545</v>
      </c>
      <c r="Z975" s="9">
        <v>1225</v>
      </c>
      <c r="AA975" s="9">
        <v>1495</v>
      </c>
      <c r="AB975">
        <v>0.84375</v>
      </c>
      <c r="AC975" s="11">
        <v>4.331064184495693</v>
      </c>
      <c r="AD975" s="9">
        <v>1238.1525423728813</v>
      </c>
      <c r="AE975" s="8">
        <v>0.20080321285140562</v>
      </c>
    </row>
    <row r="976" spans="1:31" x14ac:dyDescent="0.35">
      <c r="A976" s="6" t="s">
        <v>997</v>
      </c>
      <c r="B976" s="7">
        <v>0</v>
      </c>
      <c r="C976" s="7">
        <v>1</v>
      </c>
      <c r="D976" s="7">
        <v>6</v>
      </c>
      <c r="E976" s="7">
        <v>11</v>
      </c>
      <c r="F976">
        <v>1111</v>
      </c>
      <c r="G976">
        <v>-72</v>
      </c>
      <c r="H976">
        <v>-6.48</v>
      </c>
      <c r="I976">
        <v>-83</v>
      </c>
      <c r="J976">
        <v>-7.43</v>
      </c>
      <c r="K976">
        <v>986</v>
      </c>
      <c r="L976">
        <v>594</v>
      </c>
      <c r="M976">
        <v>391</v>
      </c>
      <c r="N976">
        <v>289.64</v>
      </c>
      <c r="O976">
        <v>-18.73</v>
      </c>
      <c r="P976">
        <v>0</v>
      </c>
      <c r="Q976">
        <v>0.99</v>
      </c>
      <c r="R976">
        <v>0.34</v>
      </c>
      <c r="S976">
        <v>-1610</v>
      </c>
      <c r="T976">
        <v>3748</v>
      </c>
      <c r="U976">
        <v>10824</v>
      </c>
      <c r="V976">
        <v>30</v>
      </c>
      <c r="W976">
        <v>22.69</v>
      </c>
      <c r="X976" s="10">
        <v>0.7496999677955426</v>
      </c>
      <c r="Y976" s="9">
        <v>4340</v>
      </c>
      <c r="Z976" s="9">
        <v>3700</v>
      </c>
      <c r="AA976" s="9">
        <v>4240</v>
      </c>
      <c r="AB976">
        <v>0.84375</v>
      </c>
      <c r="AC976" s="11">
        <v>9.8582939705473756</v>
      </c>
      <c r="AD976" s="9">
        <v>3679.1553672316386</v>
      </c>
      <c r="AE976" s="8">
        <v>0.13520749665327977</v>
      </c>
    </row>
    <row r="977" spans="1:31" x14ac:dyDescent="0.35">
      <c r="A977" s="6" t="s">
        <v>998</v>
      </c>
      <c r="B977" s="7">
        <v>14</v>
      </c>
      <c r="C977" s="7">
        <v>0</v>
      </c>
      <c r="D977" s="7">
        <v>4</v>
      </c>
      <c r="E977" s="7">
        <v>0</v>
      </c>
      <c r="F977">
        <v>4673</v>
      </c>
      <c r="G977">
        <v>208</v>
      </c>
      <c r="H977">
        <v>4.46</v>
      </c>
      <c r="I977">
        <v>215</v>
      </c>
      <c r="J977">
        <v>4.5999999999999996</v>
      </c>
      <c r="K977">
        <v>4497</v>
      </c>
      <c r="L977">
        <v>2046</v>
      </c>
      <c r="M977">
        <v>2451</v>
      </c>
      <c r="N977">
        <v>2109.13</v>
      </c>
      <c r="O977">
        <v>9.02</v>
      </c>
      <c r="P977">
        <v>14.98</v>
      </c>
      <c r="Q977">
        <v>1.4</v>
      </c>
      <c r="R977">
        <v>0.69</v>
      </c>
      <c r="S977">
        <v>991</v>
      </c>
      <c r="T977">
        <v>10612</v>
      </c>
      <c r="U977">
        <v>21565</v>
      </c>
      <c r="V977">
        <v>294</v>
      </c>
      <c r="W977">
        <v>13.38</v>
      </c>
      <c r="X977" s="10">
        <v>8.5659064519118991E-2</v>
      </c>
      <c r="Y977" s="9">
        <v>15900</v>
      </c>
      <c r="Z977" s="9">
        <v>13500</v>
      </c>
      <c r="AA977" s="9">
        <v>15800</v>
      </c>
      <c r="AB977">
        <v>0.95833333333333337</v>
      </c>
      <c r="AC977" s="11">
        <v>-10.625173659349819</v>
      </c>
      <c r="AD977" s="9">
        <v>14809.06779661017</v>
      </c>
      <c r="AE977" s="8">
        <v>5.3333333333333337E-2</v>
      </c>
    </row>
    <row r="978" spans="1:31" x14ac:dyDescent="0.35">
      <c r="A978" s="6" t="s">
        <v>999</v>
      </c>
      <c r="B978" s="7">
        <v>6</v>
      </c>
      <c r="C978" s="7">
        <v>1</v>
      </c>
      <c r="D978" s="7">
        <v>1</v>
      </c>
      <c r="E978" s="7">
        <v>10</v>
      </c>
      <c r="F978">
        <v>5103</v>
      </c>
      <c r="G978">
        <v>-207</v>
      </c>
      <c r="H978">
        <v>-4.0599999999999996</v>
      </c>
      <c r="I978">
        <v>-504</v>
      </c>
      <c r="J978">
        <v>-9.8699999999999992</v>
      </c>
      <c r="K978">
        <v>4551</v>
      </c>
      <c r="L978">
        <v>4793</v>
      </c>
      <c r="M978">
        <v>-242</v>
      </c>
      <c r="N978">
        <v>-148.66999999999999</v>
      </c>
      <c r="O978">
        <v>0</v>
      </c>
      <c r="P978">
        <v>0</v>
      </c>
      <c r="Q978">
        <v>0</v>
      </c>
      <c r="R978">
        <v>0.03</v>
      </c>
      <c r="S978">
        <v>-5682</v>
      </c>
      <c r="T978">
        <v>-5688</v>
      </c>
      <c r="U978">
        <v>51261</v>
      </c>
      <c r="V978">
        <v>-114</v>
      </c>
      <c r="W978">
        <v>-13.29</v>
      </c>
      <c r="X978" s="10">
        <v>0.6165799165183905</v>
      </c>
      <c r="Y978" s="9">
        <v>1590</v>
      </c>
      <c r="Z978" s="9">
        <v>1300</v>
      </c>
      <c r="AA978" s="9">
        <v>1310</v>
      </c>
      <c r="AB978">
        <v>3.4482758620689655E-2</v>
      </c>
      <c r="AC978" s="11">
        <v>-3.8035565434843011</v>
      </c>
      <c r="AD978" s="9">
        <v>1483.675141242938</v>
      </c>
      <c r="AE978" s="8">
        <v>-0.13815789473684212</v>
      </c>
    </row>
    <row r="979" spans="1:31" x14ac:dyDescent="0.35">
      <c r="A979" s="6" t="s">
        <v>1000</v>
      </c>
      <c r="B979" s="7">
        <v>0</v>
      </c>
      <c r="C979" s="7">
        <v>0</v>
      </c>
      <c r="D979" s="7">
        <v>0</v>
      </c>
      <c r="E979" s="7">
        <v>18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 s="10">
        <v>4.1752083723632046E-2</v>
      </c>
      <c r="Y979" s="9">
        <v>1230</v>
      </c>
      <c r="Z979" s="9">
        <v>1040</v>
      </c>
      <c r="AA979" s="9">
        <v>1090</v>
      </c>
      <c r="AB979">
        <v>0.26315789473684209</v>
      </c>
      <c r="AC979" s="11">
        <v>0.35204223395387607</v>
      </c>
      <c r="AD979" s="9">
        <v>1077.7627118644068</v>
      </c>
      <c r="AE979" s="8">
        <v>1.8691588785046728E-2</v>
      </c>
    </row>
    <row r="980" spans="1:31" x14ac:dyDescent="0.35">
      <c r="A980" s="6" t="s">
        <v>1001</v>
      </c>
      <c r="B980" s="7">
        <v>2</v>
      </c>
      <c r="C980" s="7">
        <v>14</v>
      </c>
      <c r="D980" s="7">
        <v>0</v>
      </c>
      <c r="E980" s="7">
        <v>2</v>
      </c>
      <c r="F980">
        <v>1236</v>
      </c>
      <c r="G980">
        <v>28</v>
      </c>
      <c r="H980">
        <v>2.31</v>
      </c>
      <c r="I980">
        <v>23</v>
      </c>
      <c r="J980">
        <v>1.85</v>
      </c>
      <c r="K980">
        <v>1296</v>
      </c>
      <c r="L980">
        <v>940</v>
      </c>
      <c r="M980">
        <v>357</v>
      </c>
      <c r="N980">
        <v>58.12</v>
      </c>
      <c r="O980">
        <v>6.58</v>
      </c>
      <c r="P980">
        <v>12.59</v>
      </c>
      <c r="Q980">
        <v>0.81</v>
      </c>
      <c r="R980">
        <v>0.23</v>
      </c>
      <c r="S980">
        <v>506</v>
      </c>
      <c r="T980">
        <v>7871</v>
      </c>
      <c r="U980">
        <v>27367</v>
      </c>
      <c r="V980">
        <v>32</v>
      </c>
      <c r="W980">
        <v>17.579999999999998</v>
      </c>
      <c r="X980" s="10">
        <v>0.21752637167932684</v>
      </c>
      <c r="Y980" s="9">
        <v>7400</v>
      </c>
      <c r="Z980" s="9">
        <v>6030</v>
      </c>
      <c r="AA980" s="9">
        <v>6490</v>
      </c>
      <c r="AB980">
        <v>0.33576642335766421</v>
      </c>
      <c r="AC980" s="11">
        <v>6.8391219783273138</v>
      </c>
      <c r="AD980" s="9">
        <v>6260.7401129943501</v>
      </c>
      <c r="AE980" s="8">
        <v>3.0911901081916537E-3</v>
      </c>
    </row>
    <row r="981" spans="1:31" x14ac:dyDescent="0.35">
      <c r="A981" s="6" t="s">
        <v>1002</v>
      </c>
      <c r="B981" s="7">
        <v>1</v>
      </c>
      <c r="C981" s="7">
        <v>2</v>
      </c>
      <c r="D981" s="7">
        <v>8</v>
      </c>
      <c r="E981" s="7">
        <v>7</v>
      </c>
      <c r="F981">
        <v>2271</v>
      </c>
      <c r="G981">
        <v>15</v>
      </c>
      <c r="H981">
        <v>0.68</v>
      </c>
      <c r="I981">
        <v>-62</v>
      </c>
      <c r="J981">
        <v>-2.73</v>
      </c>
      <c r="K981">
        <v>1785</v>
      </c>
      <c r="L981">
        <v>1137</v>
      </c>
      <c r="M981">
        <v>648</v>
      </c>
      <c r="N981">
        <v>832.53</v>
      </c>
      <c r="O981">
        <v>-9.07</v>
      </c>
      <c r="P981">
        <v>0</v>
      </c>
      <c r="Q981">
        <v>2.0699999999999998</v>
      </c>
      <c r="R981">
        <v>0.72</v>
      </c>
      <c r="S981">
        <v>-289</v>
      </c>
      <c r="T981">
        <v>3703</v>
      </c>
      <c r="U981">
        <v>10593</v>
      </c>
      <c r="V981">
        <v>87</v>
      </c>
      <c r="W981">
        <v>18.350000000000001</v>
      </c>
      <c r="X981" s="10">
        <v>0.58300651093638856</v>
      </c>
      <c r="Y981" s="9">
        <v>6550</v>
      </c>
      <c r="Z981" s="9">
        <v>4716</v>
      </c>
      <c r="AA981" s="9">
        <v>5990</v>
      </c>
      <c r="AB981">
        <v>0.69465648854961837</v>
      </c>
      <c r="AC981" s="11">
        <v>28.740594609613776</v>
      </c>
      <c r="AD981" s="9">
        <v>4803.2451977401124</v>
      </c>
      <c r="AE981" s="8">
        <v>0.17843793035608893</v>
      </c>
    </row>
    <row r="982" spans="1:31" x14ac:dyDescent="0.35">
      <c r="A982" s="6" t="s">
        <v>1003</v>
      </c>
      <c r="B982" s="7">
        <v>16</v>
      </c>
      <c r="C982" s="7">
        <v>0</v>
      </c>
      <c r="D982" s="7">
        <v>1</v>
      </c>
      <c r="E982" s="7">
        <v>1</v>
      </c>
      <c r="F982">
        <v>2837</v>
      </c>
      <c r="G982">
        <v>203</v>
      </c>
      <c r="H982">
        <v>7.14</v>
      </c>
      <c r="I982">
        <v>180</v>
      </c>
      <c r="J982">
        <v>6.34</v>
      </c>
      <c r="K982">
        <v>2258</v>
      </c>
      <c r="L982">
        <v>1207</v>
      </c>
      <c r="M982">
        <v>1052</v>
      </c>
      <c r="N982">
        <v>972.62</v>
      </c>
      <c r="O982">
        <v>18.149999999999999</v>
      </c>
      <c r="P982">
        <v>6.93</v>
      </c>
      <c r="Q982">
        <v>1.37</v>
      </c>
      <c r="R982">
        <v>0.44</v>
      </c>
      <c r="S982">
        <v>929</v>
      </c>
      <c r="T982">
        <v>4701</v>
      </c>
      <c r="U982">
        <v>14652</v>
      </c>
      <c r="V982">
        <v>305</v>
      </c>
      <c r="W982">
        <v>6.29</v>
      </c>
      <c r="X982" s="10">
        <v>0.8375887081327491</v>
      </c>
      <c r="Y982" s="9">
        <v>8210</v>
      </c>
      <c r="Z982" s="9">
        <v>6290</v>
      </c>
      <c r="AA982" s="9">
        <v>7490</v>
      </c>
      <c r="AB982">
        <v>0.625</v>
      </c>
      <c r="AC982" s="11">
        <v>29.336204501250354</v>
      </c>
      <c r="AD982" s="9">
        <v>6384.4124293785317</v>
      </c>
      <c r="AE982" s="8">
        <v>0.16304347826086957</v>
      </c>
    </row>
    <row r="983" spans="1:31" x14ac:dyDescent="0.35">
      <c r="A983" s="6" t="s">
        <v>1004</v>
      </c>
      <c r="B983" s="7">
        <v>4</v>
      </c>
      <c r="C983" s="7">
        <v>2</v>
      </c>
      <c r="D983" s="7">
        <v>12</v>
      </c>
      <c r="E983" s="7">
        <v>0</v>
      </c>
      <c r="F983">
        <v>755</v>
      </c>
      <c r="G983">
        <v>37</v>
      </c>
      <c r="H983">
        <v>4.87</v>
      </c>
      <c r="I983">
        <v>27</v>
      </c>
      <c r="J983">
        <v>3.62</v>
      </c>
      <c r="K983">
        <v>898</v>
      </c>
      <c r="L983">
        <v>439</v>
      </c>
      <c r="M983">
        <v>459</v>
      </c>
      <c r="N983">
        <v>713.45</v>
      </c>
      <c r="O983">
        <v>6.1</v>
      </c>
      <c r="P983">
        <v>16.510000000000002</v>
      </c>
      <c r="Q983">
        <v>1</v>
      </c>
      <c r="R983">
        <v>0.6</v>
      </c>
      <c r="S983">
        <v>242</v>
      </c>
      <c r="T983">
        <v>4012</v>
      </c>
      <c r="U983">
        <v>6688</v>
      </c>
      <c r="V983">
        <v>88</v>
      </c>
      <c r="W983">
        <v>7.1</v>
      </c>
      <c r="X983" s="10">
        <v>0.66590733747468545</v>
      </c>
      <c r="Y983" s="9">
        <v>4760</v>
      </c>
      <c r="Z983" s="9">
        <v>3880</v>
      </c>
      <c r="AA983" s="9">
        <v>4550</v>
      </c>
      <c r="AB983">
        <v>0.76136363636363635</v>
      </c>
      <c r="AC983" s="11">
        <v>10.180188941372604</v>
      </c>
      <c r="AD983" s="9">
        <v>4050.2542372881358</v>
      </c>
      <c r="AE983" s="8">
        <v>0.13750000000000001</v>
      </c>
    </row>
    <row r="984" spans="1:31" x14ac:dyDescent="0.35">
      <c r="A984" s="6" t="s">
        <v>1005</v>
      </c>
      <c r="B984" s="7">
        <v>8</v>
      </c>
      <c r="C984" s="7">
        <v>1</v>
      </c>
      <c r="D984" s="7">
        <v>9</v>
      </c>
      <c r="E984" s="7">
        <v>0</v>
      </c>
      <c r="F984">
        <v>1131</v>
      </c>
      <c r="G984">
        <v>56</v>
      </c>
      <c r="H984">
        <v>4.92</v>
      </c>
      <c r="I984">
        <v>39</v>
      </c>
      <c r="J984">
        <v>3.45</v>
      </c>
      <c r="K984">
        <v>1492</v>
      </c>
      <c r="L984">
        <v>635</v>
      </c>
      <c r="M984">
        <v>858</v>
      </c>
      <c r="N984">
        <v>1284.6400000000001</v>
      </c>
      <c r="O984">
        <v>4.6399999999999997</v>
      </c>
      <c r="P984">
        <v>18.29</v>
      </c>
      <c r="Q984">
        <v>0.87</v>
      </c>
      <c r="R984">
        <v>0.63</v>
      </c>
      <c r="S984">
        <v>322</v>
      </c>
      <c r="T984">
        <v>6789</v>
      </c>
      <c r="U984">
        <v>9335</v>
      </c>
      <c r="V984">
        <v>117</v>
      </c>
      <c r="W984">
        <v>9.19</v>
      </c>
      <c r="X984" s="10">
        <v>0.68548654791761243</v>
      </c>
      <c r="Y984" s="9">
        <v>6920</v>
      </c>
      <c r="Z984" s="9">
        <v>5780</v>
      </c>
      <c r="AA984" s="9">
        <v>6600</v>
      </c>
      <c r="AB984">
        <v>0.7192982456140351</v>
      </c>
      <c r="AC984" s="11">
        <v>15.248402333981664</v>
      </c>
      <c r="AD984" s="9">
        <v>5858.7570621468922</v>
      </c>
      <c r="AE984" s="8">
        <v>0.13989637305699482</v>
      </c>
    </row>
    <row r="985" spans="1:31" x14ac:dyDescent="0.35">
      <c r="A985" s="6" t="s">
        <v>1006</v>
      </c>
      <c r="B985" s="7">
        <v>9</v>
      </c>
      <c r="C985" s="7">
        <v>7</v>
      </c>
      <c r="D985" s="7">
        <v>2</v>
      </c>
      <c r="E985" s="7">
        <v>0</v>
      </c>
      <c r="F985">
        <v>642</v>
      </c>
      <c r="G985">
        <v>21</v>
      </c>
      <c r="H985">
        <v>3.31</v>
      </c>
      <c r="I985">
        <v>60</v>
      </c>
      <c r="J985">
        <v>9.31</v>
      </c>
      <c r="K985">
        <v>670</v>
      </c>
      <c r="L985">
        <v>215</v>
      </c>
      <c r="M985">
        <v>455</v>
      </c>
      <c r="N985">
        <v>638.17999999999995</v>
      </c>
      <c r="O985">
        <v>14.05</v>
      </c>
      <c r="P985">
        <v>6.22</v>
      </c>
      <c r="Q985">
        <v>0.84</v>
      </c>
      <c r="R985">
        <v>0.57999999999999996</v>
      </c>
      <c r="S985">
        <v>489</v>
      </c>
      <c r="T985">
        <v>3616</v>
      </c>
      <c r="U985">
        <v>5252</v>
      </c>
      <c r="V985">
        <v>38</v>
      </c>
      <c r="W985">
        <v>11.76</v>
      </c>
      <c r="X985" s="10">
        <v>0.88763598506637431</v>
      </c>
      <c r="Y985" s="9">
        <v>4600</v>
      </c>
      <c r="Z985" s="9">
        <v>2995</v>
      </c>
      <c r="AA985" s="9">
        <v>4395</v>
      </c>
      <c r="AB985">
        <v>0.87227414330218067</v>
      </c>
      <c r="AC985" s="11">
        <v>25.934981939427622</v>
      </c>
      <c r="AD985" s="9">
        <v>2789.8163841807909</v>
      </c>
      <c r="AE985" s="8">
        <v>0.40865384615384615</v>
      </c>
    </row>
    <row r="986" spans="1:31" x14ac:dyDescent="0.35">
      <c r="A986" s="6" t="s">
        <v>1007</v>
      </c>
      <c r="B986" s="7">
        <v>16</v>
      </c>
      <c r="C986" s="7">
        <v>1</v>
      </c>
      <c r="D986" s="7">
        <v>1</v>
      </c>
      <c r="E986" s="7">
        <v>0</v>
      </c>
      <c r="F986">
        <v>1395</v>
      </c>
      <c r="G986">
        <v>185</v>
      </c>
      <c r="H986">
        <v>13.25</v>
      </c>
      <c r="I986">
        <v>154</v>
      </c>
      <c r="J986">
        <v>11.06</v>
      </c>
      <c r="K986">
        <v>1716</v>
      </c>
      <c r="L986">
        <v>227</v>
      </c>
      <c r="M986">
        <v>1489</v>
      </c>
      <c r="N986">
        <v>1451.45</v>
      </c>
      <c r="O986">
        <v>10.75</v>
      </c>
      <c r="P986">
        <v>13.68</v>
      </c>
      <c r="Q986">
        <v>1.44</v>
      </c>
      <c r="R986">
        <v>1.51</v>
      </c>
      <c r="S986">
        <v>804</v>
      </c>
      <c r="T986">
        <v>7626</v>
      </c>
      <c r="U986">
        <v>7265</v>
      </c>
      <c r="V986">
        <v>253</v>
      </c>
      <c r="W986">
        <v>8.33</v>
      </c>
      <c r="X986" s="10">
        <v>0.56641596468793964</v>
      </c>
      <c r="Y986" s="9">
        <v>11150</v>
      </c>
      <c r="Z986" s="9">
        <v>9570</v>
      </c>
      <c r="AA986" s="9">
        <v>9930</v>
      </c>
      <c r="AB986">
        <v>0.22784810126582278</v>
      </c>
      <c r="AC986" s="11">
        <v>-18.979716587941091</v>
      </c>
      <c r="AD986" s="9">
        <v>10864.548022598869</v>
      </c>
      <c r="AE986" s="8">
        <v>-9.7272727272727275E-2</v>
      </c>
    </row>
    <row r="987" spans="1:31" x14ac:dyDescent="0.35">
      <c r="A987" s="6" t="s">
        <v>1008</v>
      </c>
      <c r="B987" s="7">
        <v>3</v>
      </c>
      <c r="C987" s="7">
        <v>7</v>
      </c>
      <c r="D987" s="7">
        <v>5</v>
      </c>
      <c r="E987" s="7">
        <v>3</v>
      </c>
      <c r="F987">
        <v>2367</v>
      </c>
      <c r="G987">
        <v>103</v>
      </c>
      <c r="H987">
        <v>4.3600000000000003</v>
      </c>
      <c r="I987">
        <v>82</v>
      </c>
      <c r="J987">
        <v>3.48</v>
      </c>
      <c r="K987">
        <v>2397</v>
      </c>
      <c r="L987">
        <v>828</v>
      </c>
      <c r="M987">
        <v>1569</v>
      </c>
      <c r="N987">
        <v>4182.68</v>
      </c>
      <c r="O987">
        <v>5.36</v>
      </c>
      <c r="P987">
        <v>12.6</v>
      </c>
      <c r="Q987">
        <v>0.95</v>
      </c>
      <c r="R987">
        <v>0.44</v>
      </c>
      <c r="S987">
        <v>2666</v>
      </c>
      <c r="T987">
        <v>35194</v>
      </c>
      <c r="U987">
        <v>76495</v>
      </c>
      <c r="V987">
        <v>193</v>
      </c>
      <c r="W987">
        <v>8.06</v>
      </c>
      <c r="X987" s="10">
        <v>2.4711698472504484E-2</v>
      </c>
      <c r="Y987" s="9">
        <v>36100</v>
      </c>
      <c r="Z987" s="9">
        <v>31800</v>
      </c>
      <c r="AA987" s="9">
        <v>32100</v>
      </c>
      <c r="AB987">
        <v>6.9767441860465115E-2</v>
      </c>
      <c r="AC987" s="11">
        <v>-9.1831064184495688</v>
      </c>
      <c r="AD987" s="9">
        <v>33575.08474576271</v>
      </c>
      <c r="AE987" s="8">
        <v>-5.3097345132743362E-2</v>
      </c>
    </row>
    <row r="988" spans="1:31" x14ac:dyDescent="0.35">
      <c r="A988" s="6" t="s">
        <v>1009</v>
      </c>
      <c r="B988" s="7">
        <v>4</v>
      </c>
      <c r="C988" s="7">
        <v>0</v>
      </c>
      <c r="D988" s="7">
        <v>4</v>
      </c>
      <c r="E988" s="7">
        <v>10</v>
      </c>
      <c r="F988">
        <v>367</v>
      </c>
      <c r="G988">
        <v>27</v>
      </c>
      <c r="H988">
        <v>7.34</v>
      </c>
      <c r="I988">
        <v>27</v>
      </c>
      <c r="J988">
        <v>7.25</v>
      </c>
      <c r="K988">
        <v>595</v>
      </c>
      <c r="L988">
        <v>169</v>
      </c>
      <c r="M988">
        <v>426</v>
      </c>
      <c r="N988">
        <v>1538.7</v>
      </c>
      <c r="O988">
        <v>6.35</v>
      </c>
      <c r="P988">
        <v>16.18</v>
      </c>
      <c r="Q988">
        <v>1.03</v>
      </c>
      <c r="R988">
        <v>1.17</v>
      </c>
      <c r="S988">
        <v>511</v>
      </c>
      <c r="T988">
        <v>8030</v>
      </c>
      <c r="U988">
        <v>7050</v>
      </c>
      <c r="V988">
        <v>35</v>
      </c>
      <c r="W988">
        <v>12.4</v>
      </c>
      <c r="X988" s="10">
        <v>0.86953733249194531</v>
      </c>
      <c r="Y988" s="9">
        <v>14500</v>
      </c>
      <c r="Z988" s="9">
        <v>8210</v>
      </c>
      <c r="AA988" s="9">
        <v>13250</v>
      </c>
      <c r="AB988">
        <v>0.80127186009538953</v>
      </c>
      <c r="AC988" s="11">
        <v>104.96499027507642</v>
      </c>
      <c r="AD988" s="9">
        <v>8288.4011299435042</v>
      </c>
      <c r="AE988" s="8">
        <v>0.59638554216867468</v>
      </c>
    </row>
    <row r="989" spans="1:31" x14ac:dyDescent="0.35">
      <c r="A989" s="6" t="s">
        <v>1010</v>
      </c>
      <c r="B989" s="7">
        <v>4</v>
      </c>
      <c r="C989" s="7">
        <v>11</v>
      </c>
      <c r="D989" s="7">
        <v>1</v>
      </c>
      <c r="E989" s="7">
        <v>2</v>
      </c>
      <c r="F989">
        <v>546</v>
      </c>
      <c r="G989">
        <v>105</v>
      </c>
      <c r="H989">
        <v>19.3</v>
      </c>
      <c r="I989">
        <v>2</v>
      </c>
      <c r="J989">
        <v>0.44</v>
      </c>
      <c r="K989">
        <v>8580</v>
      </c>
      <c r="L989">
        <v>4454</v>
      </c>
      <c r="M989">
        <v>4127</v>
      </c>
      <c r="N989">
        <v>2673.04</v>
      </c>
      <c r="O989">
        <v>0.06</v>
      </c>
      <c r="P989">
        <v>2325</v>
      </c>
      <c r="Q989">
        <v>1.41</v>
      </c>
      <c r="R989">
        <v>10.23</v>
      </c>
      <c r="S989">
        <v>8</v>
      </c>
      <c r="T989">
        <v>13154</v>
      </c>
      <c r="U989">
        <v>1819</v>
      </c>
      <c r="V989">
        <v>169</v>
      </c>
      <c r="W989">
        <v>45.09</v>
      </c>
      <c r="X989" s="10">
        <v>0.15837999544891682</v>
      </c>
      <c r="Y989" s="9">
        <v>19950</v>
      </c>
      <c r="Z989" s="9">
        <v>16500</v>
      </c>
      <c r="AA989" s="9">
        <v>19650</v>
      </c>
      <c r="AB989">
        <v>0.91304347826086951</v>
      </c>
      <c r="AC989" s="11">
        <v>20.507085301472635</v>
      </c>
      <c r="AD989" s="9">
        <v>16653.700564971754</v>
      </c>
      <c r="AE989" s="8">
        <v>8.2644628099173556E-2</v>
      </c>
    </row>
    <row r="990" spans="1:31" x14ac:dyDescent="0.35">
      <c r="A990" s="6" t="s">
        <v>1011</v>
      </c>
      <c r="B990" s="7">
        <v>7</v>
      </c>
      <c r="C990" s="7">
        <v>4</v>
      </c>
      <c r="D990" s="7">
        <v>0</v>
      </c>
      <c r="E990" s="7">
        <v>7</v>
      </c>
      <c r="F990">
        <v>362</v>
      </c>
      <c r="G990">
        <v>12</v>
      </c>
      <c r="H990">
        <v>3.33</v>
      </c>
      <c r="I990">
        <v>19</v>
      </c>
      <c r="J990">
        <v>5.28</v>
      </c>
      <c r="K990">
        <v>390</v>
      </c>
      <c r="L990">
        <v>40</v>
      </c>
      <c r="M990">
        <v>349</v>
      </c>
      <c r="N990">
        <v>1646.79</v>
      </c>
      <c r="O990">
        <v>5.6</v>
      </c>
      <c r="P990">
        <v>16.29</v>
      </c>
      <c r="Q990">
        <v>0.92</v>
      </c>
      <c r="R990">
        <v>0.86</v>
      </c>
      <c r="S990">
        <v>4775</v>
      </c>
      <c r="T990">
        <v>84667</v>
      </c>
      <c r="U990">
        <v>90486</v>
      </c>
      <c r="V990">
        <v>19</v>
      </c>
      <c r="W990">
        <v>16.600000000000001</v>
      </c>
      <c r="X990" s="10">
        <v>0.85584172782213885</v>
      </c>
      <c r="Y990" s="9">
        <v>142600</v>
      </c>
      <c r="Z990" s="9">
        <v>77100</v>
      </c>
      <c r="AA990" s="9">
        <v>124300</v>
      </c>
      <c r="AB990">
        <v>0.72061068702290076</v>
      </c>
      <c r="AC990" s="11">
        <v>1100.4806890803002</v>
      </c>
      <c r="AD990" s="9">
        <v>70757.005649717525</v>
      </c>
      <c r="AE990" s="8">
        <v>0.60594315245478036</v>
      </c>
    </row>
    <row r="991" spans="1:31" x14ac:dyDescent="0.35">
      <c r="A991" s="6" t="s">
        <v>1012</v>
      </c>
      <c r="B991" s="7">
        <v>6</v>
      </c>
      <c r="C991" s="7">
        <v>3</v>
      </c>
      <c r="D991" s="7">
        <v>1</v>
      </c>
      <c r="E991" s="7">
        <v>8</v>
      </c>
      <c r="F991">
        <v>326</v>
      </c>
      <c r="G991">
        <v>10</v>
      </c>
      <c r="H991">
        <v>3</v>
      </c>
      <c r="I991">
        <v>17</v>
      </c>
      <c r="J991">
        <v>5.0599999999999996</v>
      </c>
      <c r="K991">
        <v>636</v>
      </c>
      <c r="L991">
        <v>87</v>
      </c>
      <c r="M991">
        <v>549</v>
      </c>
      <c r="N991">
        <v>771.21</v>
      </c>
      <c r="O991">
        <v>3.03</v>
      </c>
      <c r="P991">
        <v>23.36</v>
      </c>
      <c r="Q991">
        <v>0.71</v>
      </c>
      <c r="R991">
        <v>1.18</v>
      </c>
      <c r="S991">
        <v>131</v>
      </c>
      <c r="T991">
        <v>4332</v>
      </c>
      <c r="U991">
        <v>2589</v>
      </c>
      <c r="V991">
        <v>32</v>
      </c>
      <c r="W991">
        <v>12.12</v>
      </c>
      <c r="X991" s="10">
        <v>0.74456844147972734</v>
      </c>
      <c r="Y991" s="9">
        <v>3410</v>
      </c>
      <c r="Z991" s="9">
        <v>3060</v>
      </c>
      <c r="AA991" s="9">
        <v>3360</v>
      </c>
      <c r="AB991">
        <v>0.8571428571428571</v>
      </c>
      <c r="AC991" s="11">
        <v>4.4316476799110864</v>
      </c>
      <c r="AD991" s="9">
        <v>3118.4180790960454</v>
      </c>
      <c r="AE991" s="8">
        <v>9.4462540716612378E-2</v>
      </c>
    </row>
    <row r="992" spans="1:31" x14ac:dyDescent="0.35">
      <c r="A992" s="6" t="s">
        <v>1013</v>
      </c>
      <c r="B992" s="7">
        <v>3</v>
      </c>
      <c r="C992" s="7">
        <v>5</v>
      </c>
      <c r="D992" s="7">
        <v>7</v>
      </c>
      <c r="E992" s="7">
        <v>3</v>
      </c>
      <c r="F992">
        <v>10</v>
      </c>
      <c r="G992">
        <v>-6</v>
      </c>
      <c r="H992">
        <v>-56.09</v>
      </c>
      <c r="I992">
        <v>2930</v>
      </c>
      <c r="J992">
        <v>28386.53</v>
      </c>
      <c r="K992">
        <v>2102</v>
      </c>
      <c r="L992">
        <v>46</v>
      </c>
      <c r="M992">
        <v>2056</v>
      </c>
      <c r="N992">
        <v>3281.67</v>
      </c>
      <c r="O992">
        <v>128.74</v>
      </c>
      <c r="P992">
        <v>0.53</v>
      </c>
      <c r="Q992">
        <v>1.17</v>
      </c>
      <c r="R992">
        <v>149.61000000000001</v>
      </c>
      <c r="S992">
        <v>36656</v>
      </c>
      <c r="T992">
        <v>16559</v>
      </c>
      <c r="U992">
        <v>129</v>
      </c>
      <c r="V992">
        <v>126</v>
      </c>
      <c r="W992">
        <v>18.98</v>
      </c>
      <c r="X992" s="10">
        <v>0.70645776774494606</v>
      </c>
      <c r="Y992" s="9">
        <v>18400</v>
      </c>
      <c r="Z992" s="9">
        <v>12100</v>
      </c>
      <c r="AA992" s="9">
        <v>16050</v>
      </c>
      <c r="AB992">
        <v>0.62698412698412698</v>
      </c>
      <c r="AC992" s="11">
        <v>70.557099194220612</v>
      </c>
      <c r="AD992" s="9">
        <v>13110.508474576272</v>
      </c>
      <c r="AE992" s="8">
        <v>0.20224719101123595</v>
      </c>
    </row>
    <row r="993" spans="1:31" x14ac:dyDescent="0.35">
      <c r="A993" s="6" t="s">
        <v>1014</v>
      </c>
      <c r="B993" s="7">
        <v>7</v>
      </c>
      <c r="C993" s="7">
        <v>2</v>
      </c>
      <c r="D993" s="7">
        <v>2</v>
      </c>
      <c r="E993" s="7">
        <v>7</v>
      </c>
      <c r="F993">
        <v>18268</v>
      </c>
      <c r="G993">
        <v>36</v>
      </c>
      <c r="H993">
        <v>0.2</v>
      </c>
      <c r="I993">
        <v>530</v>
      </c>
      <c r="J993">
        <v>2.9</v>
      </c>
      <c r="K993">
        <v>15161</v>
      </c>
      <c r="L993">
        <v>7127</v>
      </c>
      <c r="M993">
        <v>8034</v>
      </c>
      <c r="N993">
        <v>2324.6799999999998</v>
      </c>
      <c r="O993">
        <v>6.8</v>
      </c>
      <c r="P993">
        <v>10.49</v>
      </c>
      <c r="Q993">
        <v>0.91</v>
      </c>
      <c r="R993">
        <v>0.3</v>
      </c>
      <c r="S993">
        <v>13637</v>
      </c>
      <c r="T993">
        <v>157961</v>
      </c>
      <c r="U993">
        <v>470173</v>
      </c>
      <c r="V993">
        <v>342</v>
      </c>
      <c r="W993">
        <v>20.91</v>
      </c>
      <c r="X993" s="10">
        <v>5.7138724942111349E-2</v>
      </c>
      <c r="Y993" s="9">
        <v>147000</v>
      </c>
      <c r="Z993" s="9">
        <v>137500</v>
      </c>
      <c r="AA993" s="9">
        <v>144500</v>
      </c>
      <c r="AB993">
        <v>0.73684210526315785</v>
      </c>
      <c r="AC993" s="11">
        <v>25.743262017227007</v>
      </c>
      <c r="AD993" s="9">
        <v>142489.83050847458</v>
      </c>
      <c r="AE993" s="8">
        <v>-1.7006802721088437E-2</v>
      </c>
    </row>
    <row r="994" spans="1:31" x14ac:dyDescent="0.35">
      <c r="A994" s="6" t="s">
        <v>1015</v>
      </c>
      <c r="B994" s="7">
        <v>0</v>
      </c>
      <c r="C994" s="7">
        <v>3</v>
      </c>
      <c r="D994" s="7">
        <v>14</v>
      </c>
      <c r="E994" s="7">
        <v>1</v>
      </c>
      <c r="F994">
        <v>8418</v>
      </c>
      <c r="G994">
        <v>-26</v>
      </c>
      <c r="H994">
        <v>-0.3</v>
      </c>
      <c r="I994">
        <v>-4</v>
      </c>
      <c r="J994">
        <v>-0.05</v>
      </c>
      <c r="K994">
        <v>9389</v>
      </c>
      <c r="L994">
        <v>2946</v>
      </c>
      <c r="M994">
        <v>6443</v>
      </c>
      <c r="N994">
        <v>2110.02</v>
      </c>
      <c r="O994">
        <v>-0.06</v>
      </c>
      <c r="P994">
        <v>0</v>
      </c>
      <c r="Q994">
        <v>1.88</v>
      </c>
      <c r="R994">
        <v>1.4</v>
      </c>
      <c r="S994">
        <v>-7</v>
      </c>
      <c r="T994">
        <v>10765</v>
      </c>
      <c r="U994">
        <v>14438</v>
      </c>
      <c r="V994">
        <v>379</v>
      </c>
      <c r="W994">
        <v>33.090000000000003</v>
      </c>
      <c r="X994" s="10">
        <v>6.035584106087747E-2</v>
      </c>
      <c r="Y994" s="9">
        <v>22200</v>
      </c>
      <c r="Z994" s="9">
        <v>16200</v>
      </c>
      <c r="AA994" s="9">
        <v>19250</v>
      </c>
      <c r="AB994">
        <v>0.5083333333333333</v>
      </c>
      <c r="AC994" s="11">
        <v>-22.063073075854401</v>
      </c>
      <c r="AD994" s="9">
        <v>20123.757062146891</v>
      </c>
      <c r="AE994" s="8">
        <v>-6.3260340632603412E-2</v>
      </c>
    </row>
    <row r="995" spans="1:31" x14ac:dyDescent="0.35">
      <c r="A995" s="6" t="s">
        <v>1016</v>
      </c>
      <c r="B995" s="7">
        <v>6</v>
      </c>
      <c r="C995" s="7">
        <v>2</v>
      </c>
      <c r="D995" s="7">
        <v>3</v>
      </c>
      <c r="E995" s="7">
        <v>7</v>
      </c>
      <c r="F995">
        <v>417</v>
      </c>
      <c r="G995">
        <v>16</v>
      </c>
      <c r="H995">
        <v>3.85</v>
      </c>
      <c r="I995">
        <v>7</v>
      </c>
      <c r="J995">
        <v>1.74</v>
      </c>
      <c r="K995">
        <v>515</v>
      </c>
      <c r="L995">
        <v>258</v>
      </c>
      <c r="M995">
        <v>256</v>
      </c>
      <c r="N995">
        <v>-22.89</v>
      </c>
      <c r="O995">
        <v>2.85</v>
      </c>
      <c r="P995">
        <v>37.729999999999997</v>
      </c>
      <c r="Q995">
        <v>1.0900000000000001</v>
      </c>
      <c r="R995">
        <v>0.66</v>
      </c>
      <c r="S995">
        <v>55</v>
      </c>
      <c r="T995">
        <v>1907</v>
      </c>
      <c r="U995">
        <v>3132</v>
      </c>
      <c r="V995">
        <v>31</v>
      </c>
      <c r="W995">
        <v>15</v>
      </c>
      <c r="X995" s="10">
        <v>0.80633786279393904</v>
      </c>
      <c r="Y995" s="9">
        <v>2830</v>
      </c>
      <c r="Z995" s="9">
        <v>2025</v>
      </c>
      <c r="AA995" s="9">
        <v>2830</v>
      </c>
      <c r="AB995">
        <v>1</v>
      </c>
      <c r="AC995" s="11">
        <v>9.702417338149484</v>
      </c>
      <c r="AD995" s="9">
        <v>2049.2429378531074</v>
      </c>
      <c r="AE995" s="8">
        <v>0.39753086419753086</v>
      </c>
    </row>
    <row r="996" spans="1:31" x14ac:dyDescent="0.35">
      <c r="A996" s="6" t="s">
        <v>1017</v>
      </c>
      <c r="B996" s="7">
        <v>0</v>
      </c>
      <c r="C996" s="7">
        <v>0</v>
      </c>
      <c r="D996" s="7">
        <v>0</v>
      </c>
      <c r="E996" s="7">
        <v>18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 s="10">
        <v>0.53213305756326934</v>
      </c>
      <c r="Y996" s="9">
        <v>42800</v>
      </c>
      <c r="Z996" s="9">
        <v>10900</v>
      </c>
      <c r="AA996" s="9">
        <v>24850</v>
      </c>
      <c r="AB996">
        <v>0.43730407523510972</v>
      </c>
      <c r="AC996" s="11">
        <v>383.69824951375381</v>
      </c>
      <c r="AD996" s="9">
        <v>9877.203389830509</v>
      </c>
      <c r="AE996" s="8">
        <v>1.1422413793103448</v>
      </c>
    </row>
    <row r="997" spans="1:31" x14ac:dyDescent="0.35">
      <c r="A997" s="6" t="s">
        <v>1018</v>
      </c>
      <c r="B997" s="7">
        <v>4</v>
      </c>
      <c r="C997" s="7">
        <v>2</v>
      </c>
      <c r="D997" s="7">
        <v>12</v>
      </c>
      <c r="E997" s="7">
        <v>0</v>
      </c>
      <c r="F997">
        <v>369</v>
      </c>
      <c r="G997">
        <v>1</v>
      </c>
      <c r="H997">
        <v>0.4</v>
      </c>
      <c r="I997">
        <v>2</v>
      </c>
      <c r="J997">
        <v>0.44</v>
      </c>
      <c r="K997">
        <v>174</v>
      </c>
      <c r="L997">
        <v>40</v>
      </c>
      <c r="M997">
        <v>134</v>
      </c>
      <c r="N997">
        <v>-21.48</v>
      </c>
      <c r="O997">
        <v>1.22</v>
      </c>
      <c r="P997">
        <v>120</v>
      </c>
      <c r="Q997">
        <v>1.99</v>
      </c>
      <c r="R997">
        <v>0.56000000000000005</v>
      </c>
      <c r="S997">
        <v>5</v>
      </c>
      <c r="T997">
        <v>302</v>
      </c>
      <c r="U997">
        <v>1067</v>
      </c>
      <c r="V997">
        <v>13</v>
      </c>
      <c r="W997">
        <v>16.37</v>
      </c>
      <c r="X997" s="10">
        <v>0.71672545007888488</v>
      </c>
      <c r="Y997" s="9">
        <v>1320</v>
      </c>
      <c r="Z997" s="9">
        <v>597</v>
      </c>
      <c r="AA997" s="9">
        <v>1200</v>
      </c>
      <c r="AB997">
        <v>0.8340248962655602</v>
      </c>
      <c r="AC997" s="11">
        <v>8.7133370380661272</v>
      </c>
      <c r="AD997" s="9">
        <v>569.95988700564976</v>
      </c>
      <c r="AE997" s="8">
        <v>0.98347107438016534</v>
      </c>
    </row>
    <row r="998" spans="1:31" x14ac:dyDescent="0.35">
      <c r="A998" s="6" t="s">
        <v>1019</v>
      </c>
      <c r="B998" s="7">
        <v>6</v>
      </c>
      <c r="C998" s="7">
        <v>2</v>
      </c>
      <c r="D998" s="7">
        <v>6</v>
      </c>
      <c r="E998" s="7">
        <v>4</v>
      </c>
      <c r="F998">
        <v>113</v>
      </c>
      <c r="G998">
        <v>15</v>
      </c>
      <c r="H998">
        <v>13.49</v>
      </c>
      <c r="I998">
        <v>8</v>
      </c>
      <c r="J998">
        <v>7.15</v>
      </c>
      <c r="K998">
        <v>717</v>
      </c>
      <c r="L998">
        <v>191</v>
      </c>
      <c r="M998">
        <v>526</v>
      </c>
      <c r="N998">
        <v>555.16999999999996</v>
      </c>
      <c r="O998">
        <v>2.04</v>
      </c>
      <c r="P998">
        <v>59.78</v>
      </c>
      <c r="Q998">
        <v>1.31</v>
      </c>
      <c r="R998">
        <v>4.2699999999999996</v>
      </c>
      <c r="S998">
        <v>67</v>
      </c>
      <c r="T998">
        <v>3049</v>
      </c>
      <c r="U998">
        <v>937</v>
      </c>
      <c r="V998">
        <v>23</v>
      </c>
      <c r="W998">
        <v>33.340000000000003</v>
      </c>
      <c r="X998" s="10">
        <v>0.84472797166350144</v>
      </c>
      <c r="Y998" s="9">
        <v>9430</v>
      </c>
      <c r="Z998" s="9">
        <v>5030</v>
      </c>
      <c r="AA998" s="9">
        <v>9000</v>
      </c>
      <c r="AB998">
        <v>0.90227272727272723</v>
      </c>
      <c r="AC998" s="11">
        <v>73.013059183106421</v>
      </c>
      <c r="AD998" s="9">
        <v>4436.7683615819205</v>
      </c>
      <c r="AE998" s="8">
        <v>0.73076923076923073</v>
      </c>
    </row>
    <row r="999" spans="1:31" x14ac:dyDescent="0.35">
      <c r="A999" s="6" t="s">
        <v>1020</v>
      </c>
      <c r="B999" s="7">
        <v>4</v>
      </c>
      <c r="C999" s="7">
        <v>1</v>
      </c>
      <c r="D999" s="7">
        <v>12</v>
      </c>
      <c r="E999" s="7">
        <v>1</v>
      </c>
      <c r="F999">
        <v>156</v>
      </c>
      <c r="G999">
        <v>-6</v>
      </c>
      <c r="H999">
        <v>-4.08</v>
      </c>
      <c r="I999">
        <v>-59</v>
      </c>
      <c r="J999">
        <v>-37.97</v>
      </c>
      <c r="K999">
        <v>707</v>
      </c>
      <c r="L999">
        <v>188</v>
      </c>
      <c r="M999">
        <v>519</v>
      </c>
      <c r="N999">
        <v>71.58</v>
      </c>
      <c r="O999">
        <v>-14.38</v>
      </c>
      <c r="P999">
        <v>0</v>
      </c>
      <c r="Q999">
        <v>0.54</v>
      </c>
      <c r="R999">
        <v>1.34</v>
      </c>
      <c r="S999">
        <v>-131</v>
      </c>
      <c r="T999">
        <v>856</v>
      </c>
      <c r="U999">
        <v>344</v>
      </c>
      <c r="V999">
        <v>-2</v>
      </c>
      <c r="W999">
        <v>-140.53</v>
      </c>
      <c r="X999" s="10">
        <v>0.56304412029661777</v>
      </c>
      <c r="Y999" s="9">
        <v>689</v>
      </c>
      <c r="Z999" s="9">
        <v>451</v>
      </c>
      <c r="AA999" s="9">
        <v>689</v>
      </c>
      <c r="AB999">
        <v>1</v>
      </c>
      <c r="AC999" s="11">
        <v>2.0570714087246458</v>
      </c>
      <c r="AD999" s="9">
        <v>454.12598870056496</v>
      </c>
      <c r="AE999" s="8">
        <v>0.42946058091286304</v>
      </c>
    </row>
    <row r="1000" spans="1:31" x14ac:dyDescent="0.35">
      <c r="A1000" s="6" t="s">
        <v>1021</v>
      </c>
      <c r="B1000" s="7">
        <v>4</v>
      </c>
      <c r="C1000" s="7">
        <v>0</v>
      </c>
      <c r="D1000" s="7">
        <v>4</v>
      </c>
      <c r="E1000" s="7">
        <v>10</v>
      </c>
      <c r="F1000">
        <v>316</v>
      </c>
      <c r="G1000">
        <v>2</v>
      </c>
      <c r="H1000">
        <v>0.56000000000000005</v>
      </c>
      <c r="I1000">
        <v>2</v>
      </c>
      <c r="J1000">
        <v>0.72</v>
      </c>
      <c r="K1000">
        <v>747</v>
      </c>
      <c r="L1000">
        <v>427</v>
      </c>
      <c r="M1000">
        <v>320</v>
      </c>
      <c r="N1000">
        <v>833.28</v>
      </c>
      <c r="O1000">
        <v>0.94</v>
      </c>
      <c r="P1000">
        <v>236.36</v>
      </c>
      <c r="Q1000">
        <v>2.6</v>
      </c>
      <c r="R1000">
        <v>1.69</v>
      </c>
      <c r="S1000">
        <v>44</v>
      </c>
      <c r="T1000">
        <v>3996</v>
      </c>
      <c r="U1000">
        <v>6149</v>
      </c>
      <c r="V1000">
        <v>17</v>
      </c>
      <c r="W1000">
        <v>59.75</v>
      </c>
      <c r="X1000" s="10">
        <v>0.56839759254581379</v>
      </c>
      <c r="Y1000" s="9">
        <v>11400</v>
      </c>
      <c r="Z1000" s="9">
        <v>8000</v>
      </c>
      <c r="AA1000" s="9">
        <v>11250</v>
      </c>
      <c r="AB1000">
        <v>0.95588235294117652</v>
      </c>
      <c r="AC1000" s="11">
        <v>38.976104473464858</v>
      </c>
      <c r="AD1000" s="9">
        <v>8202.3954802259886</v>
      </c>
      <c r="AE1000" s="8">
        <v>0.40625</v>
      </c>
    </row>
    <row r="1001" spans="1:31" x14ac:dyDescent="0.35">
      <c r="A1001" s="6" t="s">
        <v>1022</v>
      </c>
      <c r="B1001" s="7">
        <v>1</v>
      </c>
      <c r="C1001" s="7">
        <v>5</v>
      </c>
      <c r="D1001" s="7">
        <v>2</v>
      </c>
      <c r="E1001" s="7">
        <v>10</v>
      </c>
      <c r="F1001">
        <v>2564</v>
      </c>
      <c r="G1001">
        <v>42</v>
      </c>
      <c r="H1001">
        <v>1.64</v>
      </c>
      <c r="I1001">
        <v>-86</v>
      </c>
      <c r="J1001">
        <v>-3.34</v>
      </c>
      <c r="K1001">
        <v>2570</v>
      </c>
      <c r="L1001">
        <v>1695</v>
      </c>
      <c r="M1001">
        <v>875</v>
      </c>
      <c r="N1001">
        <v>546.78</v>
      </c>
      <c r="O1001">
        <v>-9.31</v>
      </c>
      <c r="P1001">
        <v>0</v>
      </c>
      <c r="Q1001">
        <v>0.39</v>
      </c>
      <c r="R1001">
        <v>0.13</v>
      </c>
      <c r="S1001">
        <v>-317</v>
      </c>
      <c r="T1001">
        <v>3075</v>
      </c>
      <c r="U1001">
        <v>9513</v>
      </c>
      <c r="V1001">
        <v>66</v>
      </c>
      <c r="W1001">
        <v>28.1</v>
      </c>
      <c r="X1001" s="10">
        <v>0.77994479380110182</v>
      </c>
      <c r="Y1001" s="9">
        <v>1600</v>
      </c>
      <c r="Z1001" s="9">
        <v>1130</v>
      </c>
      <c r="AA1001" s="9">
        <v>1585</v>
      </c>
      <c r="AB1001">
        <v>0.96808510638297873</v>
      </c>
      <c r="AC1001" s="11">
        <v>7.330647402056127</v>
      </c>
      <c r="AD1001" s="9">
        <v>1083.4152542372881</v>
      </c>
      <c r="AE1001" s="8">
        <v>0.32083333333333336</v>
      </c>
    </row>
    <row r="1002" spans="1:31" x14ac:dyDescent="0.35">
      <c r="A1002" s="6" t="s">
        <v>1023</v>
      </c>
      <c r="B1002" s="7">
        <v>13</v>
      </c>
      <c r="C1002" s="7">
        <v>0</v>
      </c>
      <c r="D1002" s="7">
        <v>2</v>
      </c>
      <c r="E1002" s="7">
        <v>3</v>
      </c>
      <c r="F1002">
        <v>3366</v>
      </c>
      <c r="G1002">
        <v>215</v>
      </c>
      <c r="H1002">
        <v>6.38</v>
      </c>
      <c r="I1002">
        <v>376</v>
      </c>
      <c r="J1002">
        <v>11.16</v>
      </c>
      <c r="K1002">
        <v>2052</v>
      </c>
      <c r="L1002">
        <v>562</v>
      </c>
      <c r="M1002">
        <v>1490</v>
      </c>
      <c r="N1002">
        <v>1501.7</v>
      </c>
      <c r="O1002">
        <v>28.06</v>
      </c>
      <c r="P1002">
        <v>5.47</v>
      </c>
      <c r="Q1002">
        <v>1.39</v>
      </c>
      <c r="R1002">
        <v>0.61</v>
      </c>
      <c r="S1002">
        <v>2020</v>
      </c>
      <c r="T1002">
        <v>7977</v>
      </c>
      <c r="U1002">
        <v>18098</v>
      </c>
      <c r="V1002">
        <v>275</v>
      </c>
      <c r="W1002">
        <v>7.48</v>
      </c>
      <c r="X1002" s="10">
        <v>0.73476170187318102</v>
      </c>
      <c r="Y1002" s="9">
        <v>16450</v>
      </c>
      <c r="Z1002" s="9">
        <v>10750</v>
      </c>
      <c r="AA1002" s="9">
        <v>15100</v>
      </c>
      <c r="AB1002">
        <v>0.76315789473684215</v>
      </c>
      <c r="AC1002" s="11">
        <v>86.476799110864135</v>
      </c>
      <c r="AD1002" s="9">
        <v>11522.457627118643</v>
      </c>
      <c r="AE1002" s="8">
        <v>0.3482142857142857</v>
      </c>
    </row>
    <row r="1003" spans="1:31" x14ac:dyDescent="0.35">
      <c r="A1003" s="6" t="s">
        <v>1024</v>
      </c>
      <c r="B1003" s="7">
        <v>3</v>
      </c>
      <c r="C1003" s="7">
        <v>5</v>
      </c>
      <c r="D1003" s="7">
        <v>2</v>
      </c>
      <c r="E1003" s="7">
        <v>8</v>
      </c>
      <c r="F1003">
        <v>354</v>
      </c>
      <c r="G1003">
        <v>32</v>
      </c>
      <c r="H1003">
        <v>9.14</v>
      </c>
      <c r="I1003">
        <v>55</v>
      </c>
      <c r="J1003">
        <v>15.51</v>
      </c>
      <c r="K1003">
        <v>310</v>
      </c>
      <c r="L1003">
        <v>107</v>
      </c>
      <c r="M1003">
        <v>203</v>
      </c>
      <c r="N1003">
        <v>1027.28</v>
      </c>
      <c r="O1003">
        <v>41.78</v>
      </c>
      <c r="P1003">
        <v>0</v>
      </c>
      <c r="Q1003">
        <v>0</v>
      </c>
      <c r="R1003">
        <v>0</v>
      </c>
      <c r="S1003">
        <v>2036</v>
      </c>
      <c r="T1003">
        <v>5567</v>
      </c>
      <c r="U1003">
        <v>13121</v>
      </c>
      <c r="V1003">
        <v>0</v>
      </c>
      <c r="W1003">
        <v>0</v>
      </c>
      <c r="X1003" s="10">
        <v>0.76334539224241227</v>
      </c>
      <c r="Y1003" s="9">
        <v>15800</v>
      </c>
      <c r="Z1003" s="9">
        <v>8210</v>
      </c>
      <c r="AA1003" s="9">
        <v>15050</v>
      </c>
      <c r="AB1003">
        <v>0.90118577075098816</v>
      </c>
      <c r="AC1003" s="11">
        <v>107.24923589886077</v>
      </c>
      <c r="AD1003" s="9">
        <v>7469.5649717514125</v>
      </c>
      <c r="AE1003" s="8">
        <v>0.80239520958083832</v>
      </c>
    </row>
    <row r="1004" spans="1:31" x14ac:dyDescent="0.35">
      <c r="A1004" s="6" t="s">
        <v>1025</v>
      </c>
      <c r="B1004" s="7">
        <v>7</v>
      </c>
      <c r="C1004" s="7">
        <v>6</v>
      </c>
      <c r="D1004" s="7">
        <v>4</v>
      </c>
      <c r="E1004" s="7">
        <v>1</v>
      </c>
      <c r="F1004">
        <v>1493</v>
      </c>
      <c r="G1004">
        <v>53</v>
      </c>
      <c r="H1004">
        <v>3.56</v>
      </c>
      <c r="I1004">
        <v>70</v>
      </c>
      <c r="J1004">
        <v>4.6900000000000004</v>
      </c>
      <c r="K1004">
        <v>1900</v>
      </c>
      <c r="L1004">
        <v>946</v>
      </c>
      <c r="M1004">
        <v>953</v>
      </c>
      <c r="N1004">
        <v>960.92</v>
      </c>
      <c r="O1004">
        <v>7.37</v>
      </c>
      <c r="P1004">
        <v>9.57</v>
      </c>
      <c r="Q1004">
        <v>0.74</v>
      </c>
      <c r="R1004">
        <v>0.47</v>
      </c>
      <c r="S1004">
        <v>384</v>
      </c>
      <c r="T1004">
        <v>4939</v>
      </c>
      <c r="U1004">
        <v>7896</v>
      </c>
      <c r="V1004">
        <v>108</v>
      </c>
      <c r="W1004">
        <v>10.039999999999999</v>
      </c>
      <c r="X1004" s="10">
        <v>0.56102972419126163</v>
      </c>
      <c r="Y1004" s="9">
        <v>4290</v>
      </c>
      <c r="Z1004" s="9">
        <v>3615</v>
      </c>
      <c r="AA1004" s="9">
        <v>4000</v>
      </c>
      <c r="AB1004">
        <v>0.57037037037037042</v>
      </c>
      <c r="AC1004" s="11">
        <v>7.8385662684078907</v>
      </c>
      <c r="AD1004" s="9">
        <v>3686.4237288135591</v>
      </c>
      <c r="AE1004" s="8">
        <v>7.6716016150740238E-2</v>
      </c>
    </row>
    <row r="1005" spans="1:31" x14ac:dyDescent="0.35">
      <c r="A1005" s="6" t="s">
        <v>1026</v>
      </c>
      <c r="B1005" s="7">
        <v>15</v>
      </c>
      <c r="C1005" s="7">
        <v>0</v>
      </c>
      <c r="D1005" s="7">
        <v>0</v>
      </c>
      <c r="E1005" s="7">
        <v>3</v>
      </c>
      <c r="F1005">
        <v>4735</v>
      </c>
      <c r="G1005">
        <v>351</v>
      </c>
      <c r="H1005">
        <v>7.42</v>
      </c>
      <c r="I1005">
        <v>265</v>
      </c>
      <c r="J1005">
        <v>5.59</v>
      </c>
      <c r="K1005">
        <v>3223</v>
      </c>
      <c r="L1005">
        <v>2061</v>
      </c>
      <c r="M1005">
        <v>1162</v>
      </c>
      <c r="N1005">
        <v>130.38999999999999</v>
      </c>
      <c r="O1005">
        <v>25.45</v>
      </c>
      <c r="P1005">
        <v>8.02</v>
      </c>
      <c r="Q1005">
        <v>1.84</v>
      </c>
      <c r="R1005">
        <v>0.45</v>
      </c>
      <c r="S1005">
        <v>262</v>
      </c>
      <c r="T1005">
        <v>1142</v>
      </c>
      <c r="U1005">
        <v>4693</v>
      </c>
      <c r="V1005">
        <v>352</v>
      </c>
      <c r="W1005">
        <v>7.56</v>
      </c>
      <c r="X1005" s="10">
        <v>0.768297191111462</v>
      </c>
      <c r="Y1005" s="9">
        <v>2550</v>
      </c>
      <c r="Z1005" s="9">
        <v>1990</v>
      </c>
      <c r="AA1005" s="9">
        <v>2420</v>
      </c>
      <c r="AB1005">
        <v>0.7678571428571429</v>
      </c>
      <c r="AC1005" s="11">
        <v>9.0675187552097789</v>
      </c>
      <c r="AD1005" s="9">
        <v>1986.6073446327682</v>
      </c>
      <c r="AE1005" s="8">
        <v>0.12558139534883722</v>
      </c>
    </row>
    <row r="1006" spans="1:31" x14ac:dyDescent="0.35">
      <c r="A1006" s="6" t="s">
        <v>1027</v>
      </c>
      <c r="B1006" s="7">
        <v>13</v>
      </c>
      <c r="C1006" s="7">
        <v>3</v>
      </c>
      <c r="D1006" s="7">
        <v>0</v>
      </c>
      <c r="E1006" s="7">
        <v>2</v>
      </c>
      <c r="F1006">
        <v>341</v>
      </c>
      <c r="G1006">
        <v>26</v>
      </c>
      <c r="H1006">
        <v>7.74</v>
      </c>
      <c r="I1006">
        <v>26</v>
      </c>
      <c r="J1006">
        <v>7.55</v>
      </c>
      <c r="K1006">
        <v>582</v>
      </c>
      <c r="L1006">
        <v>89</v>
      </c>
      <c r="M1006">
        <v>494</v>
      </c>
      <c r="N1006">
        <v>1891.11</v>
      </c>
      <c r="O1006">
        <v>5.32</v>
      </c>
      <c r="P1006">
        <v>15.04</v>
      </c>
      <c r="Q1006">
        <v>0.83</v>
      </c>
      <c r="R1006">
        <v>1.1299999999999999</v>
      </c>
      <c r="S1006">
        <v>530</v>
      </c>
      <c r="T1006">
        <v>9571</v>
      </c>
      <c r="U1006">
        <v>7023</v>
      </c>
      <c r="V1006">
        <v>29</v>
      </c>
      <c r="W1006">
        <v>14.37</v>
      </c>
      <c r="X1006" s="10">
        <v>0.51674482085441398</v>
      </c>
      <c r="Y1006" s="9">
        <v>9590</v>
      </c>
      <c r="Z1006" s="9">
        <v>7400</v>
      </c>
      <c r="AA1006" s="9">
        <v>9350</v>
      </c>
      <c r="AB1006">
        <v>0.8904109589041096</v>
      </c>
      <c r="AC1006" s="11">
        <v>20.905529313698253</v>
      </c>
      <c r="AD1006" s="9">
        <v>7345.2146892655364</v>
      </c>
      <c r="AE1006" s="8">
        <v>9.7417840375586859E-2</v>
      </c>
    </row>
    <row r="1007" spans="1:31" x14ac:dyDescent="0.35">
      <c r="A1007" s="6" t="s">
        <v>1028</v>
      </c>
      <c r="B1007" s="7">
        <v>7</v>
      </c>
      <c r="C1007" s="7">
        <v>9</v>
      </c>
      <c r="D1007" s="7">
        <v>1</v>
      </c>
      <c r="E1007" s="7">
        <v>1</v>
      </c>
      <c r="F1007">
        <v>209</v>
      </c>
      <c r="G1007">
        <v>9</v>
      </c>
      <c r="H1007">
        <v>4.18</v>
      </c>
      <c r="I1007">
        <v>12</v>
      </c>
      <c r="J1007">
        <v>5.87</v>
      </c>
      <c r="K1007">
        <v>292</v>
      </c>
      <c r="L1007">
        <v>50</v>
      </c>
      <c r="M1007">
        <v>242</v>
      </c>
      <c r="N1007">
        <v>329.21</v>
      </c>
      <c r="O1007">
        <v>5.2</v>
      </c>
      <c r="P1007">
        <v>14.64</v>
      </c>
      <c r="Q1007">
        <v>0.77</v>
      </c>
      <c r="R1007">
        <v>0.86</v>
      </c>
      <c r="S1007">
        <v>111</v>
      </c>
      <c r="T1007">
        <v>2105</v>
      </c>
      <c r="U1007">
        <v>1885</v>
      </c>
      <c r="V1007">
        <v>11</v>
      </c>
      <c r="W1007">
        <v>17.2</v>
      </c>
      <c r="X1007" s="10">
        <v>0.77594051815191722</v>
      </c>
      <c r="Y1007" s="9">
        <v>1870</v>
      </c>
      <c r="Z1007" s="9">
        <v>1610</v>
      </c>
      <c r="AA1007" s="9">
        <v>1840</v>
      </c>
      <c r="AB1007">
        <v>0.88461538461538458</v>
      </c>
      <c r="AC1007" s="11">
        <v>2.9540150041678244</v>
      </c>
      <c r="AD1007" s="9">
        <v>1660.1525423728813</v>
      </c>
      <c r="AE1007" s="8">
        <v>0.14285714285714285</v>
      </c>
    </row>
    <row r="1008" spans="1:31" x14ac:dyDescent="0.35">
      <c r="A1008" s="6" t="s">
        <v>1029</v>
      </c>
      <c r="B1008" s="7">
        <v>14</v>
      </c>
      <c r="C1008" s="7">
        <v>0</v>
      </c>
      <c r="D1008" s="7">
        <v>1</v>
      </c>
      <c r="E1008" s="7">
        <v>3</v>
      </c>
      <c r="F1008">
        <v>2392</v>
      </c>
      <c r="G1008">
        <v>217</v>
      </c>
      <c r="H1008">
        <v>9.07</v>
      </c>
      <c r="I1008">
        <v>191</v>
      </c>
      <c r="J1008">
        <v>8.01</v>
      </c>
      <c r="K1008">
        <v>3644</v>
      </c>
      <c r="L1008">
        <v>1729</v>
      </c>
      <c r="M1008">
        <v>1915</v>
      </c>
      <c r="N1008">
        <v>3047.1</v>
      </c>
      <c r="O1008">
        <v>10.43</v>
      </c>
      <c r="P1008">
        <v>30.15</v>
      </c>
      <c r="Q1008">
        <v>3.25</v>
      </c>
      <c r="R1008">
        <v>2.41</v>
      </c>
      <c r="S1008">
        <v>1655</v>
      </c>
      <c r="T1008">
        <v>15367</v>
      </c>
      <c r="U1008">
        <v>20673</v>
      </c>
      <c r="V1008">
        <v>352</v>
      </c>
      <c r="W1008">
        <v>20.309999999999999</v>
      </c>
      <c r="X1008" s="10">
        <v>8.3360595942578275E-2</v>
      </c>
      <c r="Y1008" s="9">
        <v>52900</v>
      </c>
      <c r="Z1008" s="9">
        <v>42000</v>
      </c>
      <c r="AA1008" s="9">
        <v>51500</v>
      </c>
      <c r="AB1008">
        <v>0.87155963302752293</v>
      </c>
      <c r="AC1008" s="11">
        <v>-45.744651292025566</v>
      </c>
      <c r="AD1008" s="9">
        <v>49854.378531073446</v>
      </c>
      <c r="AE1008" s="8">
        <v>5.1020408163265307E-2</v>
      </c>
    </row>
    <row r="1009" spans="1:31" x14ac:dyDescent="0.35">
      <c r="A1009" s="6" t="s">
        <v>1030</v>
      </c>
      <c r="B1009" s="7">
        <v>3</v>
      </c>
      <c r="C1009" s="7">
        <v>11</v>
      </c>
      <c r="D1009" s="7">
        <v>0</v>
      </c>
      <c r="E1009" s="7">
        <v>4</v>
      </c>
      <c r="F1009">
        <v>9155</v>
      </c>
      <c r="G1009">
        <v>290</v>
      </c>
      <c r="H1009">
        <v>3.16</v>
      </c>
      <c r="I1009">
        <v>57</v>
      </c>
      <c r="J1009">
        <v>0.62</v>
      </c>
      <c r="K1009">
        <v>6149</v>
      </c>
      <c r="L1009">
        <v>4183</v>
      </c>
      <c r="M1009">
        <v>1966</v>
      </c>
      <c r="N1009">
        <v>149.12</v>
      </c>
      <c r="O1009">
        <v>2.92</v>
      </c>
      <c r="P1009">
        <v>19.22</v>
      </c>
      <c r="Q1009">
        <v>0.59</v>
      </c>
      <c r="R1009">
        <v>0.12</v>
      </c>
      <c r="S1009">
        <v>36</v>
      </c>
      <c r="T1009">
        <v>1173</v>
      </c>
      <c r="U1009">
        <v>5833</v>
      </c>
      <c r="V1009">
        <v>318</v>
      </c>
      <c r="W1009">
        <v>5.18</v>
      </c>
      <c r="X1009" s="10">
        <v>0.86628570593044341</v>
      </c>
      <c r="Y1009" s="9">
        <v>1430</v>
      </c>
      <c r="Z1009" s="9">
        <v>680</v>
      </c>
      <c r="AA1009" s="9">
        <v>1370</v>
      </c>
      <c r="AB1009">
        <v>0.92</v>
      </c>
      <c r="AC1009" s="11">
        <v>12.636593498193946</v>
      </c>
      <c r="AD1009" s="9">
        <v>530.46723163841796</v>
      </c>
      <c r="AE1009" s="8">
        <v>1.0087976539589443</v>
      </c>
    </row>
    <row r="1010" spans="1:31" x14ac:dyDescent="0.35">
      <c r="A1010" s="6" t="s">
        <v>1031</v>
      </c>
      <c r="B1010" s="7">
        <v>0</v>
      </c>
      <c r="C1010" s="7">
        <v>4</v>
      </c>
      <c r="D1010" s="7">
        <v>7</v>
      </c>
      <c r="E1010" s="7">
        <v>7</v>
      </c>
      <c r="F1010">
        <v>1061</v>
      </c>
      <c r="G1010">
        <v>176</v>
      </c>
      <c r="H1010">
        <v>16.57</v>
      </c>
      <c r="I1010">
        <v>-115</v>
      </c>
      <c r="J1010">
        <v>-10.85</v>
      </c>
      <c r="K1010">
        <v>3874</v>
      </c>
      <c r="L1010">
        <v>1045</v>
      </c>
      <c r="M1010">
        <v>2829</v>
      </c>
      <c r="N1010">
        <v>4199.5</v>
      </c>
      <c r="O1010">
        <v>-3.97</v>
      </c>
      <c r="P1010">
        <v>0</v>
      </c>
      <c r="Q1010">
        <v>0.44</v>
      </c>
      <c r="R1010">
        <v>1.1200000000000001</v>
      </c>
      <c r="S1010">
        <v>-1804</v>
      </c>
      <c r="T1010">
        <v>42659</v>
      </c>
      <c r="U1010">
        <v>16629</v>
      </c>
      <c r="V1010">
        <v>295</v>
      </c>
      <c r="W1010">
        <v>6.12</v>
      </c>
      <c r="X1010" s="10">
        <v>0.68955682452882083</v>
      </c>
      <c r="Y1010" s="9">
        <v>21950</v>
      </c>
      <c r="Z1010" s="9">
        <v>18300</v>
      </c>
      <c r="AA1010" s="9">
        <v>20500</v>
      </c>
      <c r="AB1010">
        <v>0.60273972602739723</v>
      </c>
      <c r="AC1010" s="11">
        <v>52.232564601278135</v>
      </c>
      <c r="AD1010" s="9">
        <v>18247.74011299435</v>
      </c>
      <c r="AE1010" s="8">
        <v>8.4656084656084651E-2</v>
      </c>
    </row>
    <row r="1011" spans="1:31" x14ac:dyDescent="0.35">
      <c r="A1011" s="6" t="s">
        <v>1032</v>
      </c>
      <c r="B1011" s="7">
        <v>11</v>
      </c>
      <c r="C1011" s="7">
        <v>5</v>
      </c>
      <c r="D1011" s="7">
        <v>2</v>
      </c>
      <c r="E1011" s="7">
        <v>0</v>
      </c>
      <c r="F1011">
        <v>1441</v>
      </c>
      <c r="G1011">
        <v>612</v>
      </c>
      <c r="H1011">
        <v>42.45</v>
      </c>
      <c r="I1011">
        <v>485</v>
      </c>
      <c r="J1011">
        <v>33.65</v>
      </c>
      <c r="K1011">
        <v>1095</v>
      </c>
      <c r="L1011">
        <v>243</v>
      </c>
      <c r="M1011">
        <v>853</v>
      </c>
      <c r="N1011">
        <v>2656.48</v>
      </c>
      <c r="O1011">
        <v>76.12</v>
      </c>
      <c r="P1011">
        <v>11</v>
      </c>
      <c r="Q1011">
        <v>6.51</v>
      </c>
      <c r="R1011">
        <v>3.7</v>
      </c>
      <c r="S1011">
        <v>1564</v>
      </c>
      <c r="T1011">
        <v>2641</v>
      </c>
      <c r="U1011">
        <v>4650</v>
      </c>
      <c r="V1011">
        <v>613</v>
      </c>
      <c r="W1011">
        <v>9.0500000000000007</v>
      </c>
      <c r="X1011" s="10">
        <v>0.76739415102488806</v>
      </c>
      <c r="Y1011" s="9">
        <v>18900</v>
      </c>
      <c r="Z1011" s="9">
        <v>14100</v>
      </c>
      <c r="AA1011" s="9">
        <v>14100</v>
      </c>
      <c r="AB1011">
        <v>0</v>
      </c>
      <c r="AC1011" s="11">
        <v>-66.030841900527918</v>
      </c>
      <c r="AD1011" s="9">
        <v>18568.107344632768</v>
      </c>
      <c r="AE1011" s="8">
        <v>-0.17302052785923755</v>
      </c>
    </row>
    <row r="1012" spans="1:31" x14ac:dyDescent="0.35">
      <c r="A1012" s="6" t="s">
        <v>1033</v>
      </c>
      <c r="B1012" s="7">
        <v>3</v>
      </c>
      <c r="C1012" s="7">
        <v>2</v>
      </c>
      <c r="D1012" s="7">
        <v>12</v>
      </c>
      <c r="E1012" s="7">
        <v>1</v>
      </c>
      <c r="F1012">
        <v>889</v>
      </c>
      <c r="G1012">
        <v>5</v>
      </c>
      <c r="H1012">
        <v>0.54</v>
      </c>
      <c r="I1012">
        <v>3</v>
      </c>
      <c r="J1012">
        <v>0.3</v>
      </c>
      <c r="K1012">
        <v>1274</v>
      </c>
      <c r="L1012">
        <v>559</v>
      </c>
      <c r="M1012">
        <v>715</v>
      </c>
      <c r="N1012">
        <v>700.57</v>
      </c>
      <c r="O1012">
        <v>0.37</v>
      </c>
      <c r="P1012">
        <v>155.66999999999999</v>
      </c>
      <c r="Q1012">
        <v>0.63</v>
      </c>
      <c r="R1012">
        <v>0.47</v>
      </c>
      <c r="S1012">
        <v>15</v>
      </c>
      <c r="T1012">
        <v>3709</v>
      </c>
      <c r="U1012">
        <v>4977</v>
      </c>
      <c r="V1012">
        <v>19</v>
      </c>
      <c r="W1012">
        <v>30.05</v>
      </c>
      <c r="X1012" s="10">
        <v>0.37101583299451341</v>
      </c>
      <c r="Y1012" s="9">
        <v>2445</v>
      </c>
      <c r="Z1012" s="9">
        <v>2280</v>
      </c>
      <c r="AA1012" s="9">
        <v>2410</v>
      </c>
      <c r="AB1012">
        <v>0.78787878787878785</v>
      </c>
      <c r="AC1012" s="11">
        <v>1.4241455959988887</v>
      </c>
      <c r="AD1012" s="9">
        <v>2304.3135593220341</v>
      </c>
      <c r="AE1012" s="8">
        <v>4.7826086956521741E-2</v>
      </c>
    </row>
    <row r="1013" spans="1:31" x14ac:dyDescent="0.35">
      <c r="A1013" s="6" t="s">
        <v>1034</v>
      </c>
      <c r="B1013" s="7">
        <v>10</v>
      </c>
      <c r="C1013" s="7">
        <v>1</v>
      </c>
      <c r="D1013" s="7">
        <v>2</v>
      </c>
      <c r="E1013" s="7">
        <v>5</v>
      </c>
      <c r="F1013">
        <v>5949</v>
      </c>
      <c r="G1013">
        <v>272</v>
      </c>
      <c r="H1013">
        <v>4.58</v>
      </c>
      <c r="I1013">
        <v>244</v>
      </c>
      <c r="J1013">
        <v>4.0999999999999996</v>
      </c>
      <c r="K1013">
        <v>3843</v>
      </c>
      <c r="L1013">
        <v>2156</v>
      </c>
      <c r="M1013">
        <v>1688</v>
      </c>
      <c r="N1013">
        <v>4047.22</v>
      </c>
      <c r="O1013">
        <v>15.5</v>
      </c>
      <c r="P1013">
        <v>10.19</v>
      </c>
      <c r="Q1013">
        <v>1.5</v>
      </c>
      <c r="R1013">
        <v>0.42</v>
      </c>
      <c r="S1013">
        <v>2993</v>
      </c>
      <c r="T1013">
        <v>20346</v>
      </c>
      <c r="U1013">
        <v>73087</v>
      </c>
      <c r="V1013">
        <v>295</v>
      </c>
      <c r="W1013">
        <v>11.66</v>
      </c>
      <c r="X1013" s="10">
        <v>1.1502400861980623E-2</v>
      </c>
      <c r="Y1013" s="9">
        <v>33300</v>
      </c>
      <c r="Z1013" s="9">
        <v>28500</v>
      </c>
      <c r="AA1013" s="9">
        <v>32150</v>
      </c>
      <c r="AB1013">
        <v>0.76041666666666663</v>
      </c>
      <c r="AC1013" s="11">
        <v>-7.1408724645734933</v>
      </c>
      <c r="AD1013" s="9">
        <v>30699.463276836159</v>
      </c>
      <c r="AE1013" s="8">
        <v>9.1680814940577254E-2</v>
      </c>
    </row>
    <row r="1014" spans="1:31" x14ac:dyDescent="0.35">
      <c r="A1014" s="6" t="s">
        <v>1035</v>
      </c>
      <c r="B1014" s="7">
        <v>6</v>
      </c>
      <c r="C1014" s="7">
        <v>4</v>
      </c>
      <c r="D1014" s="7">
        <v>4</v>
      </c>
      <c r="E1014" s="7">
        <v>4</v>
      </c>
      <c r="F1014">
        <v>2775</v>
      </c>
      <c r="G1014">
        <v>35</v>
      </c>
      <c r="H1014">
        <v>1.25</v>
      </c>
      <c r="I1014">
        <v>6</v>
      </c>
      <c r="J1014">
        <v>0.21</v>
      </c>
      <c r="K1014">
        <v>4276</v>
      </c>
      <c r="L1014">
        <v>1504</v>
      </c>
      <c r="M1014">
        <v>2771</v>
      </c>
      <c r="N1014">
        <v>2183.9699999999998</v>
      </c>
      <c r="O1014">
        <v>0.21</v>
      </c>
      <c r="P1014">
        <v>133.65</v>
      </c>
      <c r="Q1014">
        <v>0.31</v>
      </c>
      <c r="R1014">
        <v>0.28000000000000003</v>
      </c>
      <c r="S1014">
        <v>52</v>
      </c>
      <c r="T1014">
        <v>22541</v>
      </c>
      <c r="U1014">
        <v>24995</v>
      </c>
      <c r="V1014">
        <v>164</v>
      </c>
      <c r="W1014">
        <v>10.42</v>
      </c>
      <c r="X1014" s="10">
        <v>0.89707737185141578</v>
      </c>
      <c r="Y1014" s="9">
        <v>11200</v>
      </c>
      <c r="Z1014" s="9">
        <v>6450</v>
      </c>
      <c r="AA1014" s="9">
        <v>10750</v>
      </c>
      <c r="AB1014">
        <v>0.90526315789473688</v>
      </c>
      <c r="AC1014" s="11">
        <v>71.978605168102263</v>
      </c>
      <c r="AD1014" s="9">
        <v>6044.4858757062148</v>
      </c>
      <c r="AE1014" s="8">
        <v>0.54899135446685876</v>
      </c>
    </row>
    <row r="1015" spans="1:31" x14ac:dyDescent="0.35">
      <c r="A1015" s="6" t="s">
        <v>1036</v>
      </c>
      <c r="B1015" s="7">
        <v>5</v>
      </c>
      <c r="C1015" s="7">
        <v>0</v>
      </c>
      <c r="D1015" s="7">
        <v>8</v>
      </c>
      <c r="E1015" s="7">
        <v>5</v>
      </c>
      <c r="F1015">
        <v>2135</v>
      </c>
      <c r="G1015">
        <v>493</v>
      </c>
      <c r="H1015">
        <v>23.07</v>
      </c>
      <c r="I1015">
        <v>379</v>
      </c>
      <c r="J1015">
        <v>17.739999999999998</v>
      </c>
      <c r="K1015">
        <v>5225</v>
      </c>
      <c r="L1015">
        <v>766</v>
      </c>
      <c r="M1015">
        <v>4460</v>
      </c>
      <c r="N1015">
        <v>3018.73</v>
      </c>
      <c r="O1015">
        <v>11.78</v>
      </c>
      <c r="P1015">
        <v>10.34</v>
      </c>
      <c r="Q1015">
        <v>1.17</v>
      </c>
      <c r="R1015">
        <v>1.83</v>
      </c>
      <c r="S1015">
        <v>1765</v>
      </c>
      <c r="T1015">
        <v>15557</v>
      </c>
      <c r="U1015">
        <v>9955</v>
      </c>
      <c r="V1015">
        <v>689</v>
      </c>
      <c r="W1015">
        <v>7.58</v>
      </c>
      <c r="X1015" s="10">
        <v>0.34886708453579196</v>
      </c>
      <c r="Y1015" s="9">
        <v>14950</v>
      </c>
      <c r="Z1015" s="9">
        <v>12350</v>
      </c>
      <c r="AA1015" s="9">
        <v>13350</v>
      </c>
      <c r="AB1015">
        <v>0.38461538461538464</v>
      </c>
      <c r="AC1015" s="11">
        <v>22.735482078355098</v>
      </c>
      <c r="AD1015" s="9">
        <v>12832.401129943504</v>
      </c>
      <c r="AE1015" s="8">
        <v>-2.197802197802198E-2</v>
      </c>
    </row>
    <row r="1016" spans="1:31" x14ac:dyDescent="0.35">
      <c r="A1016" s="6" t="s">
        <v>1037</v>
      </c>
      <c r="B1016" s="7">
        <v>7</v>
      </c>
      <c r="C1016" s="7">
        <v>1</v>
      </c>
      <c r="D1016" s="7">
        <v>9</v>
      </c>
      <c r="E1016" s="7">
        <v>1</v>
      </c>
      <c r="F1016">
        <v>1497</v>
      </c>
      <c r="G1016">
        <v>51</v>
      </c>
      <c r="H1016">
        <v>3.4</v>
      </c>
      <c r="I1016">
        <v>177</v>
      </c>
      <c r="J1016">
        <v>11.84</v>
      </c>
      <c r="K1016">
        <v>1971</v>
      </c>
      <c r="L1016">
        <v>661</v>
      </c>
      <c r="M1016">
        <v>1310</v>
      </c>
      <c r="N1016">
        <v>1629.43</v>
      </c>
      <c r="O1016">
        <v>14.47</v>
      </c>
      <c r="P1016">
        <v>4.2300000000000004</v>
      </c>
      <c r="Q1016">
        <v>0.61</v>
      </c>
      <c r="R1016">
        <v>0.5</v>
      </c>
      <c r="S1016">
        <v>1189</v>
      </c>
      <c r="T1016">
        <v>8236</v>
      </c>
      <c r="U1016">
        <v>10045</v>
      </c>
      <c r="V1016">
        <v>61</v>
      </c>
      <c r="W1016">
        <v>13.36</v>
      </c>
      <c r="X1016" s="10">
        <v>0.21015045300123533</v>
      </c>
      <c r="Y1016" s="9">
        <v>5800</v>
      </c>
      <c r="Z1016" s="9">
        <v>4650</v>
      </c>
      <c r="AA1016" s="9">
        <v>5290</v>
      </c>
      <c r="AB1016">
        <v>0.55652173913043479</v>
      </c>
      <c r="AC1016" s="11">
        <v>-7.3966379549874963</v>
      </c>
      <c r="AD1016" s="9">
        <v>5359.8474576271183</v>
      </c>
      <c r="AE1016" s="8">
        <v>1.7307692307692309E-2</v>
      </c>
    </row>
    <row r="1017" spans="1:31" x14ac:dyDescent="0.35">
      <c r="A1017" s="6" t="s">
        <v>1038</v>
      </c>
      <c r="B1017" s="7">
        <v>2</v>
      </c>
      <c r="C1017" s="7">
        <v>7</v>
      </c>
      <c r="D1017" s="7">
        <v>2</v>
      </c>
      <c r="E1017" s="7">
        <v>7</v>
      </c>
      <c r="F1017">
        <v>364</v>
      </c>
      <c r="G1017">
        <v>-13</v>
      </c>
      <c r="H1017">
        <v>-3.48</v>
      </c>
      <c r="I1017">
        <v>-13</v>
      </c>
      <c r="J1017">
        <v>-3.45</v>
      </c>
      <c r="K1017">
        <v>460</v>
      </c>
      <c r="L1017">
        <v>192</v>
      </c>
      <c r="M1017">
        <v>268</v>
      </c>
      <c r="N1017">
        <v>292.27</v>
      </c>
      <c r="O1017">
        <v>-4.49</v>
      </c>
      <c r="P1017">
        <v>0</v>
      </c>
      <c r="Q1017">
        <v>0.71</v>
      </c>
      <c r="R1017">
        <v>0.47</v>
      </c>
      <c r="S1017">
        <v>-102</v>
      </c>
      <c r="T1017">
        <v>1855</v>
      </c>
      <c r="U1017">
        <v>2804</v>
      </c>
      <c r="V1017">
        <v>-5</v>
      </c>
      <c r="W1017">
        <v>-46.07</v>
      </c>
      <c r="X1017" s="10">
        <v>0.58062849411983986</v>
      </c>
      <c r="Y1017" s="9">
        <v>2200</v>
      </c>
      <c r="Z1017" s="9">
        <v>1260</v>
      </c>
      <c r="AA1017" s="9">
        <v>1760</v>
      </c>
      <c r="AB1017">
        <v>0.53191489361702127</v>
      </c>
      <c r="AC1017" s="11">
        <v>11.986662961933868</v>
      </c>
      <c r="AD1017" s="9">
        <v>1348.7401129943503</v>
      </c>
      <c r="AE1017" s="8">
        <v>0.35384615384615387</v>
      </c>
    </row>
    <row r="1018" spans="1:31" x14ac:dyDescent="0.35">
      <c r="A1018" s="6" t="s">
        <v>1039</v>
      </c>
      <c r="B1018" s="7">
        <v>0</v>
      </c>
      <c r="C1018" s="7">
        <v>0</v>
      </c>
      <c r="D1018" s="7">
        <v>0</v>
      </c>
      <c r="E1018" s="7">
        <v>18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 s="10">
        <v>0.59326958491020354</v>
      </c>
      <c r="Y1018" s="9">
        <v>3800</v>
      </c>
      <c r="Z1018" s="9">
        <v>1780</v>
      </c>
      <c r="AA1018" s="9">
        <v>2500</v>
      </c>
      <c r="AB1018">
        <v>0.35643564356435642</v>
      </c>
      <c r="AC1018" s="11">
        <v>17.3210614059461</v>
      </c>
      <c r="AD1018" s="9">
        <v>1805.2909604519773</v>
      </c>
      <c r="AE1018" s="8">
        <v>0.39664804469273746</v>
      </c>
    </row>
    <row r="1019" spans="1:31" x14ac:dyDescent="0.35">
      <c r="A1019" s="6" t="s">
        <v>1040</v>
      </c>
      <c r="B1019" s="7">
        <v>15</v>
      </c>
      <c r="C1019" s="7">
        <v>3</v>
      </c>
      <c r="D1019" s="7">
        <v>0</v>
      </c>
      <c r="E1019" s="7">
        <v>0</v>
      </c>
      <c r="F1019">
        <v>545</v>
      </c>
      <c r="G1019">
        <v>53</v>
      </c>
      <c r="H1019">
        <v>9.73</v>
      </c>
      <c r="I1019">
        <v>46</v>
      </c>
      <c r="J1019">
        <v>8.48</v>
      </c>
      <c r="K1019">
        <v>1064</v>
      </c>
      <c r="L1019">
        <v>155</v>
      </c>
      <c r="M1019">
        <v>909</v>
      </c>
      <c r="N1019">
        <v>808.14</v>
      </c>
      <c r="O1019">
        <v>5.14</v>
      </c>
      <c r="P1019">
        <v>18.809999999999999</v>
      </c>
      <c r="Q1019">
        <v>0.96</v>
      </c>
      <c r="R1019">
        <v>1.59</v>
      </c>
      <c r="S1019">
        <v>2310</v>
      </c>
      <c r="T1019">
        <v>45306</v>
      </c>
      <c r="U1019">
        <v>27244</v>
      </c>
      <c r="V1019">
        <v>65</v>
      </c>
      <c r="W1019">
        <v>13.42</v>
      </c>
      <c r="X1019" s="10">
        <v>0.82333074155081842</v>
      </c>
      <c r="Y1019" s="9">
        <v>59000</v>
      </c>
      <c r="Z1019" s="9">
        <v>42500</v>
      </c>
      <c r="AA1019" s="9">
        <v>56600</v>
      </c>
      <c r="AB1019">
        <v>0.8545454545454545</v>
      </c>
      <c r="AC1019" s="11">
        <v>275.38899694359549</v>
      </c>
      <c r="AD1019" s="9">
        <v>41656.468926553673</v>
      </c>
      <c r="AE1019" s="8">
        <v>0.32552693208430911</v>
      </c>
    </row>
    <row r="1020" spans="1:31" x14ac:dyDescent="0.35">
      <c r="A1020" s="6" t="s">
        <v>1041</v>
      </c>
      <c r="B1020" s="7">
        <v>7</v>
      </c>
      <c r="C1020" s="7">
        <v>1</v>
      </c>
      <c r="D1020" s="7">
        <v>7</v>
      </c>
      <c r="E1020" s="7">
        <v>3</v>
      </c>
      <c r="F1020">
        <v>5953</v>
      </c>
      <c r="G1020">
        <v>449</v>
      </c>
      <c r="H1020">
        <v>7.54</v>
      </c>
      <c r="I1020">
        <v>85</v>
      </c>
      <c r="J1020">
        <v>1.43</v>
      </c>
      <c r="K1020">
        <v>11095</v>
      </c>
      <c r="L1020">
        <v>7631</v>
      </c>
      <c r="M1020">
        <v>3464</v>
      </c>
      <c r="N1020">
        <v>175.2</v>
      </c>
      <c r="O1020">
        <v>2.4500000000000002</v>
      </c>
      <c r="P1020">
        <v>28.69</v>
      </c>
      <c r="Q1020">
        <v>0.81</v>
      </c>
      <c r="R1020">
        <v>0.43</v>
      </c>
      <c r="S1020">
        <v>366</v>
      </c>
      <c r="T1020">
        <v>13022</v>
      </c>
      <c r="U1020">
        <v>24425</v>
      </c>
      <c r="V1020">
        <v>974</v>
      </c>
      <c r="W1020">
        <v>8.15</v>
      </c>
      <c r="X1020" s="10">
        <v>0.3202939489085041</v>
      </c>
      <c r="Y1020" s="9">
        <v>14100</v>
      </c>
      <c r="Z1020" s="9">
        <v>10350</v>
      </c>
      <c r="AA1020" s="9">
        <v>13800</v>
      </c>
      <c r="AB1020">
        <v>0.92</v>
      </c>
      <c r="AC1020" s="11">
        <v>28.141150319533203</v>
      </c>
      <c r="AD1020" s="9">
        <v>11566.694915254237</v>
      </c>
      <c r="AE1020" s="8">
        <v>0.33333333333333331</v>
      </c>
    </row>
    <row r="1021" spans="1:31" x14ac:dyDescent="0.35">
      <c r="A1021" s="6" t="s">
        <v>1042</v>
      </c>
      <c r="B1021" s="7">
        <v>0</v>
      </c>
      <c r="C1021" s="7">
        <v>0</v>
      </c>
      <c r="D1021" s="7">
        <v>0</v>
      </c>
      <c r="E1021" s="7">
        <v>18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 s="10">
        <v>0.45435502113312964</v>
      </c>
      <c r="Y1021" s="9">
        <v>11950</v>
      </c>
      <c r="Z1021" s="9">
        <v>8970</v>
      </c>
      <c r="AA1021" s="9">
        <v>11450</v>
      </c>
      <c r="AB1021">
        <v>0.83221476510067116</v>
      </c>
      <c r="AC1021" s="11">
        <v>27.000833564879134</v>
      </c>
      <c r="AD1021" s="9">
        <v>9729.4745762711864</v>
      </c>
      <c r="AE1021" s="8">
        <v>0.27647714604236345</v>
      </c>
    </row>
    <row r="1022" spans="1:31" x14ac:dyDescent="0.35">
      <c r="A1022" s="6" t="s">
        <v>1043</v>
      </c>
      <c r="B1022" s="7">
        <v>0</v>
      </c>
      <c r="C1022" s="7">
        <v>0</v>
      </c>
      <c r="D1022" s="7">
        <v>0</v>
      </c>
      <c r="E1022" s="7">
        <v>18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 s="10">
        <v>0.5485802034468924</v>
      </c>
      <c r="Y1022" s="9">
        <v>11750</v>
      </c>
      <c r="Z1022" s="9">
        <v>8550</v>
      </c>
      <c r="AA1022" s="9">
        <v>11250</v>
      </c>
      <c r="AB1022">
        <v>0.84375</v>
      </c>
      <c r="AC1022" s="11">
        <v>32.5340372325646</v>
      </c>
      <c r="AD1022" s="9">
        <v>9609.3785310734456</v>
      </c>
      <c r="AE1022" s="8">
        <v>0.31578947368421051</v>
      </c>
    </row>
    <row r="1023" spans="1:31" x14ac:dyDescent="0.35">
      <c r="A1023" s="6" t="s">
        <v>1044</v>
      </c>
      <c r="B1023" s="7">
        <v>0</v>
      </c>
      <c r="C1023" s="7">
        <v>0</v>
      </c>
      <c r="D1023" s="7">
        <v>0</v>
      </c>
      <c r="E1023" s="7">
        <v>18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 s="10">
        <v>0.81353863032348961</v>
      </c>
      <c r="Y1023" s="9">
        <v>6710</v>
      </c>
      <c r="Z1023" s="9">
        <v>4715</v>
      </c>
      <c r="AA1023" s="9">
        <v>6380</v>
      </c>
      <c r="AB1023">
        <v>0.83458646616541354</v>
      </c>
      <c r="AC1023" s="11">
        <v>26.668519033064744</v>
      </c>
      <c r="AD1023" s="9">
        <v>4616.7768361581921</v>
      </c>
      <c r="AE1023" s="8">
        <v>0.30071355759429153</v>
      </c>
    </row>
    <row r="1024" spans="1:31" x14ac:dyDescent="0.35">
      <c r="A1024" s="6" t="s">
        <v>1045</v>
      </c>
      <c r="B1024" s="7">
        <v>0</v>
      </c>
      <c r="C1024" s="7">
        <v>2</v>
      </c>
      <c r="D1024" s="7">
        <v>8</v>
      </c>
      <c r="E1024" s="7">
        <v>8</v>
      </c>
      <c r="F1024">
        <v>678</v>
      </c>
      <c r="G1024">
        <v>-32</v>
      </c>
      <c r="H1024">
        <v>-4.7699999999999996</v>
      </c>
      <c r="I1024">
        <v>-38</v>
      </c>
      <c r="J1024">
        <v>-5.55</v>
      </c>
      <c r="K1024">
        <v>1184</v>
      </c>
      <c r="L1024">
        <v>444</v>
      </c>
      <c r="M1024">
        <v>741</v>
      </c>
      <c r="N1024">
        <v>165.85</v>
      </c>
      <c r="O1024">
        <v>-4.95</v>
      </c>
      <c r="P1024">
        <v>0</v>
      </c>
      <c r="Q1024">
        <v>0.51</v>
      </c>
      <c r="R1024">
        <v>0.54</v>
      </c>
      <c r="S1024">
        <v>-69</v>
      </c>
      <c r="T1024">
        <v>1303</v>
      </c>
      <c r="U1024">
        <v>1236</v>
      </c>
      <c r="V1024">
        <v>-17</v>
      </c>
      <c r="W1024">
        <v>-30.71</v>
      </c>
      <c r="X1024" s="10">
        <v>0.47970588973679934</v>
      </c>
      <c r="Y1024" s="9">
        <v>912</v>
      </c>
      <c r="Z1024" s="9">
        <v>642</v>
      </c>
      <c r="AA1024" s="9">
        <v>812</v>
      </c>
      <c r="AB1024">
        <v>0.62962962962962965</v>
      </c>
      <c r="AC1024" s="11">
        <v>2.7298416226729652</v>
      </c>
      <c r="AD1024" s="9">
        <v>701.92316384180788</v>
      </c>
      <c r="AE1024" s="8">
        <v>0.22844175491679275</v>
      </c>
    </row>
    <row r="1025" spans="1:31" x14ac:dyDescent="0.35">
      <c r="A1025" s="6" t="s">
        <v>1046</v>
      </c>
      <c r="B1025" s="7">
        <v>11</v>
      </c>
      <c r="C1025" s="7">
        <v>1</v>
      </c>
      <c r="D1025" s="7">
        <v>3</v>
      </c>
      <c r="E1025" s="7">
        <v>3</v>
      </c>
      <c r="F1025">
        <v>775</v>
      </c>
      <c r="G1025">
        <v>54</v>
      </c>
      <c r="H1025">
        <v>7.01</v>
      </c>
      <c r="I1025">
        <v>64</v>
      </c>
      <c r="J1025">
        <v>8.27</v>
      </c>
      <c r="K1025">
        <v>904</v>
      </c>
      <c r="L1025">
        <v>271</v>
      </c>
      <c r="M1025">
        <v>633</v>
      </c>
      <c r="N1025">
        <v>791.55</v>
      </c>
      <c r="O1025">
        <v>13.99</v>
      </c>
      <c r="P1025">
        <v>6.72</v>
      </c>
      <c r="Q1025">
        <v>0.94</v>
      </c>
      <c r="R1025">
        <v>0.56000000000000005</v>
      </c>
      <c r="S1025">
        <v>595</v>
      </c>
      <c r="T1025">
        <v>4250</v>
      </c>
      <c r="U1025">
        <v>7189</v>
      </c>
      <c r="V1025">
        <v>84</v>
      </c>
      <c r="W1025">
        <v>6.92</v>
      </c>
      <c r="X1025" s="10">
        <v>0.84794593546941244</v>
      </c>
      <c r="Y1025" s="9">
        <v>4850</v>
      </c>
      <c r="Z1025" s="9">
        <v>3490</v>
      </c>
      <c r="AA1025" s="9">
        <v>4850</v>
      </c>
      <c r="AB1025">
        <v>1</v>
      </c>
      <c r="AC1025" s="11">
        <v>17.633926090580715</v>
      </c>
      <c r="AD1025" s="9">
        <v>3594.0819209039551</v>
      </c>
      <c r="AE1025" s="8">
        <v>0.38968481375358166</v>
      </c>
    </row>
    <row r="1026" spans="1:31" x14ac:dyDescent="0.35">
      <c r="A1026" s="6" t="s">
        <v>1047</v>
      </c>
      <c r="B1026" s="7">
        <v>3</v>
      </c>
      <c r="C1026" s="7">
        <v>0</v>
      </c>
      <c r="D1026" s="7">
        <v>13</v>
      </c>
      <c r="E1026" s="7">
        <v>2</v>
      </c>
      <c r="F1026">
        <v>226</v>
      </c>
      <c r="G1026">
        <v>5</v>
      </c>
      <c r="H1026">
        <v>2.36</v>
      </c>
      <c r="I1026">
        <v>-10</v>
      </c>
      <c r="J1026">
        <v>-4.38</v>
      </c>
      <c r="K1026">
        <v>543</v>
      </c>
      <c r="L1026">
        <v>220</v>
      </c>
      <c r="M1026">
        <v>323</v>
      </c>
      <c r="N1026">
        <v>762.32</v>
      </c>
      <c r="O1026">
        <v>-3</v>
      </c>
      <c r="P1026">
        <v>0</v>
      </c>
      <c r="Q1026">
        <v>0.43</v>
      </c>
      <c r="R1026">
        <v>0.57999999999999996</v>
      </c>
      <c r="S1026">
        <v>-136</v>
      </c>
      <c r="T1026">
        <v>4228</v>
      </c>
      <c r="U1026">
        <v>3106</v>
      </c>
      <c r="V1026">
        <v>23</v>
      </c>
      <c r="W1026">
        <v>6.95</v>
      </c>
      <c r="X1026" s="10">
        <v>0.76417648956755246</v>
      </c>
      <c r="Y1026" s="9">
        <v>2340</v>
      </c>
      <c r="Z1026" s="9">
        <v>1790</v>
      </c>
      <c r="AA1026" s="9">
        <v>2340</v>
      </c>
      <c r="AB1026">
        <v>1</v>
      </c>
      <c r="AC1026" s="11">
        <v>8.1924145595998912</v>
      </c>
      <c r="AD1026" s="9">
        <v>1684.5480225988701</v>
      </c>
      <c r="AE1026" s="8">
        <v>0.30362116991643456</v>
      </c>
    </row>
    <row r="1027" spans="1:31" x14ac:dyDescent="0.35">
      <c r="A1027" s="6" t="s">
        <v>1048</v>
      </c>
      <c r="B1027" s="7">
        <v>6</v>
      </c>
      <c r="C1027" s="7">
        <v>2</v>
      </c>
      <c r="D1027" s="7">
        <v>8</v>
      </c>
      <c r="E1027" s="7">
        <v>2</v>
      </c>
      <c r="F1027">
        <v>10491</v>
      </c>
      <c r="G1027">
        <v>544</v>
      </c>
      <c r="H1027">
        <v>5.18</v>
      </c>
      <c r="I1027">
        <v>1080</v>
      </c>
      <c r="J1027">
        <v>10.29</v>
      </c>
      <c r="K1027">
        <v>13797</v>
      </c>
      <c r="L1027">
        <v>6557</v>
      </c>
      <c r="M1027">
        <v>7240</v>
      </c>
      <c r="N1027">
        <v>2313.63</v>
      </c>
      <c r="O1027">
        <v>15.95</v>
      </c>
      <c r="P1027">
        <v>6.5</v>
      </c>
      <c r="Q1027">
        <v>0.98</v>
      </c>
      <c r="R1027">
        <v>0.67</v>
      </c>
      <c r="S1027">
        <v>1799</v>
      </c>
      <c r="T1027">
        <v>12000</v>
      </c>
      <c r="U1027">
        <v>17487</v>
      </c>
      <c r="V1027">
        <v>957</v>
      </c>
      <c r="W1027">
        <v>11.44</v>
      </c>
      <c r="X1027" s="10">
        <v>8.807622104356462E-3</v>
      </c>
      <c r="Y1027" s="9">
        <v>13200</v>
      </c>
      <c r="Z1027" s="9">
        <v>11350</v>
      </c>
      <c r="AA1027" s="9">
        <v>11350</v>
      </c>
      <c r="AB1027">
        <v>0</v>
      </c>
      <c r="AC1027" s="11">
        <v>-2.3853848291192001</v>
      </c>
      <c r="AD1027" s="9">
        <v>12236.920903954802</v>
      </c>
      <c r="AE1027" s="8">
        <v>-5.8091286307053944E-2</v>
      </c>
    </row>
    <row r="1028" spans="1:31" x14ac:dyDescent="0.35">
      <c r="A1028" s="6" t="s">
        <v>1049</v>
      </c>
      <c r="B1028" s="7">
        <v>3</v>
      </c>
      <c r="C1028" s="7">
        <v>1</v>
      </c>
      <c r="D1028" s="7">
        <v>9</v>
      </c>
      <c r="E1028" s="7">
        <v>5</v>
      </c>
      <c r="F1028">
        <v>1675</v>
      </c>
      <c r="G1028">
        <v>24</v>
      </c>
      <c r="H1028">
        <v>1.42</v>
      </c>
      <c r="I1028">
        <v>4</v>
      </c>
      <c r="J1028">
        <v>0.21</v>
      </c>
      <c r="K1028">
        <v>1293</v>
      </c>
      <c r="L1028">
        <v>635</v>
      </c>
      <c r="M1028">
        <v>658</v>
      </c>
      <c r="N1028">
        <v>34.99</v>
      </c>
      <c r="O1028">
        <v>0.55000000000000004</v>
      </c>
      <c r="P1028">
        <v>135.41</v>
      </c>
      <c r="Q1028">
        <v>0.74</v>
      </c>
      <c r="R1028">
        <v>0.28999999999999998</v>
      </c>
      <c r="S1028">
        <v>37</v>
      </c>
      <c r="T1028">
        <v>6747</v>
      </c>
      <c r="U1028">
        <v>17195</v>
      </c>
      <c r="V1028">
        <v>25</v>
      </c>
      <c r="W1028">
        <v>26.46</v>
      </c>
      <c r="X1028" s="10">
        <v>0.80262077466871262</v>
      </c>
      <c r="Y1028" s="9">
        <v>6440</v>
      </c>
      <c r="Z1028" s="9">
        <v>4880</v>
      </c>
      <c r="AA1028" s="9">
        <v>6270</v>
      </c>
      <c r="AB1028">
        <v>0.89102564102564108</v>
      </c>
      <c r="AC1028" s="11">
        <v>23.443178660739097</v>
      </c>
      <c r="AD1028" s="9">
        <v>4829.1497175141249</v>
      </c>
      <c r="AE1028" s="8">
        <v>0.26923076923076922</v>
      </c>
    </row>
    <row r="1029" spans="1:31" x14ac:dyDescent="0.35">
      <c r="A1029" s="6" t="s">
        <v>1050</v>
      </c>
      <c r="B1029" s="7">
        <v>4</v>
      </c>
      <c r="C1029" s="7">
        <v>12</v>
      </c>
      <c r="D1029" s="7">
        <v>1</v>
      </c>
      <c r="E1029" s="7">
        <v>1</v>
      </c>
      <c r="F1029">
        <v>91</v>
      </c>
      <c r="G1029">
        <v>15</v>
      </c>
      <c r="H1029">
        <v>16.09</v>
      </c>
      <c r="I1029">
        <v>18</v>
      </c>
      <c r="J1029">
        <v>20.16</v>
      </c>
      <c r="K1029">
        <v>898</v>
      </c>
      <c r="L1029">
        <v>15</v>
      </c>
      <c r="M1029">
        <v>883</v>
      </c>
      <c r="N1029">
        <v>194.17</v>
      </c>
      <c r="O1029">
        <v>2.09</v>
      </c>
      <c r="P1029">
        <v>61.2</v>
      </c>
      <c r="Q1029">
        <v>1.27</v>
      </c>
      <c r="R1029">
        <v>12.36</v>
      </c>
      <c r="S1029">
        <v>317</v>
      </c>
      <c r="T1029">
        <v>15256</v>
      </c>
      <c r="U1029">
        <v>1570</v>
      </c>
      <c r="V1029">
        <v>17</v>
      </c>
      <c r="W1029">
        <v>66.02</v>
      </c>
      <c r="X1029" s="10">
        <v>0.67570637171725334</v>
      </c>
      <c r="Y1029" s="9">
        <v>25300</v>
      </c>
      <c r="Z1029" s="9">
        <v>18550</v>
      </c>
      <c r="AA1029" s="9">
        <v>25300</v>
      </c>
      <c r="AB1029">
        <v>1</v>
      </c>
      <c r="AC1029" s="11">
        <v>70.972492358988603</v>
      </c>
      <c r="AD1029" s="9">
        <v>19153.672316384182</v>
      </c>
      <c r="AE1029" s="8">
        <v>0.30412371134020616</v>
      </c>
    </row>
    <row r="1030" spans="1:31" x14ac:dyDescent="0.35">
      <c r="A1030" s="6" t="s">
        <v>1051</v>
      </c>
      <c r="B1030" s="7">
        <v>5</v>
      </c>
      <c r="C1030" s="7">
        <v>0</v>
      </c>
      <c r="D1030" s="7">
        <v>11</v>
      </c>
      <c r="E1030" s="7">
        <v>2</v>
      </c>
      <c r="F1030">
        <v>687</v>
      </c>
      <c r="G1030">
        <v>14</v>
      </c>
      <c r="H1030">
        <v>1.99</v>
      </c>
      <c r="I1030">
        <v>20</v>
      </c>
      <c r="J1030">
        <v>2.88</v>
      </c>
      <c r="K1030">
        <v>794</v>
      </c>
      <c r="L1030">
        <v>375</v>
      </c>
      <c r="M1030">
        <v>419</v>
      </c>
      <c r="N1030">
        <v>1047.97</v>
      </c>
      <c r="O1030">
        <v>4.79</v>
      </c>
      <c r="P1030">
        <v>13.53</v>
      </c>
      <c r="Q1030">
        <v>0.68</v>
      </c>
      <c r="R1030">
        <v>0.39</v>
      </c>
      <c r="S1030">
        <v>272</v>
      </c>
      <c r="T1030">
        <v>5411</v>
      </c>
      <c r="U1030">
        <v>9413</v>
      </c>
      <c r="V1030">
        <v>31</v>
      </c>
      <c r="W1030">
        <v>9.26</v>
      </c>
      <c r="X1030" s="10">
        <v>0.60359168378541361</v>
      </c>
      <c r="Y1030" s="9">
        <v>4600</v>
      </c>
      <c r="Z1030" s="9">
        <v>3535</v>
      </c>
      <c r="AA1030" s="9">
        <v>4130</v>
      </c>
      <c r="AB1030">
        <v>0.55868544600938963</v>
      </c>
      <c r="AC1030" s="11">
        <v>11.671575437621557</v>
      </c>
      <c r="AD1030" s="9">
        <v>3729.6836158192091</v>
      </c>
      <c r="AE1030" s="8">
        <v>0.16831683168316833</v>
      </c>
    </row>
    <row r="1031" spans="1:31" x14ac:dyDescent="0.35">
      <c r="A1031" s="6" t="s">
        <v>1052</v>
      </c>
      <c r="B1031" s="7">
        <v>0</v>
      </c>
      <c r="C1031" s="7">
        <v>4</v>
      </c>
      <c r="D1031" s="7">
        <v>2</v>
      </c>
      <c r="E1031" s="7">
        <v>12</v>
      </c>
      <c r="F1031">
        <v>586</v>
      </c>
      <c r="G1031">
        <v>-12</v>
      </c>
      <c r="H1031">
        <v>-2.0299999999999998</v>
      </c>
      <c r="I1031">
        <v>-36</v>
      </c>
      <c r="J1031">
        <v>-6.1</v>
      </c>
      <c r="K1031">
        <v>1090</v>
      </c>
      <c r="L1031">
        <v>556</v>
      </c>
      <c r="M1031">
        <v>534</v>
      </c>
      <c r="N1031">
        <v>268.39999999999998</v>
      </c>
      <c r="O1031">
        <v>-6.49</v>
      </c>
      <c r="P1031">
        <v>0</v>
      </c>
      <c r="Q1031">
        <v>0.56999999999999995</v>
      </c>
      <c r="R1031">
        <v>0.48</v>
      </c>
      <c r="S1031">
        <v>-124</v>
      </c>
      <c r="T1031">
        <v>1736</v>
      </c>
      <c r="U1031">
        <v>2038</v>
      </c>
      <c r="V1031">
        <v>-6</v>
      </c>
      <c r="W1031">
        <v>-88.54</v>
      </c>
      <c r="X1031" s="10">
        <v>0.25154530881885862</v>
      </c>
      <c r="Y1031" s="9">
        <v>1120</v>
      </c>
      <c r="Z1031" s="9">
        <v>977</v>
      </c>
      <c r="AA1031" s="9">
        <v>1010</v>
      </c>
      <c r="AB1031">
        <v>0.23076923076923078</v>
      </c>
      <c r="AC1031" s="11">
        <v>1.1496804667963325</v>
      </c>
      <c r="AD1031" s="9">
        <v>1003.5514124293784</v>
      </c>
      <c r="AE1031" s="8">
        <v>3.3776867963152504E-2</v>
      </c>
    </row>
    <row r="1032" spans="1:31" x14ac:dyDescent="0.35">
      <c r="A1032" s="6" t="s">
        <v>1053</v>
      </c>
      <c r="B1032" s="7">
        <v>0</v>
      </c>
      <c r="C1032" s="7">
        <v>11</v>
      </c>
      <c r="D1032" s="7">
        <v>1</v>
      </c>
      <c r="E1032" s="7">
        <v>6</v>
      </c>
      <c r="F1032">
        <v>55</v>
      </c>
      <c r="G1032">
        <v>-10</v>
      </c>
      <c r="H1032">
        <v>-17.88</v>
      </c>
      <c r="I1032">
        <v>-14</v>
      </c>
      <c r="J1032">
        <v>-25.78</v>
      </c>
      <c r="K1032">
        <v>458</v>
      </c>
      <c r="L1032">
        <v>195</v>
      </c>
      <c r="M1032">
        <v>263</v>
      </c>
      <c r="N1032">
        <v>1190.3800000000001</v>
      </c>
      <c r="O1032">
        <v>-5.28</v>
      </c>
      <c r="P1032">
        <v>0</v>
      </c>
      <c r="Q1032">
        <v>0.45</v>
      </c>
      <c r="R1032">
        <v>2.15</v>
      </c>
      <c r="S1032">
        <v>-3502</v>
      </c>
      <c r="T1032">
        <v>64519</v>
      </c>
      <c r="U1032">
        <v>13580</v>
      </c>
      <c r="V1032">
        <v>-4</v>
      </c>
      <c r="W1032">
        <v>-55.91</v>
      </c>
      <c r="X1032" s="10">
        <v>0.20714700761136209</v>
      </c>
      <c r="Y1032" s="9">
        <v>65800</v>
      </c>
      <c r="Z1032" s="9">
        <v>29200</v>
      </c>
      <c r="AA1032" s="9">
        <v>41550</v>
      </c>
      <c r="AB1032">
        <v>0.33743169398907102</v>
      </c>
      <c r="AC1032" s="11">
        <v>221.76021116976935</v>
      </c>
      <c r="AD1032" s="9">
        <v>36792.146892655372</v>
      </c>
      <c r="AE1032" s="8">
        <v>0.41086587436332767</v>
      </c>
    </row>
    <row r="1033" spans="1:31" x14ac:dyDescent="0.35">
      <c r="A1033" s="6" t="s">
        <v>1054</v>
      </c>
      <c r="B1033" s="7">
        <v>2</v>
      </c>
      <c r="C1033" s="7">
        <v>2</v>
      </c>
      <c r="D1033" s="7">
        <v>12</v>
      </c>
      <c r="E1033" s="7">
        <v>2</v>
      </c>
      <c r="F1033">
        <v>925</v>
      </c>
      <c r="G1033">
        <v>-2</v>
      </c>
      <c r="H1033">
        <v>-0.21</v>
      </c>
      <c r="I1033">
        <v>-17</v>
      </c>
      <c r="J1033">
        <v>-1.83</v>
      </c>
      <c r="K1033">
        <v>1006</v>
      </c>
      <c r="L1033">
        <v>821</v>
      </c>
      <c r="M1033">
        <v>185</v>
      </c>
      <c r="N1033">
        <v>175.1</v>
      </c>
      <c r="O1033">
        <v>-11.5</v>
      </c>
      <c r="P1033">
        <v>0</v>
      </c>
      <c r="Q1033">
        <v>1.03</v>
      </c>
      <c r="R1033">
        <v>0.15</v>
      </c>
      <c r="S1033">
        <v>-168</v>
      </c>
      <c r="T1033">
        <v>1348</v>
      </c>
      <c r="U1033">
        <v>9155</v>
      </c>
      <c r="V1033">
        <v>54</v>
      </c>
      <c r="W1033">
        <v>13.09</v>
      </c>
      <c r="X1033" s="10">
        <v>0.58486710550593801</v>
      </c>
      <c r="Y1033" s="9">
        <v>1580</v>
      </c>
      <c r="Z1033" s="9">
        <v>1070</v>
      </c>
      <c r="AA1033" s="9">
        <v>1335</v>
      </c>
      <c r="AB1033">
        <v>0.51960784313725494</v>
      </c>
      <c r="AC1033" s="11">
        <v>5.705195887746596</v>
      </c>
      <c r="AD1033" s="9">
        <v>1149.4915254237289</v>
      </c>
      <c r="AE1033" s="8">
        <v>0.1762114537444934</v>
      </c>
    </row>
    <row r="1034" spans="1:31" x14ac:dyDescent="0.35">
      <c r="A1034" s="6" t="s">
        <v>1055</v>
      </c>
      <c r="B1034" s="7">
        <v>3</v>
      </c>
      <c r="C1034" s="7">
        <v>3</v>
      </c>
      <c r="D1034" s="7">
        <v>10</v>
      </c>
      <c r="E1034" s="7">
        <v>2</v>
      </c>
      <c r="F1034">
        <v>197</v>
      </c>
      <c r="G1034">
        <v>40</v>
      </c>
      <c r="H1034">
        <v>20.48</v>
      </c>
      <c r="I1034">
        <v>32</v>
      </c>
      <c r="J1034">
        <v>16.190000000000001</v>
      </c>
      <c r="K1034">
        <v>673</v>
      </c>
      <c r="L1034">
        <v>96</v>
      </c>
      <c r="M1034">
        <v>577</v>
      </c>
      <c r="N1034">
        <v>656.64</v>
      </c>
      <c r="O1034">
        <v>5.59</v>
      </c>
      <c r="P1034">
        <v>17.809999999999999</v>
      </c>
      <c r="Q1034">
        <v>0.99</v>
      </c>
      <c r="R1034">
        <v>2.89</v>
      </c>
      <c r="S1034">
        <v>210</v>
      </c>
      <c r="T1034">
        <v>3759</v>
      </c>
      <c r="U1034">
        <v>1294</v>
      </c>
      <c r="V1034">
        <v>46</v>
      </c>
      <c r="W1034">
        <v>12.48</v>
      </c>
      <c r="X1034" s="10">
        <v>0.17418642558102512</v>
      </c>
      <c r="Y1034" s="9">
        <v>3915</v>
      </c>
      <c r="Z1034" s="9">
        <v>3655</v>
      </c>
      <c r="AA1034" s="9">
        <v>3915</v>
      </c>
      <c r="AB1034">
        <v>1</v>
      </c>
      <c r="AC1034" s="11">
        <v>1.3021672686857459</v>
      </c>
      <c r="AD1034" s="9">
        <v>3715.2005649717512</v>
      </c>
      <c r="AE1034" s="8">
        <v>4.6791443850267379E-2</v>
      </c>
    </row>
    <row r="1035" spans="1:31" x14ac:dyDescent="0.35">
      <c r="A1035" s="6" t="s">
        <v>1056</v>
      </c>
      <c r="B1035" s="7">
        <v>4</v>
      </c>
      <c r="C1035" s="7">
        <v>9</v>
      </c>
      <c r="D1035" s="7">
        <v>3</v>
      </c>
      <c r="E1035" s="7">
        <v>2</v>
      </c>
      <c r="F1035">
        <v>5670</v>
      </c>
      <c r="G1035">
        <v>243</v>
      </c>
      <c r="H1035">
        <v>4.29</v>
      </c>
      <c r="I1035">
        <v>141</v>
      </c>
      <c r="J1035">
        <v>2.4900000000000002</v>
      </c>
      <c r="K1035">
        <v>7040</v>
      </c>
      <c r="L1035">
        <v>1673</v>
      </c>
      <c r="M1035">
        <v>5367</v>
      </c>
      <c r="N1035">
        <v>4567.1000000000004</v>
      </c>
      <c r="O1035">
        <v>2.66</v>
      </c>
      <c r="P1035">
        <v>31.97</v>
      </c>
      <c r="Q1035">
        <v>0.86</v>
      </c>
      <c r="R1035">
        <v>0.79</v>
      </c>
      <c r="S1035">
        <v>613</v>
      </c>
      <c r="T1035">
        <v>22661</v>
      </c>
      <c r="U1035">
        <v>24655</v>
      </c>
      <c r="V1035">
        <v>344</v>
      </c>
      <c r="W1035">
        <v>11.91</v>
      </c>
      <c r="X1035" s="10">
        <v>0.52596221287516154</v>
      </c>
      <c r="Y1035" s="9">
        <v>22000</v>
      </c>
      <c r="Z1035" s="9">
        <v>18700</v>
      </c>
      <c r="AA1035" s="9">
        <v>22000</v>
      </c>
      <c r="AB1035">
        <v>1</v>
      </c>
      <c r="AC1035" s="11">
        <v>28.95248680188941</v>
      </c>
      <c r="AD1035" s="9">
        <v>18770.282485875705</v>
      </c>
      <c r="AE1035" s="8">
        <v>0.12244897959183673</v>
      </c>
    </row>
    <row r="1036" spans="1:31" x14ac:dyDescent="0.35">
      <c r="A1036" s="6" t="s">
        <v>1057</v>
      </c>
      <c r="B1036" s="7">
        <v>0</v>
      </c>
      <c r="C1036" s="7">
        <v>0</v>
      </c>
      <c r="D1036" s="7">
        <v>0</v>
      </c>
      <c r="E1036" s="7">
        <v>18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 s="10">
        <v>0.51314316757055611</v>
      </c>
      <c r="Y1036" s="9">
        <v>21000</v>
      </c>
      <c r="Z1036" s="9">
        <v>18000</v>
      </c>
      <c r="AA1036" s="9">
        <v>19950</v>
      </c>
      <c r="AB1036">
        <v>0.65</v>
      </c>
      <c r="AC1036" s="11">
        <v>30.700194498471806</v>
      </c>
      <c r="AD1036" s="9">
        <v>18051.977401129941</v>
      </c>
      <c r="AE1036" s="8">
        <v>0.10220994475138122</v>
      </c>
    </row>
    <row r="1037" spans="1:31" x14ac:dyDescent="0.35">
      <c r="A1037" s="6" t="s">
        <v>1058</v>
      </c>
      <c r="B1037" s="7">
        <v>0</v>
      </c>
      <c r="C1037" s="7">
        <v>0</v>
      </c>
      <c r="D1037" s="7">
        <v>0</v>
      </c>
      <c r="E1037" s="7">
        <v>18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 s="10">
        <v>0.87935185895150436</v>
      </c>
      <c r="Y1037" s="9">
        <v>9000</v>
      </c>
      <c r="Z1037" s="9">
        <v>7270</v>
      </c>
      <c r="AA1037" s="9">
        <v>9000</v>
      </c>
      <c r="AB1037">
        <v>1</v>
      </c>
      <c r="AC1037" s="11">
        <v>24.891358710752986</v>
      </c>
      <c r="AD1037" s="9">
        <v>7354.8135593220341</v>
      </c>
      <c r="AE1037" s="8">
        <v>0.23796423658872076</v>
      </c>
    </row>
    <row r="1038" spans="1:31" x14ac:dyDescent="0.35">
      <c r="A1038" s="6" t="s">
        <v>1059</v>
      </c>
      <c r="B1038" s="7">
        <v>7</v>
      </c>
      <c r="C1038" s="7">
        <v>0</v>
      </c>
      <c r="D1038" s="7">
        <v>4</v>
      </c>
      <c r="E1038" s="7">
        <v>7</v>
      </c>
      <c r="F1038">
        <v>9556</v>
      </c>
      <c r="G1038">
        <v>810</v>
      </c>
      <c r="H1038">
        <v>8.48</v>
      </c>
      <c r="I1038">
        <v>614</v>
      </c>
      <c r="J1038">
        <v>6.43</v>
      </c>
      <c r="K1038">
        <v>9277</v>
      </c>
      <c r="L1038">
        <v>2287</v>
      </c>
      <c r="M1038">
        <v>6990</v>
      </c>
      <c r="N1038">
        <v>9954.4</v>
      </c>
      <c r="O1038">
        <v>9.1199999999999992</v>
      </c>
      <c r="P1038">
        <v>8.9700000000000006</v>
      </c>
      <c r="Q1038">
        <v>0.8</v>
      </c>
      <c r="R1038">
        <v>0.57999999999999996</v>
      </c>
      <c r="S1038">
        <v>4406</v>
      </c>
      <c r="T1038">
        <v>49678</v>
      </c>
      <c r="U1038">
        <v>68553</v>
      </c>
      <c r="V1038">
        <v>1062</v>
      </c>
      <c r="W1038">
        <v>5.21</v>
      </c>
      <c r="X1038" s="10">
        <v>0.60668126011623857</v>
      </c>
      <c r="Y1038" s="9">
        <v>49000</v>
      </c>
      <c r="Z1038" s="9">
        <v>37300</v>
      </c>
      <c r="AA1038" s="9">
        <v>49000</v>
      </c>
      <c r="AB1038">
        <v>1</v>
      </c>
      <c r="AC1038" s="11">
        <v>99.763823284245618</v>
      </c>
      <c r="AD1038" s="9">
        <v>37770.536723163845</v>
      </c>
      <c r="AE1038" s="8">
        <v>0.22194513715710723</v>
      </c>
    </row>
    <row r="1039" spans="1:31" x14ac:dyDescent="0.35">
      <c r="A1039" s="6" t="s">
        <v>1060</v>
      </c>
      <c r="B1039" s="7">
        <v>7</v>
      </c>
      <c r="C1039" s="7">
        <v>7</v>
      </c>
      <c r="D1039" s="7">
        <v>2</v>
      </c>
      <c r="E1039" s="7">
        <v>2</v>
      </c>
      <c r="F1039">
        <v>3470</v>
      </c>
      <c r="G1039">
        <v>71</v>
      </c>
      <c r="H1039">
        <v>2.04</v>
      </c>
      <c r="I1039">
        <v>57</v>
      </c>
      <c r="J1039">
        <v>1.64</v>
      </c>
      <c r="K1039">
        <v>1588</v>
      </c>
      <c r="L1039">
        <v>712</v>
      </c>
      <c r="M1039">
        <v>876</v>
      </c>
      <c r="N1039">
        <v>1599.42</v>
      </c>
      <c r="O1039">
        <v>6.69</v>
      </c>
      <c r="P1039">
        <v>8.93</v>
      </c>
      <c r="Q1039">
        <v>0.63</v>
      </c>
      <c r="R1039">
        <v>0.15</v>
      </c>
      <c r="S1039">
        <v>570</v>
      </c>
      <c r="T1039">
        <v>8140</v>
      </c>
      <c r="U1039">
        <v>34687</v>
      </c>
      <c r="V1039">
        <v>85</v>
      </c>
      <c r="W1039">
        <v>6.98</v>
      </c>
      <c r="X1039" s="10">
        <v>0.89436837369986344</v>
      </c>
      <c r="Y1039" s="9">
        <v>6580</v>
      </c>
      <c r="Z1039" s="9">
        <v>5020</v>
      </c>
      <c r="AA1039" s="9">
        <v>6250</v>
      </c>
      <c r="AB1039">
        <v>0.78846153846153844</v>
      </c>
      <c r="AC1039" s="11">
        <v>20.624340094470682</v>
      </c>
      <c r="AD1039" s="9">
        <v>4990.1242937853112</v>
      </c>
      <c r="AE1039" s="8">
        <v>0.2450199203187251</v>
      </c>
    </row>
    <row r="1040" spans="1:31" x14ac:dyDescent="0.35">
      <c r="A1040" s="6" t="s">
        <v>1061</v>
      </c>
      <c r="B1040" s="7">
        <v>4</v>
      </c>
      <c r="C1040" s="7">
        <v>12</v>
      </c>
      <c r="D1040" s="7">
        <v>2</v>
      </c>
      <c r="E1040" s="7">
        <v>0</v>
      </c>
      <c r="F1040">
        <v>22024</v>
      </c>
      <c r="G1040">
        <v>1753</v>
      </c>
      <c r="H1040">
        <v>7.96</v>
      </c>
      <c r="I1040">
        <v>1237</v>
      </c>
      <c r="J1040">
        <v>5.62</v>
      </c>
      <c r="K1040">
        <v>24293</v>
      </c>
      <c r="L1040">
        <v>9254</v>
      </c>
      <c r="M1040">
        <v>15039</v>
      </c>
      <c r="N1040">
        <v>590.26</v>
      </c>
      <c r="O1040">
        <v>8.4499999999999993</v>
      </c>
      <c r="P1040">
        <v>8.0299999999999994</v>
      </c>
      <c r="Q1040">
        <v>0.67</v>
      </c>
      <c r="R1040">
        <v>0.45</v>
      </c>
      <c r="S1040">
        <v>3475</v>
      </c>
      <c r="T1040">
        <v>41813</v>
      </c>
      <c r="U1040">
        <v>61872</v>
      </c>
      <c r="V1040">
        <v>2671</v>
      </c>
      <c r="W1040">
        <v>5.34</v>
      </c>
      <c r="X1040" s="10">
        <v>0.71634844789233343</v>
      </c>
      <c r="Y1040" s="9">
        <v>34850</v>
      </c>
      <c r="Z1040" s="9">
        <v>26950</v>
      </c>
      <c r="AA1040" s="9">
        <v>34450</v>
      </c>
      <c r="AB1040">
        <v>0.94936708860759489</v>
      </c>
      <c r="AC1040" s="11">
        <v>118.67602111697691</v>
      </c>
      <c r="AD1040" s="9">
        <v>28126.214689265536</v>
      </c>
      <c r="AE1040" s="8">
        <v>0.20454545454545456</v>
      </c>
    </row>
    <row r="1041" spans="1:31" x14ac:dyDescent="0.35">
      <c r="A1041" s="6" t="s">
        <v>1062</v>
      </c>
      <c r="B1041" s="7">
        <v>4</v>
      </c>
      <c r="C1041" s="7">
        <v>5</v>
      </c>
      <c r="D1041" s="7">
        <v>6</v>
      </c>
      <c r="E1041" s="7">
        <v>3</v>
      </c>
      <c r="F1041">
        <v>18703</v>
      </c>
      <c r="G1041">
        <v>969</v>
      </c>
      <c r="H1041">
        <v>5.18</v>
      </c>
      <c r="I1041">
        <v>500</v>
      </c>
      <c r="J1041">
        <v>2.68</v>
      </c>
      <c r="K1041">
        <v>17353</v>
      </c>
      <c r="L1041">
        <v>6301</v>
      </c>
      <c r="M1041">
        <v>11052</v>
      </c>
      <c r="N1041">
        <v>3591.83</v>
      </c>
      <c r="O1041">
        <v>4.62</v>
      </c>
      <c r="P1041">
        <v>9.2200000000000006</v>
      </c>
      <c r="Q1041">
        <v>0.43</v>
      </c>
      <c r="R1041">
        <v>0.25</v>
      </c>
      <c r="S1041">
        <v>8608</v>
      </c>
      <c r="T1041">
        <v>182805</v>
      </c>
      <c r="U1041">
        <v>321686</v>
      </c>
      <c r="V1041">
        <v>1303</v>
      </c>
      <c r="W1041">
        <v>5.89</v>
      </c>
      <c r="X1041" s="10">
        <v>0.39038618997010172</v>
      </c>
      <c r="Y1041" s="9">
        <v>85800</v>
      </c>
      <c r="Z1041" s="9">
        <v>75400</v>
      </c>
      <c r="AA1041" s="9">
        <v>80000</v>
      </c>
      <c r="AB1041">
        <v>0.44230769230769229</v>
      </c>
      <c r="AC1041" s="11">
        <v>102.97304806890803</v>
      </c>
      <c r="AD1041" s="9">
        <v>76809.322033898308</v>
      </c>
      <c r="AE1041" s="8">
        <v>-1.4778325123152709E-2</v>
      </c>
    </row>
    <row r="1042" spans="1:31" x14ac:dyDescent="0.35">
      <c r="A1042" s="6" t="s">
        <v>1063</v>
      </c>
      <c r="B1042" s="7">
        <v>5</v>
      </c>
      <c r="C1042" s="7">
        <v>0</v>
      </c>
      <c r="D1042" s="7">
        <v>10</v>
      </c>
      <c r="E1042" s="7">
        <v>3</v>
      </c>
      <c r="F1042">
        <v>6703</v>
      </c>
      <c r="G1042">
        <v>439</v>
      </c>
      <c r="H1042">
        <v>6.54</v>
      </c>
      <c r="I1042">
        <v>298</v>
      </c>
      <c r="J1042">
        <v>4.4400000000000004</v>
      </c>
      <c r="K1042">
        <v>4611</v>
      </c>
      <c r="L1042">
        <v>2015</v>
      </c>
      <c r="M1042">
        <v>2596</v>
      </c>
      <c r="N1042">
        <v>509.13</v>
      </c>
      <c r="O1042">
        <v>12.12</v>
      </c>
      <c r="P1042">
        <v>6.9</v>
      </c>
      <c r="Q1042">
        <v>0.81</v>
      </c>
      <c r="R1042">
        <v>0.31</v>
      </c>
      <c r="S1042">
        <v>3523</v>
      </c>
      <c r="T1042">
        <v>30114</v>
      </c>
      <c r="U1042">
        <v>79268</v>
      </c>
      <c r="V1042">
        <v>592</v>
      </c>
      <c r="W1042">
        <v>5.82</v>
      </c>
      <c r="X1042" s="10">
        <v>8.6272343778475258E-2</v>
      </c>
      <c r="Y1042" s="9">
        <v>25100</v>
      </c>
      <c r="Z1042" s="9">
        <v>22950</v>
      </c>
      <c r="AA1042" s="9">
        <v>23650</v>
      </c>
      <c r="AB1042">
        <v>0.32558139534883723</v>
      </c>
      <c r="AC1042" s="11">
        <v>9.0191719922200608</v>
      </c>
      <c r="AD1042" s="9">
        <v>23401.581920903955</v>
      </c>
      <c r="AE1042" s="8">
        <v>-1.6632016632016633E-2</v>
      </c>
    </row>
    <row r="1043" spans="1:31" x14ac:dyDescent="0.35">
      <c r="A1043" s="6" t="s">
        <v>1064</v>
      </c>
      <c r="B1043" s="7">
        <v>1</v>
      </c>
      <c r="C1043" s="7">
        <v>15</v>
      </c>
      <c r="D1043" s="7">
        <v>2</v>
      </c>
      <c r="E1043" s="7">
        <v>0</v>
      </c>
      <c r="F1043">
        <v>812</v>
      </c>
      <c r="G1043">
        <v>746</v>
      </c>
      <c r="H1043">
        <v>91.86</v>
      </c>
      <c r="I1043">
        <v>553</v>
      </c>
      <c r="J1043">
        <v>68.13</v>
      </c>
      <c r="K1043">
        <v>9699</v>
      </c>
      <c r="L1043">
        <v>1670</v>
      </c>
      <c r="M1043">
        <v>8029</v>
      </c>
      <c r="N1043">
        <v>3915.01</v>
      </c>
      <c r="O1043">
        <v>7.15</v>
      </c>
      <c r="P1043">
        <v>11.71</v>
      </c>
      <c r="Q1043">
        <v>0.81</v>
      </c>
      <c r="R1043">
        <v>7.98</v>
      </c>
      <c r="S1043">
        <v>13834</v>
      </c>
      <c r="T1043">
        <v>200584</v>
      </c>
      <c r="U1043">
        <v>20305</v>
      </c>
      <c r="V1043">
        <v>759</v>
      </c>
      <c r="W1043">
        <v>10.220000000000001</v>
      </c>
      <c r="X1043" s="10">
        <v>1.7534546971645901E-2</v>
      </c>
      <c r="Y1043" s="9">
        <v>178000</v>
      </c>
      <c r="Z1043" s="9">
        <v>144000</v>
      </c>
      <c r="AA1043" s="9">
        <v>163000</v>
      </c>
      <c r="AB1043">
        <v>0.55882352941176472</v>
      </c>
      <c r="AC1043" s="11">
        <v>-59.474854126146177</v>
      </c>
      <c r="AD1043" s="9">
        <v>159022.3163841808</v>
      </c>
      <c r="AE1043" s="8">
        <v>2.5157232704402517E-2</v>
      </c>
    </row>
    <row r="1044" spans="1:31" x14ac:dyDescent="0.35">
      <c r="A1044" s="6" t="s">
        <v>1065</v>
      </c>
      <c r="B1044" s="7">
        <v>5</v>
      </c>
      <c r="C1044" s="7">
        <v>4</v>
      </c>
      <c r="D1044" s="7">
        <v>8</v>
      </c>
      <c r="E1044" s="7">
        <v>1</v>
      </c>
      <c r="F1044">
        <v>343</v>
      </c>
      <c r="G1044">
        <v>27</v>
      </c>
      <c r="H1044">
        <v>7.77</v>
      </c>
      <c r="I1044">
        <v>12</v>
      </c>
      <c r="J1044">
        <v>3.44</v>
      </c>
      <c r="K1044">
        <v>392</v>
      </c>
      <c r="L1044">
        <v>47</v>
      </c>
      <c r="M1044">
        <v>345</v>
      </c>
      <c r="N1044">
        <v>191.46</v>
      </c>
      <c r="O1044">
        <v>4.2699999999999996</v>
      </c>
      <c r="P1044">
        <v>20.149999999999999</v>
      </c>
      <c r="Q1044">
        <v>0.94</v>
      </c>
      <c r="R1044">
        <v>0.7</v>
      </c>
      <c r="S1044">
        <v>67</v>
      </c>
      <c r="T1044">
        <v>1434</v>
      </c>
      <c r="U1044">
        <v>1931</v>
      </c>
      <c r="V1044">
        <v>36</v>
      </c>
      <c r="W1044">
        <v>8.8000000000000007</v>
      </c>
      <c r="X1044" s="10">
        <v>0.81130911711622256</v>
      </c>
      <c r="Y1044" s="9">
        <v>1240</v>
      </c>
      <c r="Z1044" s="9">
        <v>1040</v>
      </c>
      <c r="AA1044" s="9">
        <v>1185</v>
      </c>
      <c r="AB1044">
        <v>0.72499999999999998</v>
      </c>
      <c r="AC1044" s="11">
        <v>2.7024173381494858</v>
      </c>
      <c r="AD1044" s="9">
        <v>1070.9096045197739</v>
      </c>
      <c r="AE1044" s="8">
        <v>0.12857142857142856</v>
      </c>
    </row>
    <row r="1045" spans="1:31" x14ac:dyDescent="0.35">
      <c r="A1045" s="6" t="s">
        <v>1066</v>
      </c>
      <c r="B1045" s="7">
        <v>5</v>
      </c>
      <c r="C1045" s="7">
        <v>2</v>
      </c>
      <c r="D1045" s="7">
        <v>11</v>
      </c>
      <c r="E1045" s="7">
        <v>0</v>
      </c>
      <c r="F1045">
        <v>202</v>
      </c>
      <c r="G1045">
        <v>11</v>
      </c>
      <c r="H1045">
        <v>5.38</v>
      </c>
      <c r="I1045">
        <v>19</v>
      </c>
      <c r="J1045">
        <v>9.49</v>
      </c>
      <c r="K1045">
        <v>414</v>
      </c>
      <c r="L1045">
        <v>33</v>
      </c>
      <c r="M1045">
        <v>381</v>
      </c>
      <c r="N1045">
        <v>662.1</v>
      </c>
      <c r="O1045">
        <v>6.85</v>
      </c>
      <c r="P1045">
        <v>10.94</v>
      </c>
      <c r="Q1045">
        <v>0.79</v>
      </c>
      <c r="R1045">
        <v>1.04</v>
      </c>
      <c r="S1045">
        <v>256</v>
      </c>
      <c r="T1045">
        <v>3560</v>
      </c>
      <c r="U1045">
        <v>2697</v>
      </c>
      <c r="V1045">
        <v>28</v>
      </c>
      <c r="W1045">
        <v>10.18</v>
      </c>
      <c r="X1045" s="10">
        <v>0.51205144739651298</v>
      </c>
      <c r="Y1045" s="9">
        <v>2670</v>
      </c>
      <c r="Z1045" s="9">
        <v>2270</v>
      </c>
      <c r="AA1045" s="9">
        <v>2565</v>
      </c>
      <c r="AB1045">
        <v>0.73750000000000004</v>
      </c>
      <c r="AC1045" s="11">
        <v>4.7360377882745217</v>
      </c>
      <c r="AD1045" s="9">
        <v>2284.7175141242938</v>
      </c>
      <c r="AE1045" s="8">
        <v>7.5471698113207544E-2</v>
      </c>
    </row>
    <row r="1046" spans="1:31" x14ac:dyDescent="0.35">
      <c r="A1046" s="6" t="s">
        <v>1067</v>
      </c>
      <c r="B1046" s="7">
        <v>9</v>
      </c>
      <c r="C1046" s="7">
        <v>3</v>
      </c>
      <c r="D1046" s="7">
        <v>6</v>
      </c>
      <c r="E1046" s="7">
        <v>0</v>
      </c>
      <c r="F1046">
        <v>371</v>
      </c>
      <c r="G1046">
        <v>83</v>
      </c>
      <c r="H1046">
        <v>22.39</v>
      </c>
      <c r="I1046">
        <v>55</v>
      </c>
      <c r="J1046">
        <v>14.82</v>
      </c>
      <c r="K1046">
        <v>657</v>
      </c>
      <c r="L1046">
        <v>58</v>
      </c>
      <c r="M1046">
        <v>600</v>
      </c>
      <c r="N1046">
        <v>1292.67</v>
      </c>
      <c r="O1046">
        <v>12.71</v>
      </c>
      <c r="P1046">
        <v>42.6</v>
      </c>
      <c r="Q1046">
        <v>5.52</v>
      </c>
      <c r="R1046">
        <v>6.3</v>
      </c>
      <c r="S1046">
        <v>169</v>
      </c>
      <c r="T1046">
        <v>1305</v>
      </c>
      <c r="U1046">
        <v>1143</v>
      </c>
      <c r="V1046">
        <v>131</v>
      </c>
      <c r="W1046">
        <v>24.08</v>
      </c>
      <c r="X1046" s="10">
        <v>0.47571491739235455</v>
      </c>
      <c r="Y1046" s="9">
        <v>7040</v>
      </c>
      <c r="Z1046" s="9">
        <v>5800</v>
      </c>
      <c r="AA1046" s="9">
        <v>7040</v>
      </c>
      <c r="AB1046">
        <v>1</v>
      </c>
      <c r="AC1046" s="11">
        <v>13.09224784662406</v>
      </c>
      <c r="AD1046" s="9">
        <v>6029.8531073446329</v>
      </c>
      <c r="AE1046" s="8">
        <v>0.12820512820512819</v>
      </c>
    </row>
    <row r="1047" spans="1:31" x14ac:dyDescent="0.35">
      <c r="A1047" s="6" t="s">
        <v>1068</v>
      </c>
      <c r="B1047" s="7">
        <v>5</v>
      </c>
      <c r="C1047" s="7">
        <v>3</v>
      </c>
      <c r="D1047" s="7">
        <v>1</v>
      </c>
      <c r="E1047" s="7">
        <v>9</v>
      </c>
      <c r="F1047">
        <v>826</v>
      </c>
      <c r="G1047">
        <v>-53</v>
      </c>
      <c r="H1047">
        <v>-6.42</v>
      </c>
      <c r="I1047">
        <v>-2</v>
      </c>
      <c r="J1047">
        <v>-0.23</v>
      </c>
      <c r="K1047">
        <v>2229</v>
      </c>
      <c r="L1047">
        <v>508</v>
      </c>
      <c r="M1047">
        <v>1721</v>
      </c>
      <c r="N1047">
        <v>4022.01</v>
      </c>
      <c r="O1047">
        <v>-0.11</v>
      </c>
      <c r="P1047">
        <v>0</v>
      </c>
      <c r="Q1047">
        <v>0.38</v>
      </c>
      <c r="R1047">
        <v>0.79</v>
      </c>
      <c r="S1047">
        <v>-23</v>
      </c>
      <c r="T1047">
        <v>20571</v>
      </c>
      <c r="U1047">
        <v>9895</v>
      </c>
      <c r="V1047">
        <v>53</v>
      </c>
      <c r="W1047">
        <v>12.29</v>
      </c>
      <c r="X1047" s="10">
        <v>0.60721856128944207</v>
      </c>
      <c r="Y1047" s="9">
        <v>10700</v>
      </c>
      <c r="Z1047" s="9">
        <v>7420</v>
      </c>
      <c r="AA1047" s="9">
        <v>9830</v>
      </c>
      <c r="AB1047">
        <v>0.7347560975609756</v>
      </c>
      <c r="AC1047" s="11">
        <v>42.219227563212002</v>
      </c>
      <c r="AD1047" s="9">
        <v>7219.8135593220341</v>
      </c>
      <c r="AE1047" s="8">
        <v>0.27828348504551365</v>
      </c>
    </row>
    <row r="1048" spans="1:31" x14ac:dyDescent="0.35">
      <c r="A1048" s="6" t="s">
        <v>1069</v>
      </c>
      <c r="B1048" s="7">
        <v>0</v>
      </c>
      <c r="C1048" s="7">
        <v>12</v>
      </c>
      <c r="D1048" s="7">
        <v>0</v>
      </c>
      <c r="E1048" s="7">
        <v>6</v>
      </c>
      <c r="F1048">
        <v>2014</v>
      </c>
      <c r="G1048">
        <v>-121</v>
      </c>
      <c r="H1048">
        <v>-6</v>
      </c>
      <c r="I1048">
        <v>-179</v>
      </c>
      <c r="J1048">
        <v>-8.9</v>
      </c>
      <c r="K1048">
        <v>3148</v>
      </c>
      <c r="L1048">
        <v>2249</v>
      </c>
      <c r="M1048">
        <v>898</v>
      </c>
      <c r="N1048">
        <v>345.6</v>
      </c>
      <c r="O1048">
        <v>-18.18</v>
      </c>
      <c r="P1048">
        <v>0</v>
      </c>
      <c r="Q1048">
        <v>1.33</v>
      </c>
      <c r="R1048">
        <v>0.56000000000000005</v>
      </c>
      <c r="S1048">
        <v>-445</v>
      </c>
      <c r="T1048">
        <v>2121</v>
      </c>
      <c r="U1048">
        <v>4996</v>
      </c>
      <c r="V1048">
        <v>-44</v>
      </c>
      <c r="W1048">
        <v>-58.88</v>
      </c>
      <c r="X1048" s="10">
        <v>0.75271266887532817</v>
      </c>
      <c r="Y1048" s="9">
        <v>3390</v>
      </c>
      <c r="Z1048" s="9">
        <v>2560</v>
      </c>
      <c r="AA1048" s="9">
        <v>3250</v>
      </c>
      <c r="AB1048">
        <v>0.83132530120481929</v>
      </c>
      <c r="AC1048" s="11">
        <v>12.050152820227842</v>
      </c>
      <c r="AD1048" s="9">
        <v>2609.0536723163841</v>
      </c>
      <c r="AE1048" s="8">
        <v>0.16071428571428573</v>
      </c>
    </row>
    <row r="1049" spans="1:31" x14ac:dyDescent="0.35">
      <c r="A1049" s="6" t="s">
        <v>1070</v>
      </c>
      <c r="B1049" s="7">
        <v>4</v>
      </c>
      <c r="C1049" s="7">
        <v>2</v>
      </c>
      <c r="D1049" s="7">
        <v>5</v>
      </c>
      <c r="E1049" s="7">
        <v>7</v>
      </c>
      <c r="F1049">
        <v>280</v>
      </c>
      <c r="G1049">
        <v>-38</v>
      </c>
      <c r="H1049">
        <v>-13.72</v>
      </c>
      <c r="I1049">
        <v>71</v>
      </c>
      <c r="J1049">
        <v>25.24</v>
      </c>
      <c r="K1049">
        <v>2473</v>
      </c>
      <c r="L1049">
        <v>333</v>
      </c>
      <c r="M1049">
        <v>2140</v>
      </c>
      <c r="N1049">
        <v>4180.45</v>
      </c>
      <c r="O1049">
        <v>6.7</v>
      </c>
      <c r="P1049">
        <v>17.88</v>
      </c>
      <c r="Q1049">
        <v>1.19</v>
      </c>
      <c r="R1049">
        <v>4.51</v>
      </c>
      <c r="S1049">
        <v>1412</v>
      </c>
      <c r="T1049">
        <v>21245</v>
      </c>
      <c r="U1049">
        <v>5598</v>
      </c>
      <c r="V1049">
        <v>-37</v>
      </c>
      <c r="W1049">
        <v>-68</v>
      </c>
      <c r="X1049" s="10">
        <v>0.7102515868414937</v>
      </c>
      <c r="Y1049" s="9">
        <v>29500</v>
      </c>
      <c r="Z1049" s="9">
        <v>25250</v>
      </c>
      <c r="AA1049" s="9">
        <v>29100</v>
      </c>
      <c r="AB1049">
        <v>0.90588235294117647</v>
      </c>
      <c r="AC1049" s="11">
        <v>64.313698249513735</v>
      </c>
      <c r="AD1049" s="9">
        <v>25217.598870056499</v>
      </c>
      <c r="AE1049" s="8">
        <v>0.11068702290076336</v>
      </c>
    </row>
    <row r="1050" spans="1:31" x14ac:dyDescent="0.35">
      <c r="A1050" s="6" t="s">
        <v>1071</v>
      </c>
      <c r="B1050" s="7">
        <v>16</v>
      </c>
      <c r="C1050" s="7">
        <v>0</v>
      </c>
      <c r="D1050" s="7">
        <v>1</v>
      </c>
      <c r="E1050" s="7">
        <v>1</v>
      </c>
      <c r="F1050">
        <v>1821</v>
      </c>
      <c r="G1050">
        <v>359</v>
      </c>
      <c r="H1050">
        <v>19.72</v>
      </c>
      <c r="I1050">
        <v>261</v>
      </c>
      <c r="J1050">
        <v>14.31</v>
      </c>
      <c r="K1050">
        <v>5188</v>
      </c>
      <c r="L1050">
        <v>2014</v>
      </c>
      <c r="M1050">
        <v>3174</v>
      </c>
      <c r="N1050">
        <v>688.72</v>
      </c>
      <c r="O1050">
        <v>8.5399999999999991</v>
      </c>
      <c r="P1050">
        <v>8.7100000000000009</v>
      </c>
      <c r="Q1050">
        <v>0.78</v>
      </c>
      <c r="R1050">
        <v>1.24</v>
      </c>
      <c r="S1050">
        <v>689</v>
      </c>
      <c r="T1050">
        <v>7678</v>
      </c>
      <c r="U1050">
        <v>4821</v>
      </c>
      <c r="V1050">
        <v>425</v>
      </c>
      <c r="W1050">
        <v>6.93</v>
      </c>
      <c r="X1050" s="10">
        <v>0.68198693549473</v>
      </c>
      <c r="Y1050" s="9">
        <v>6500</v>
      </c>
      <c r="Z1050" s="9">
        <v>5540</v>
      </c>
      <c r="AA1050" s="9">
        <v>6460</v>
      </c>
      <c r="AB1050">
        <v>0.95833333333333337</v>
      </c>
      <c r="AC1050" s="11">
        <v>12.268685746040568</v>
      </c>
      <c r="AD1050" s="9">
        <v>5736.6384180790956</v>
      </c>
      <c r="AE1050" s="8">
        <v>6.0755336617405585E-2</v>
      </c>
    </row>
    <row r="1051" spans="1:31" x14ac:dyDescent="0.35">
      <c r="A1051" s="6" t="s">
        <v>1072</v>
      </c>
      <c r="B1051" s="7">
        <v>4</v>
      </c>
      <c r="C1051" s="7">
        <v>3</v>
      </c>
      <c r="D1051" s="7">
        <v>11</v>
      </c>
      <c r="E1051" s="7">
        <v>0</v>
      </c>
      <c r="F1051">
        <v>4501</v>
      </c>
      <c r="G1051">
        <v>-6</v>
      </c>
      <c r="H1051">
        <v>-0.14000000000000001</v>
      </c>
      <c r="I1051">
        <v>137</v>
      </c>
      <c r="J1051">
        <v>3.04</v>
      </c>
      <c r="K1051">
        <v>4923</v>
      </c>
      <c r="L1051">
        <v>2016</v>
      </c>
      <c r="M1051">
        <v>2907</v>
      </c>
      <c r="N1051">
        <v>2819.1</v>
      </c>
      <c r="O1051">
        <v>4.8099999999999996</v>
      </c>
      <c r="P1051">
        <v>18.63</v>
      </c>
      <c r="Q1051">
        <v>0.91</v>
      </c>
      <c r="R1051">
        <v>0.56999999999999995</v>
      </c>
      <c r="S1051">
        <v>687</v>
      </c>
      <c r="T1051">
        <v>14122</v>
      </c>
      <c r="U1051">
        <v>22612</v>
      </c>
      <c r="V1051">
        <v>135</v>
      </c>
      <c r="W1051">
        <v>21.5</v>
      </c>
      <c r="X1051" s="10">
        <v>0.31570317552832949</v>
      </c>
      <c r="Y1051" s="9">
        <v>13850</v>
      </c>
      <c r="Z1051" s="9">
        <v>11600</v>
      </c>
      <c r="AA1051" s="9">
        <v>11600</v>
      </c>
      <c r="AB1051">
        <v>0</v>
      </c>
      <c r="AC1051" s="11">
        <v>-15.677966101694915</v>
      </c>
      <c r="AD1051" s="9">
        <v>13359.011299435029</v>
      </c>
      <c r="AE1051" s="8">
        <v>-0.12121212121212122</v>
      </c>
    </row>
    <row r="1052" spans="1:31" x14ac:dyDescent="0.35">
      <c r="A1052" s="6" t="s">
        <v>1073</v>
      </c>
      <c r="B1052" s="7">
        <v>2</v>
      </c>
      <c r="C1052" s="7">
        <v>2</v>
      </c>
      <c r="D1052" s="7">
        <v>5</v>
      </c>
      <c r="E1052" s="7">
        <v>9</v>
      </c>
      <c r="F1052">
        <v>653</v>
      </c>
      <c r="G1052">
        <v>42</v>
      </c>
      <c r="H1052">
        <v>6.4</v>
      </c>
      <c r="I1052">
        <v>21</v>
      </c>
      <c r="J1052">
        <v>3.16</v>
      </c>
      <c r="K1052">
        <v>962</v>
      </c>
      <c r="L1052">
        <v>354</v>
      </c>
      <c r="M1052">
        <v>609</v>
      </c>
      <c r="N1052">
        <v>578.39</v>
      </c>
      <c r="O1052">
        <v>3.37</v>
      </c>
      <c r="P1052">
        <v>30.17</v>
      </c>
      <c r="Q1052">
        <v>1.1000000000000001</v>
      </c>
      <c r="R1052">
        <v>0.95</v>
      </c>
      <c r="S1052">
        <v>116</v>
      </c>
      <c r="T1052">
        <v>3174</v>
      </c>
      <c r="U1052">
        <v>3676</v>
      </c>
      <c r="V1052">
        <v>113</v>
      </c>
      <c r="W1052">
        <v>6.05</v>
      </c>
      <c r="X1052" s="10">
        <v>0.17467524245897323</v>
      </c>
      <c r="Y1052" s="9">
        <v>4595</v>
      </c>
      <c r="Z1052" s="9">
        <v>3500</v>
      </c>
      <c r="AA1052" s="9">
        <v>4350</v>
      </c>
      <c r="AB1052">
        <v>0.77625570776255703</v>
      </c>
      <c r="AC1052" s="11">
        <v>4.8255070853014717</v>
      </c>
      <c r="AD1052" s="9">
        <v>3958.9887005649721</v>
      </c>
      <c r="AE1052" s="8">
        <v>0.21508379888268156</v>
      </c>
    </row>
    <row r="1053" spans="1:31" x14ac:dyDescent="0.35">
      <c r="A1053" s="6" t="s">
        <v>1074</v>
      </c>
      <c r="B1053" s="7">
        <v>1</v>
      </c>
      <c r="C1053" s="7">
        <v>7</v>
      </c>
      <c r="D1053" s="7">
        <v>2</v>
      </c>
      <c r="E1053" s="7">
        <v>8</v>
      </c>
      <c r="F1053">
        <v>255</v>
      </c>
      <c r="G1053">
        <v>0</v>
      </c>
      <c r="H1053">
        <v>7.0000000000000007E-2</v>
      </c>
      <c r="I1053">
        <v>-12</v>
      </c>
      <c r="J1053">
        <v>-4.7300000000000004</v>
      </c>
      <c r="K1053">
        <v>866</v>
      </c>
      <c r="L1053">
        <v>528</v>
      </c>
      <c r="M1053">
        <v>338</v>
      </c>
      <c r="N1053">
        <v>298.2</v>
      </c>
      <c r="O1053">
        <v>-4.7</v>
      </c>
      <c r="P1053">
        <v>0</v>
      </c>
      <c r="Q1053">
        <v>0.34</v>
      </c>
      <c r="R1053">
        <v>0.25</v>
      </c>
      <c r="S1053">
        <v>-97</v>
      </c>
      <c r="T1053">
        <v>1515</v>
      </c>
      <c r="U1053">
        <v>2052</v>
      </c>
      <c r="V1053">
        <v>21</v>
      </c>
      <c r="W1053">
        <v>19.48</v>
      </c>
      <c r="X1053" s="10">
        <v>0.11533933782697248</v>
      </c>
      <c r="Y1053" s="9">
        <v>707</v>
      </c>
      <c r="Z1053" s="9">
        <v>505</v>
      </c>
      <c r="AA1053" s="9">
        <v>505</v>
      </c>
      <c r="AB1053">
        <v>0</v>
      </c>
      <c r="AC1053" s="11">
        <v>-0.79697138093914965</v>
      </c>
      <c r="AD1053" s="9">
        <v>588.25762711864411</v>
      </c>
      <c r="AE1053" s="8">
        <v>-0.18940609951845908</v>
      </c>
    </row>
    <row r="1054" spans="1:31" x14ac:dyDescent="0.35">
      <c r="A1054" s="6" t="s">
        <v>1075</v>
      </c>
      <c r="B1054" s="7">
        <v>7</v>
      </c>
      <c r="C1054" s="7">
        <v>7</v>
      </c>
      <c r="D1054" s="7">
        <v>1</v>
      </c>
      <c r="E1054" s="7">
        <v>3</v>
      </c>
      <c r="F1054">
        <v>190</v>
      </c>
      <c r="G1054">
        <v>1</v>
      </c>
      <c r="H1054">
        <v>0.61</v>
      </c>
      <c r="I1054">
        <v>5</v>
      </c>
      <c r="J1054">
        <v>2.89</v>
      </c>
      <c r="K1054">
        <v>543</v>
      </c>
      <c r="L1054">
        <v>22</v>
      </c>
      <c r="M1054">
        <v>521</v>
      </c>
      <c r="N1054">
        <v>1148.8699999999999</v>
      </c>
      <c r="O1054">
        <v>1.06</v>
      </c>
      <c r="P1054">
        <v>32.270000000000003</v>
      </c>
      <c r="Q1054">
        <v>0.35</v>
      </c>
      <c r="R1054">
        <v>0.93</v>
      </c>
      <c r="S1054">
        <v>66</v>
      </c>
      <c r="T1054">
        <v>6145</v>
      </c>
      <c r="U1054">
        <v>2295</v>
      </c>
      <c r="V1054">
        <v>25</v>
      </c>
      <c r="W1054">
        <v>7.13</v>
      </c>
      <c r="X1054" s="10">
        <v>0.8494817771614257</v>
      </c>
      <c r="Y1054" s="9">
        <v>2935</v>
      </c>
      <c r="Z1054" s="9">
        <v>2130</v>
      </c>
      <c r="AA1054" s="9">
        <v>2650</v>
      </c>
      <c r="AB1054">
        <v>0.64596273291925466</v>
      </c>
      <c r="AC1054" s="11">
        <v>13.867046401778271</v>
      </c>
      <c r="AD1054" s="9">
        <v>2023.3050847457628</v>
      </c>
      <c r="AE1054" s="8">
        <v>0.23831775700934579</v>
      </c>
    </row>
    <row r="1055" spans="1:31" x14ac:dyDescent="0.35">
      <c r="A1055" s="6" t="s">
        <v>1076</v>
      </c>
      <c r="B1055" s="7">
        <v>6</v>
      </c>
      <c r="C1055" s="7">
        <v>1</v>
      </c>
      <c r="D1055" s="7">
        <v>7</v>
      </c>
      <c r="E1055" s="7">
        <v>4</v>
      </c>
      <c r="F1055">
        <v>2177</v>
      </c>
      <c r="G1055">
        <v>156</v>
      </c>
      <c r="H1055">
        <v>7.16</v>
      </c>
      <c r="I1055">
        <v>128</v>
      </c>
      <c r="J1055">
        <v>5.89</v>
      </c>
      <c r="K1055">
        <v>2044</v>
      </c>
      <c r="L1055">
        <v>861</v>
      </c>
      <c r="M1055">
        <v>1183</v>
      </c>
      <c r="N1055">
        <v>2938.24</v>
      </c>
      <c r="O1055">
        <v>11.45</v>
      </c>
      <c r="P1055">
        <v>10.039999999999999</v>
      </c>
      <c r="Q1055">
        <v>1.1499999999999999</v>
      </c>
      <c r="R1055">
        <v>0.59</v>
      </c>
      <c r="S1055">
        <v>1714</v>
      </c>
      <c r="T1055">
        <v>14952</v>
      </c>
      <c r="U1055">
        <v>29076</v>
      </c>
      <c r="V1055">
        <v>272</v>
      </c>
      <c r="W1055">
        <v>6.61</v>
      </c>
      <c r="X1055" s="10">
        <v>0.12883015905156703</v>
      </c>
      <c r="Y1055" s="9">
        <v>21500</v>
      </c>
      <c r="Z1055" s="9">
        <v>17000</v>
      </c>
      <c r="AA1055" s="9">
        <v>20200</v>
      </c>
      <c r="AB1055">
        <v>0.71111111111111114</v>
      </c>
      <c r="AC1055" s="11">
        <v>23.343984440122252</v>
      </c>
      <c r="AD1055" s="9">
        <v>19163.841807909605</v>
      </c>
      <c r="AE1055" s="8">
        <v>0.18823529411764706</v>
      </c>
    </row>
    <row r="1056" spans="1:31" x14ac:dyDescent="0.35">
      <c r="A1056" s="6" t="s">
        <v>1077</v>
      </c>
      <c r="B1056" s="7">
        <v>4</v>
      </c>
      <c r="C1056" s="7">
        <v>4</v>
      </c>
      <c r="D1056" s="7">
        <v>3</v>
      </c>
      <c r="E1056" s="7">
        <v>7</v>
      </c>
      <c r="F1056">
        <v>1511</v>
      </c>
      <c r="G1056">
        <v>-32</v>
      </c>
      <c r="H1056">
        <v>-2.09</v>
      </c>
      <c r="I1056">
        <v>-220</v>
      </c>
      <c r="J1056">
        <v>-14.57</v>
      </c>
      <c r="K1056">
        <v>1770</v>
      </c>
      <c r="L1056">
        <v>1672</v>
      </c>
      <c r="M1056">
        <v>97</v>
      </c>
      <c r="N1056">
        <v>-79.61</v>
      </c>
      <c r="O1056">
        <v>-135.83000000000001</v>
      </c>
      <c r="P1056">
        <v>0</v>
      </c>
      <c r="Q1056">
        <v>2.56</v>
      </c>
      <c r="R1056">
        <v>0.11</v>
      </c>
      <c r="S1056">
        <v>-494</v>
      </c>
      <c r="T1056">
        <v>144</v>
      </c>
      <c r="U1056">
        <v>3391</v>
      </c>
      <c r="V1056">
        <v>23</v>
      </c>
      <c r="W1056">
        <v>55.17</v>
      </c>
      <c r="X1056" s="10">
        <v>0.81008522984579057</v>
      </c>
      <c r="Y1056" s="9">
        <v>2610</v>
      </c>
      <c r="Z1056" s="9">
        <v>363</v>
      </c>
      <c r="AA1056" s="9">
        <v>2600</v>
      </c>
      <c r="AB1056">
        <v>0.995549621717846</v>
      </c>
      <c r="AC1056" s="11">
        <v>43.548680188941375</v>
      </c>
      <c r="AD1056" s="9">
        <v>170.14858757062143</v>
      </c>
      <c r="AE1056" s="8">
        <v>6.0460704607046072</v>
      </c>
    </row>
    <row r="1057" spans="1:31" x14ac:dyDescent="0.35">
      <c r="A1057" s="6" t="s">
        <v>1078</v>
      </c>
      <c r="B1057" s="7">
        <v>5</v>
      </c>
      <c r="C1057" s="7">
        <v>0</v>
      </c>
      <c r="D1057" s="7">
        <v>5</v>
      </c>
      <c r="E1057" s="7">
        <v>8</v>
      </c>
      <c r="F1057">
        <v>96</v>
      </c>
      <c r="G1057">
        <v>8</v>
      </c>
      <c r="H1057">
        <v>8.26</v>
      </c>
      <c r="I1057">
        <v>10</v>
      </c>
      <c r="J1057">
        <v>10.25</v>
      </c>
      <c r="K1057">
        <v>350</v>
      </c>
      <c r="L1057">
        <v>70</v>
      </c>
      <c r="M1057">
        <v>281</v>
      </c>
      <c r="N1057">
        <v>1255.3699999999999</v>
      </c>
      <c r="O1057">
        <v>4.72</v>
      </c>
      <c r="P1057">
        <v>18.399999999999999</v>
      </c>
      <c r="Q1057">
        <v>0.88</v>
      </c>
      <c r="R1057">
        <v>0</v>
      </c>
      <c r="S1057">
        <v>312</v>
      </c>
      <c r="T1057">
        <v>6524</v>
      </c>
      <c r="U1057">
        <v>0</v>
      </c>
      <c r="V1057">
        <v>11</v>
      </c>
      <c r="W1057">
        <v>22.9</v>
      </c>
      <c r="X1057" s="10">
        <v>0.7213203184532111</v>
      </c>
      <c r="Y1057" s="9">
        <v>6330</v>
      </c>
      <c r="Z1057" s="9">
        <v>4735</v>
      </c>
      <c r="AA1057" s="9">
        <v>5890</v>
      </c>
      <c r="AB1057">
        <v>0.72413793103448276</v>
      </c>
      <c r="AC1057" s="11">
        <v>19.547652125590442</v>
      </c>
      <c r="AD1057" s="9">
        <v>4740.4632768361589</v>
      </c>
      <c r="AE1057" s="8">
        <v>0.23221757322175732</v>
      </c>
    </row>
    <row r="1058" spans="1:31" x14ac:dyDescent="0.35">
      <c r="A1058" s="6" t="s">
        <v>1079</v>
      </c>
      <c r="B1058" s="7">
        <v>0</v>
      </c>
      <c r="C1058" s="7">
        <v>2</v>
      </c>
      <c r="D1058" s="7">
        <v>5</v>
      </c>
      <c r="E1058" s="7">
        <v>11</v>
      </c>
      <c r="F1058">
        <v>186</v>
      </c>
      <c r="G1058">
        <v>-97</v>
      </c>
      <c r="H1058">
        <v>-51.96</v>
      </c>
      <c r="I1058">
        <v>-217</v>
      </c>
      <c r="J1058">
        <v>-116.59</v>
      </c>
      <c r="K1058">
        <v>683</v>
      </c>
      <c r="L1058">
        <v>255</v>
      </c>
      <c r="M1058">
        <v>428</v>
      </c>
      <c r="N1058">
        <v>-40.340000000000003</v>
      </c>
      <c r="O1058">
        <v>-44.69</v>
      </c>
      <c r="P1058">
        <v>0</v>
      </c>
      <c r="Q1058">
        <v>3.28</v>
      </c>
      <c r="R1058">
        <v>3.76</v>
      </c>
      <c r="S1058">
        <v>-807</v>
      </c>
      <c r="T1058">
        <v>793</v>
      </c>
      <c r="U1058">
        <v>692</v>
      </c>
      <c r="V1058">
        <v>-66</v>
      </c>
      <c r="W1058">
        <v>-13.75</v>
      </c>
      <c r="X1058" s="10">
        <v>0.53561076505092053</v>
      </c>
      <c r="Y1058" s="9">
        <v>4200</v>
      </c>
      <c r="Z1058" s="9">
        <v>2560</v>
      </c>
      <c r="AA1058" s="9">
        <v>4015</v>
      </c>
      <c r="AB1058">
        <v>0.88719512195121952</v>
      </c>
      <c r="AC1058" s="11">
        <v>17.727146429563767</v>
      </c>
      <c r="AD1058" s="9">
        <v>2605.8220338983051</v>
      </c>
      <c r="AE1058" s="8">
        <v>0.568359375</v>
      </c>
    </row>
    <row r="1059" spans="1:31" x14ac:dyDescent="0.35">
      <c r="A1059" s="6" t="s">
        <v>1080</v>
      </c>
      <c r="B1059" s="7">
        <v>2</v>
      </c>
      <c r="C1059" s="7">
        <v>10</v>
      </c>
      <c r="D1059" s="7">
        <v>4</v>
      </c>
      <c r="E1059" s="7">
        <v>2</v>
      </c>
      <c r="F1059">
        <v>4046</v>
      </c>
      <c r="G1059">
        <v>1958</v>
      </c>
      <c r="H1059">
        <v>48.38</v>
      </c>
      <c r="I1059">
        <v>1281</v>
      </c>
      <c r="J1059">
        <v>31.65</v>
      </c>
      <c r="K1059">
        <v>20987</v>
      </c>
      <c r="L1059">
        <v>8393</v>
      </c>
      <c r="M1059">
        <v>12594</v>
      </c>
      <c r="N1059">
        <v>1194.53</v>
      </c>
      <c r="O1059">
        <v>10.91</v>
      </c>
      <c r="P1059">
        <v>30.74</v>
      </c>
      <c r="Q1059">
        <v>5.82</v>
      </c>
      <c r="R1059">
        <v>9.73</v>
      </c>
      <c r="S1059">
        <v>1264</v>
      </c>
      <c r="T1059">
        <v>6679</v>
      </c>
      <c r="U1059">
        <v>3993</v>
      </c>
      <c r="V1059">
        <v>2689</v>
      </c>
      <c r="W1059">
        <v>17.27</v>
      </c>
      <c r="X1059" s="10">
        <v>0.83389402117526545</v>
      </c>
      <c r="Y1059" s="9">
        <v>76100</v>
      </c>
      <c r="Z1059" s="9">
        <v>37900</v>
      </c>
      <c r="AA1059" s="9">
        <v>70200</v>
      </c>
      <c r="AB1059">
        <v>0.84554973821989532</v>
      </c>
      <c r="AC1059" s="11">
        <v>699.76799110864124</v>
      </c>
      <c r="AD1059" s="9">
        <v>31997.909604519777</v>
      </c>
      <c r="AE1059" s="8">
        <v>0.81161290322580648</v>
      </c>
    </row>
    <row r="1060" spans="1:31" x14ac:dyDescent="0.35">
      <c r="A1060" s="6" t="s">
        <v>1081</v>
      </c>
      <c r="B1060" s="7">
        <v>6</v>
      </c>
      <c r="C1060" s="7">
        <v>5</v>
      </c>
      <c r="D1060" s="7">
        <v>4</v>
      </c>
      <c r="E1060" s="7">
        <v>3</v>
      </c>
      <c r="F1060">
        <v>647</v>
      </c>
      <c r="G1060">
        <v>88</v>
      </c>
      <c r="H1060">
        <v>13.54</v>
      </c>
      <c r="I1060">
        <v>63</v>
      </c>
      <c r="J1060">
        <v>9.69</v>
      </c>
      <c r="K1060">
        <v>4127</v>
      </c>
      <c r="L1060">
        <v>1988</v>
      </c>
      <c r="M1060">
        <v>2138</v>
      </c>
      <c r="N1060">
        <v>2164.0100000000002</v>
      </c>
      <c r="O1060">
        <v>3.29</v>
      </c>
      <c r="P1060">
        <v>21.18</v>
      </c>
      <c r="Q1060">
        <v>1.08</v>
      </c>
      <c r="R1060">
        <v>2.0499999999999998</v>
      </c>
      <c r="S1060">
        <v>432</v>
      </c>
      <c r="T1060">
        <v>8508</v>
      </c>
      <c r="U1060">
        <v>4461</v>
      </c>
      <c r="V1060">
        <v>98</v>
      </c>
      <c r="W1060">
        <v>30.47</v>
      </c>
      <c r="X1060" s="10">
        <v>0.90130191837970774</v>
      </c>
      <c r="Y1060" s="9">
        <v>20500</v>
      </c>
      <c r="Z1060" s="9">
        <v>8870</v>
      </c>
      <c r="AA1060" s="9">
        <v>18600</v>
      </c>
      <c r="AB1060">
        <v>0.83662940670679276</v>
      </c>
      <c r="AC1060" s="11">
        <v>216.03362045012503</v>
      </c>
      <c r="AD1060" s="9">
        <v>7345.8079096045203</v>
      </c>
      <c r="AE1060" s="8">
        <v>1.0283533260632498</v>
      </c>
    </row>
    <row r="1061" spans="1:31" x14ac:dyDescent="0.35">
      <c r="A1061" s="6" t="s">
        <v>1082</v>
      </c>
      <c r="B1061" s="7">
        <v>2</v>
      </c>
      <c r="C1061" s="7">
        <v>1</v>
      </c>
      <c r="D1061" s="7">
        <v>1</v>
      </c>
      <c r="E1061" s="7">
        <v>14</v>
      </c>
      <c r="F1061">
        <v>185</v>
      </c>
      <c r="G1061">
        <v>-55</v>
      </c>
      <c r="H1061">
        <v>-29.74</v>
      </c>
      <c r="I1061">
        <v>-78</v>
      </c>
      <c r="J1061">
        <v>-42.21</v>
      </c>
      <c r="K1061">
        <v>212</v>
      </c>
      <c r="L1061">
        <v>79</v>
      </c>
      <c r="M1061">
        <v>132</v>
      </c>
      <c r="N1061">
        <v>-9.32</v>
      </c>
      <c r="O1061">
        <v>-46.84</v>
      </c>
      <c r="P1061">
        <v>0</v>
      </c>
      <c r="Q1061">
        <v>11.85</v>
      </c>
      <c r="R1061">
        <v>8.19</v>
      </c>
      <c r="S1061">
        <v>-254</v>
      </c>
      <c r="T1061">
        <v>416</v>
      </c>
      <c r="U1061">
        <v>602</v>
      </c>
      <c r="V1061">
        <v>-48</v>
      </c>
      <c r="W1061">
        <v>-32.159999999999997</v>
      </c>
      <c r="X1061" s="10">
        <v>1.492116550182879E-2</v>
      </c>
      <c r="Y1061" s="9">
        <v>6100</v>
      </c>
      <c r="Z1061" s="9">
        <v>4270</v>
      </c>
      <c r="AA1061" s="9">
        <v>4270</v>
      </c>
      <c r="AB1061">
        <v>0</v>
      </c>
      <c r="AC1061" s="11">
        <v>-2.3928869130313974</v>
      </c>
      <c r="AD1061" s="9">
        <v>5335.6497175141249</v>
      </c>
      <c r="AE1061" s="8">
        <v>-0.10482180293501048</v>
      </c>
    </row>
    <row r="1062" spans="1:31" x14ac:dyDescent="0.35">
      <c r="A1062" s="6" t="s">
        <v>1083</v>
      </c>
      <c r="B1062" s="7">
        <v>0</v>
      </c>
      <c r="C1062" s="7">
        <v>11</v>
      </c>
      <c r="D1062" s="7">
        <v>5</v>
      </c>
      <c r="E1062" s="7">
        <v>2</v>
      </c>
      <c r="F1062">
        <v>159</v>
      </c>
      <c r="G1062">
        <v>-9</v>
      </c>
      <c r="H1062">
        <v>-5.58</v>
      </c>
      <c r="I1062">
        <v>19</v>
      </c>
      <c r="J1062">
        <v>12.06</v>
      </c>
      <c r="K1062">
        <v>1684</v>
      </c>
      <c r="L1062">
        <v>732</v>
      </c>
      <c r="M1062">
        <v>952</v>
      </c>
      <c r="N1062">
        <v>1993.58</v>
      </c>
      <c r="O1062">
        <v>2.73</v>
      </c>
      <c r="P1062">
        <v>12.49</v>
      </c>
      <c r="Q1062">
        <v>0.35</v>
      </c>
      <c r="R1062">
        <v>1.51</v>
      </c>
      <c r="S1062">
        <v>283</v>
      </c>
      <c r="T1062">
        <v>10108</v>
      </c>
      <c r="U1062">
        <v>2345</v>
      </c>
      <c r="V1062">
        <v>-12</v>
      </c>
      <c r="W1062">
        <v>-66.87</v>
      </c>
      <c r="X1062" s="10">
        <v>0.77860193567595704</v>
      </c>
      <c r="Y1062" s="9">
        <v>2240</v>
      </c>
      <c r="Z1062" s="9">
        <v>1725</v>
      </c>
      <c r="AA1062" s="9">
        <v>2220</v>
      </c>
      <c r="AB1062">
        <v>0.96116504854368934</v>
      </c>
      <c r="AC1062" s="11">
        <v>7.9548485690469555</v>
      </c>
      <c r="AD1062" s="9">
        <v>1761.9604519774011</v>
      </c>
      <c r="AE1062" s="8">
        <v>0.28695652173913044</v>
      </c>
    </row>
    <row r="1063" spans="1:31" x14ac:dyDescent="0.35">
      <c r="A1063" s="6" t="s">
        <v>1084</v>
      </c>
      <c r="B1063" s="7">
        <v>0</v>
      </c>
      <c r="C1063" s="7">
        <v>2</v>
      </c>
      <c r="D1063" s="7">
        <v>14</v>
      </c>
      <c r="E1063" s="7">
        <v>2</v>
      </c>
      <c r="F1063">
        <v>26</v>
      </c>
      <c r="G1063">
        <v>-37</v>
      </c>
      <c r="H1063">
        <v>-143.63</v>
      </c>
      <c r="I1063">
        <v>-34</v>
      </c>
      <c r="J1063">
        <v>-133.46</v>
      </c>
      <c r="K1063">
        <v>265</v>
      </c>
      <c r="L1063">
        <v>15</v>
      </c>
      <c r="M1063">
        <v>250</v>
      </c>
      <c r="N1063">
        <v>704.3</v>
      </c>
      <c r="O1063">
        <v>-17.23</v>
      </c>
      <c r="P1063">
        <v>0</v>
      </c>
      <c r="Q1063">
        <v>6.4</v>
      </c>
      <c r="R1063">
        <v>31.17</v>
      </c>
      <c r="S1063">
        <v>-740</v>
      </c>
      <c r="T1063">
        <v>2705</v>
      </c>
      <c r="U1063">
        <v>555</v>
      </c>
      <c r="V1063">
        <v>-41</v>
      </c>
      <c r="W1063">
        <v>-26.11</v>
      </c>
      <c r="X1063" s="10">
        <v>0.36530337848694822</v>
      </c>
      <c r="Y1063" s="9">
        <v>19850</v>
      </c>
      <c r="Z1063" s="9">
        <v>12650</v>
      </c>
      <c r="AA1063" s="9">
        <v>18850</v>
      </c>
      <c r="AB1063">
        <v>0.86111111111111116</v>
      </c>
      <c r="AC1063" s="11">
        <v>54.645734926368434</v>
      </c>
      <c r="AD1063" s="9">
        <v>14979.971751412431</v>
      </c>
      <c r="AE1063" s="8">
        <v>0.33687943262411346</v>
      </c>
    </row>
    <row r="1064" spans="1:31" x14ac:dyDescent="0.35">
      <c r="A1064" s="6" t="s">
        <v>1085</v>
      </c>
      <c r="B1064" s="7">
        <v>11</v>
      </c>
      <c r="C1064" s="7">
        <v>3</v>
      </c>
      <c r="D1064" s="7">
        <v>1</v>
      </c>
      <c r="E1064" s="7">
        <v>3</v>
      </c>
      <c r="F1064">
        <v>395</v>
      </c>
      <c r="G1064">
        <v>16</v>
      </c>
      <c r="H1064">
        <v>4.0999999999999996</v>
      </c>
      <c r="I1064">
        <v>22</v>
      </c>
      <c r="J1064">
        <v>5.54</v>
      </c>
      <c r="K1064">
        <v>621</v>
      </c>
      <c r="L1064">
        <v>333</v>
      </c>
      <c r="M1064">
        <v>288</v>
      </c>
      <c r="N1064">
        <v>115.64</v>
      </c>
      <c r="O1064">
        <v>13.27</v>
      </c>
      <c r="P1064">
        <v>9.9</v>
      </c>
      <c r="Q1064">
        <v>1.9</v>
      </c>
      <c r="R1064">
        <v>0.55000000000000004</v>
      </c>
      <c r="S1064">
        <v>157</v>
      </c>
      <c r="T1064">
        <v>817</v>
      </c>
      <c r="U1064">
        <v>2808</v>
      </c>
      <c r="V1064">
        <v>22</v>
      </c>
      <c r="W1064">
        <v>20.38</v>
      </c>
      <c r="X1064" s="10">
        <v>0.59321217168585083</v>
      </c>
      <c r="Y1064" s="9">
        <v>2790</v>
      </c>
      <c r="Z1064" s="9">
        <v>1635</v>
      </c>
      <c r="AA1064" s="9">
        <v>2655</v>
      </c>
      <c r="AB1064">
        <v>0.88311688311688308</v>
      </c>
      <c r="AC1064" s="11">
        <v>13.059183106418448</v>
      </c>
      <c r="AD1064" s="9">
        <v>1957.361581920904</v>
      </c>
      <c r="AE1064" s="8">
        <v>0.62385321100917435</v>
      </c>
    </row>
    <row r="1065" spans="1:31" x14ac:dyDescent="0.35">
      <c r="A1065" s="6" t="s">
        <v>1086</v>
      </c>
      <c r="B1065" s="7">
        <v>0</v>
      </c>
      <c r="C1065" s="7">
        <v>0</v>
      </c>
      <c r="D1065" s="7">
        <v>0</v>
      </c>
      <c r="E1065" s="7">
        <v>18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 s="10">
        <v>0.64492861329035589</v>
      </c>
      <c r="Y1065" s="9">
        <v>21400</v>
      </c>
      <c r="Z1065" s="9">
        <v>8990</v>
      </c>
      <c r="AA1065" s="9">
        <v>12550</v>
      </c>
      <c r="AB1065">
        <v>0.28686543110394841</v>
      </c>
      <c r="AC1065" s="11">
        <v>125.28063350930815</v>
      </c>
      <c r="AD1065" s="9">
        <v>8120.1073446327682</v>
      </c>
      <c r="AE1065" s="8">
        <v>0.34946236559139787</v>
      </c>
    </row>
    <row r="1066" spans="1:31" x14ac:dyDescent="0.35">
      <c r="A1066" s="6" t="s">
        <v>1087</v>
      </c>
      <c r="B1066" s="7">
        <v>1</v>
      </c>
      <c r="C1066" s="7">
        <v>4</v>
      </c>
      <c r="D1066" s="7">
        <v>9</v>
      </c>
      <c r="E1066" s="7">
        <v>4</v>
      </c>
      <c r="F1066">
        <v>181</v>
      </c>
      <c r="G1066">
        <v>1</v>
      </c>
      <c r="H1066">
        <v>0.48</v>
      </c>
      <c r="I1066">
        <v>-4</v>
      </c>
      <c r="J1066">
        <v>-1.94</v>
      </c>
      <c r="K1066">
        <v>909</v>
      </c>
      <c r="L1066">
        <v>376</v>
      </c>
      <c r="M1066">
        <v>533</v>
      </c>
      <c r="N1066">
        <v>800.83</v>
      </c>
      <c r="O1066">
        <v>-0.65</v>
      </c>
      <c r="P1066">
        <v>0</v>
      </c>
      <c r="Q1066">
        <v>0.74</v>
      </c>
      <c r="R1066">
        <v>1.93</v>
      </c>
      <c r="S1066">
        <v>-30</v>
      </c>
      <c r="T1066">
        <v>3960</v>
      </c>
      <c r="U1066">
        <v>1532</v>
      </c>
      <c r="V1066">
        <v>13</v>
      </c>
      <c r="W1066">
        <v>43.73</v>
      </c>
      <c r="X1066" s="10">
        <v>0.40995556253450266</v>
      </c>
      <c r="Y1066" s="9">
        <v>3640</v>
      </c>
      <c r="Z1066" s="9">
        <v>2950</v>
      </c>
      <c r="AA1066" s="9">
        <v>3265</v>
      </c>
      <c r="AB1066">
        <v>0.45652173913043476</v>
      </c>
      <c r="AC1066" s="11">
        <v>6.9749930536260072</v>
      </c>
      <c r="AD1066" s="9">
        <v>3045.7627118644068</v>
      </c>
      <c r="AE1066" s="8">
        <v>0.10677966101694915</v>
      </c>
    </row>
    <row r="1067" spans="1:31" x14ac:dyDescent="0.35">
      <c r="A1067" s="6" t="s">
        <v>1088</v>
      </c>
      <c r="B1067" s="7">
        <v>1</v>
      </c>
      <c r="C1067" s="7">
        <v>10</v>
      </c>
      <c r="D1067" s="7">
        <v>1</v>
      </c>
      <c r="E1067" s="7">
        <v>6</v>
      </c>
      <c r="F1067">
        <v>458</v>
      </c>
      <c r="G1067">
        <v>-66</v>
      </c>
      <c r="H1067">
        <v>-14.48</v>
      </c>
      <c r="I1067">
        <v>-27</v>
      </c>
      <c r="J1067">
        <v>-5.97</v>
      </c>
      <c r="K1067">
        <v>377</v>
      </c>
      <c r="L1067">
        <v>197</v>
      </c>
      <c r="M1067">
        <v>180</v>
      </c>
      <c r="N1067">
        <v>66.25</v>
      </c>
      <c r="O1067">
        <v>-15.34</v>
      </c>
      <c r="P1067">
        <v>0</v>
      </c>
      <c r="Q1067">
        <v>5.2</v>
      </c>
      <c r="R1067">
        <v>1.32</v>
      </c>
      <c r="S1067">
        <v>-131</v>
      </c>
      <c r="T1067">
        <v>558</v>
      </c>
      <c r="U1067">
        <v>2196</v>
      </c>
      <c r="V1067">
        <v>-36</v>
      </c>
      <c r="W1067">
        <v>-19.57</v>
      </c>
      <c r="X1067" s="10">
        <v>0.5054895286778881</v>
      </c>
      <c r="Y1067" s="9">
        <v>3875</v>
      </c>
      <c r="Z1067" s="9">
        <v>2900</v>
      </c>
      <c r="AA1067" s="9">
        <v>3500</v>
      </c>
      <c r="AB1067">
        <v>0.61538461538461542</v>
      </c>
      <c r="AC1067" s="11">
        <v>8.6711586551819977</v>
      </c>
      <c r="AD1067" s="9">
        <v>3202.6129943502824</v>
      </c>
      <c r="AE1067" s="8">
        <v>0.19047619047619047</v>
      </c>
    </row>
    <row r="1068" spans="1:31" x14ac:dyDescent="0.35">
      <c r="A1068" s="6" t="s">
        <v>1089</v>
      </c>
      <c r="B1068" s="7">
        <v>5</v>
      </c>
      <c r="C1068" s="7">
        <v>5</v>
      </c>
      <c r="D1068" s="7">
        <v>0</v>
      </c>
      <c r="E1068" s="7">
        <v>8</v>
      </c>
      <c r="F1068">
        <v>175</v>
      </c>
      <c r="G1068">
        <v>-9</v>
      </c>
      <c r="H1068">
        <v>-5.07</v>
      </c>
      <c r="I1068">
        <v>-20</v>
      </c>
      <c r="J1068">
        <v>-11.38</v>
      </c>
      <c r="K1068">
        <v>547</v>
      </c>
      <c r="L1068">
        <v>274</v>
      </c>
      <c r="M1068">
        <v>273</v>
      </c>
      <c r="N1068">
        <v>-12.8</v>
      </c>
      <c r="O1068">
        <v>-9.3800000000000008</v>
      </c>
      <c r="P1068">
        <v>0</v>
      </c>
      <c r="Q1068">
        <v>2.12</v>
      </c>
      <c r="R1068">
        <v>2.39</v>
      </c>
      <c r="S1068">
        <v>-43</v>
      </c>
      <c r="T1068">
        <v>420</v>
      </c>
      <c r="U1068">
        <v>373</v>
      </c>
      <c r="V1068">
        <v>11</v>
      </c>
      <c r="W1068">
        <v>68.02</v>
      </c>
      <c r="X1068" s="10">
        <v>0.6181965524850298</v>
      </c>
      <c r="Y1068" s="9">
        <v>769</v>
      </c>
      <c r="Z1068" s="9">
        <v>473</v>
      </c>
      <c r="AA1068" s="9">
        <v>687</v>
      </c>
      <c r="AB1068">
        <v>0.72297297297297303</v>
      </c>
      <c r="AC1068" s="11">
        <v>2.5441233676021118</v>
      </c>
      <c r="AD1068" s="9">
        <v>505.72090395480234</v>
      </c>
      <c r="AE1068" s="8">
        <v>0.43125000000000002</v>
      </c>
    </row>
    <row r="1069" spans="1:31" x14ac:dyDescent="0.35">
      <c r="A1069" s="6" t="s">
        <v>1090</v>
      </c>
      <c r="B1069" s="7">
        <v>1</v>
      </c>
      <c r="C1069" s="7">
        <v>1</v>
      </c>
      <c r="D1069" s="7">
        <v>16</v>
      </c>
      <c r="E1069" s="7">
        <v>0</v>
      </c>
      <c r="F1069">
        <v>106</v>
      </c>
      <c r="G1069">
        <v>-40</v>
      </c>
      <c r="H1069">
        <v>-37.65</v>
      </c>
      <c r="I1069">
        <v>-29</v>
      </c>
      <c r="J1069">
        <v>-27.38</v>
      </c>
      <c r="K1069">
        <v>238</v>
      </c>
      <c r="L1069">
        <v>31</v>
      </c>
      <c r="M1069">
        <v>207</v>
      </c>
      <c r="N1069">
        <v>569.82000000000005</v>
      </c>
      <c r="O1069">
        <v>-13.06</v>
      </c>
      <c r="P1069">
        <v>0</v>
      </c>
      <c r="Q1069">
        <v>1</v>
      </c>
      <c r="R1069">
        <v>1.81</v>
      </c>
      <c r="S1069">
        <v>-469</v>
      </c>
      <c r="T1069">
        <v>3095</v>
      </c>
      <c r="U1069">
        <v>1713</v>
      </c>
      <c r="V1069">
        <v>-32</v>
      </c>
      <c r="W1069">
        <v>-6.03</v>
      </c>
      <c r="X1069" s="10">
        <v>0.30454217966854635</v>
      </c>
      <c r="Y1069" s="9">
        <v>4970</v>
      </c>
      <c r="Z1069" s="9">
        <v>3090</v>
      </c>
      <c r="AA1069" s="9">
        <v>4495</v>
      </c>
      <c r="AB1069">
        <v>0.74734042553191493</v>
      </c>
      <c r="AC1069" s="11">
        <v>13.114754098360656</v>
      </c>
      <c r="AD1069" s="9">
        <v>3793.5</v>
      </c>
      <c r="AE1069" s="8">
        <v>0.45469255663430419</v>
      </c>
    </row>
    <row r="1070" spans="1:31" x14ac:dyDescent="0.35">
      <c r="A1070" s="6" t="s">
        <v>1091</v>
      </c>
      <c r="B1070" s="7">
        <v>5</v>
      </c>
      <c r="C1070" s="7">
        <v>0</v>
      </c>
      <c r="D1070" s="7">
        <v>11</v>
      </c>
      <c r="E1070" s="7">
        <v>2</v>
      </c>
      <c r="F1070">
        <v>855</v>
      </c>
      <c r="G1070">
        <v>19</v>
      </c>
      <c r="H1070">
        <v>2.25</v>
      </c>
      <c r="I1070">
        <v>16</v>
      </c>
      <c r="J1070">
        <v>1.88</v>
      </c>
      <c r="K1070">
        <v>769</v>
      </c>
      <c r="L1070">
        <v>113</v>
      </c>
      <c r="M1070">
        <v>656</v>
      </c>
      <c r="N1070">
        <v>1089.4000000000001</v>
      </c>
      <c r="O1070">
        <v>2.5099999999999998</v>
      </c>
      <c r="P1070">
        <v>51.03</v>
      </c>
      <c r="Q1070">
        <v>1.27</v>
      </c>
      <c r="R1070">
        <v>0.96</v>
      </c>
      <c r="S1070">
        <v>146</v>
      </c>
      <c r="T1070">
        <v>5852</v>
      </c>
      <c r="U1070">
        <v>7780</v>
      </c>
      <c r="V1070">
        <v>44</v>
      </c>
      <c r="W1070">
        <v>18.690000000000001</v>
      </c>
      <c r="X1070" s="10">
        <v>0.88621381207956795</v>
      </c>
      <c r="Y1070" s="9">
        <v>12750</v>
      </c>
      <c r="Z1070" s="9">
        <v>7300</v>
      </c>
      <c r="AA1070" s="9">
        <v>11800</v>
      </c>
      <c r="AB1070">
        <v>0.82568807339449546</v>
      </c>
      <c r="AC1070" s="11">
        <v>86.741039177549325</v>
      </c>
      <c r="AD1070" s="9">
        <v>7748.2316384180795</v>
      </c>
      <c r="AE1070" s="8">
        <v>0.61643835616438358</v>
      </c>
    </row>
    <row r="1071" spans="1:31" x14ac:dyDescent="0.35">
      <c r="A1071" s="6" t="s">
        <v>1092</v>
      </c>
      <c r="B1071" s="7">
        <v>6</v>
      </c>
      <c r="C1071" s="7">
        <v>11</v>
      </c>
      <c r="D1071" s="7">
        <v>1</v>
      </c>
      <c r="E1071" s="7">
        <v>0</v>
      </c>
      <c r="F1071">
        <v>36</v>
      </c>
      <c r="G1071">
        <v>0</v>
      </c>
      <c r="H1071">
        <v>1.34</v>
      </c>
      <c r="I1071">
        <v>56</v>
      </c>
      <c r="J1071">
        <v>154.77000000000001</v>
      </c>
      <c r="K1071">
        <v>1236</v>
      </c>
      <c r="L1071">
        <v>15</v>
      </c>
      <c r="M1071">
        <v>1221</v>
      </c>
      <c r="N1071">
        <v>858.48</v>
      </c>
      <c r="O1071">
        <v>4.66</v>
      </c>
      <c r="P1071">
        <v>20.27</v>
      </c>
      <c r="Q1071">
        <v>1</v>
      </c>
      <c r="R1071">
        <v>31.41</v>
      </c>
      <c r="S1071">
        <v>220</v>
      </c>
      <c r="T1071">
        <v>4463</v>
      </c>
      <c r="U1071">
        <v>142</v>
      </c>
      <c r="V1071">
        <v>6</v>
      </c>
      <c r="W1071">
        <v>212.95</v>
      </c>
      <c r="X1071" s="10">
        <v>4.9843246354682651E-4</v>
      </c>
      <c r="Y1071" s="9">
        <v>5370</v>
      </c>
      <c r="Z1071" s="9">
        <v>4260</v>
      </c>
      <c r="AA1071" s="9">
        <v>4735</v>
      </c>
      <c r="AB1071">
        <v>0.42792792792792794</v>
      </c>
      <c r="AC1071" s="11">
        <v>0.2647957766046124</v>
      </c>
      <c r="AD1071" s="9">
        <v>4657.9237288135591</v>
      </c>
      <c r="AE1071" s="8">
        <v>5.4565701559020047E-2</v>
      </c>
    </row>
    <row r="1072" spans="1:31" x14ac:dyDescent="0.35">
      <c r="A1072" s="6" t="s">
        <v>1093</v>
      </c>
      <c r="B1072" s="7">
        <v>4</v>
      </c>
      <c r="C1072" s="7">
        <v>0</v>
      </c>
      <c r="D1072" s="7">
        <v>4</v>
      </c>
      <c r="E1072" s="7">
        <v>10</v>
      </c>
      <c r="F1072">
        <v>4679</v>
      </c>
      <c r="G1072">
        <v>597</v>
      </c>
      <c r="H1072">
        <v>12.76</v>
      </c>
      <c r="I1072">
        <v>414</v>
      </c>
      <c r="J1072">
        <v>8.84</v>
      </c>
      <c r="K1072">
        <v>4943</v>
      </c>
      <c r="L1072">
        <v>764</v>
      </c>
      <c r="M1072">
        <v>4178</v>
      </c>
      <c r="N1072">
        <v>5055.3599999999997</v>
      </c>
      <c r="O1072">
        <v>10.38</v>
      </c>
      <c r="P1072">
        <v>12.52</v>
      </c>
      <c r="Q1072">
        <v>1.28</v>
      </c>
      <c r="R1072">
        <v>1.1100000000000001</v>
      </c>
      <c r="S1072">
        <v>2567</v>
      </c>
      <c r="T1072">
        <v>25176</v>
      </c>
      <c r="U1072">
        <v>29030</v>
      </c>
      <c r="V1072">
        <v>883</v>
      </c>
      <c r="W1072">
        <v>5.99</v>
      </c>
      <c r="X1072" s="10">
        <v>0.85531932715101677</v>
      </c>
      <c r="Y1072" s="9">
        <v>43600</v>
      </c>
      <c r="Z1072" s="9">
        <v>31100</v>
      </c>
      <c r="AA1072" s="9">
        <v>43600</v>
      </c>
      <c r="AB1072">
        <v>1</v>
      </c>
      <c r="AC1072" s="11">
        <v>180.26535148652405</v>
      </c>
      <c r="AD1072" s="9">
        <v>32042.740112994354</v>
      </c>
      <c r="AE1072" s="8">
        <v>0.33129770992366414</v>
      </c>
    </row>
    <row r="1073" spans="1:31" x14ac:dyDescent="0.35">
      <c r="A1073" s="6" t="s">
        <v>1094</v>
      </c>
      <c r="B1073" s="7">
        <v>3</v>
      </c>
      <c r="C1073" s="7">
        <v>3</v>
      </c>
      <c r="D1073" s="7">
        <v>8</v>
      </c>
      <c r="E1073" s="7">
        <v>4</v>
      </c>
      <c r="F1073">
        <v>543</v>
      </c>
      <c r="G1073">
        <v>-3</v>
      </c>
      <c r="H1073">
        <v>-0.5</v>
      </c>
      <c r="I1073">
        <v>-27</v>
      </c>
      <c r="J1073">
        <v>-4.95</v>
      </c>
      <c r="K1073">
        <v>886</v>
      </c>
      <c r="L1073">
        <v>505</v>
      </c>
      <c r="M1073">
        <v>380</v>
      </c>
      <c r="N1073">
        <v>108.91</v>
      </c>
      <c r="O1073">
        <v>-6.83</v>
      </c>
      <c r="P1073">
        <v>0</v>
      </c>
      <c r="Q1073">
        <v>1.07</v>
      </c>
      <c r="R1073">
        <v>0.74</v>
      </c>
      <c r="S1073">
        <v>-74</v>
      </c>
      <c r="T1073">
        <v>1033</v>
      </c>
      <c r="U1073">
        <v>1491</v>
      </c>
      <c r="V1073">
        <v>5</v>
      </c>
      <c r="W1073">
        <v>142.96</v>
      </c>
      <c r="X1073" s="10">
        <v>0.22037429515812523</v>
      </c>
      <c r="Y1073" s="9">
        <v>1455</v>
      </c>
      <c r="Z1073" s="9">
        <v>1085</v>
      </c>
      <c r="AA1073" s="9">
        <v>1175</v>
      </c>
      <c r="AB1073">
        <v>0.24324324324324326</v>
      </c>
      <c r="AC1073" s="11">
        <v>2.904556821339261</v>
      </c>
      <c r="AD1073" s="9">
        <v>1130.6610169491526</v>
      </c>
      <c r="AE1073" s="8">
        <v>8.294930875576037E-2</v>
      </c>
    </row>
    <row r="1074" spans="1:31" x14ac:dyDescent="0.35">
      <c r="A1074" s="6" t="s">
        <v>1095</v>
      </c>
      <c r="B1074" s="7">
        <v>1</v>
      </c>
      <c r="C1074" s="7">
        <v>0</v>
      </c>
      <c r="D1074" s="7">
        <v>4</v>
      </c>
      <c r="E1074" s="7">
        <v>13</v>
      </c>
      <c r="F1074">
        <v>5697</v>
      </c>
      <c r="G1074">
        <v>130</v>
      </c>
      <c r="H1074">
        <v>2.27</v>
      </c>
      <c r="I1074">
        <v>-47</v>
      </c>
      <c r="J1074">
        <v>-0.83</v>
      </c>
      <c r="K1074">
        <v>8108</v>
      </c>
      <c r="L1074">
        <v>5178</v>
      </c>
      <c r="M1074">
        <v>2930</v>
      </c>
      <c r="N1074">
        <v>2341.6799999999998</v>
      </c>
      <c r="O1074">
        <v>-1.58</v>
      </c>
      <c r="P1074">
        <v>0</v>
      </c>
      <c r="Q1074">
        <v>0.67</v>
      </c>
      <c r="R1074">
        <v>0.34</v>
      </c>
      <c r="S1074">
        <v>-197</v>
      </c>
      <c r="T1074">
        <v>12085</v>
      </c>
      <c r="U1074">
        <v>23738</v>
      </c>
      <c r="V1074">
        <v>381</v>
      </c>
      <c r="W1074">
        <v>15.48</v>
      </c>
      <c r="X1074" s="10">
        <v>0.34887782644871729</v>
      </c>
      <c r="Y1074" s="9">
        <v>10050</v>
      </c>
      <c r="Z1074" s="9">
        <v>7980</v>
      </c>
      <c r="AA1074" s="9">
        <v>10000</v>
      </c>
      <c r="AB1074">
        <v>0.97584541062801933</v>
      </c>
      <c r="AC1074" s="11">
        <v>17.380661294804113</v>
      </c>
      <c r="AD1074" s="9">
        <v>8343.3898305084749</v>
      </c>
      <c r="AE1074" s="8">
        <v>0.21506682867557717</v>
      </c>
    </row>
    <row r="1075" spans="1:31" x14ac:dyDescent="0.35">
      <c r="A1075" s="6" t="s">
        <v>1096</v>
      </c>
      <c r="B1075" s="7">
        <v>4</v>
      </c>
      <c r="C1075" s="7">
        <v>7</v>
      </c>
      <c r="D1075" s="7">
        <v>2</v>
      </c>
      <c r="E1075" s="7">
        <v>5</v>
      </c>
      <c r="F1075">
        <v>1048</v>
      </c>
      <c r="G1075">
        <v>69</v>
      </c>
      <c r="H1075">
        <v>6.63</v>
      </c>
      <c r="I1075">
        <v>47</v>
      </c>
      <c r="J1075">
        <v>4.51</v>
      </c>
      <c r="K1075">
        <v>1216</v>
      </c>
      <c r="L1075">
        <v>354</v>
      </c>
      <c r="M1075">
        <v>862</v>
      </c>
      <c r="N1075">
        <v>241.88</v>
      </c>
      <c r="O1075">
        <v>5.64</v>
      </c>
      <c r="P1075">
        <v>16.12</v>
      </c>
      <c r="Q1075">
        <v>0.93</v>
      </c>
      <c r="R1075">
        <v>0.73</v>
      </c>
      <c r="S1075">
        <v>94</v>
      </c>
      <c r="T1075">
        <v>1621</v>
      </c>
      <c r="U1075">
        <v>2078</v>
      </c>
      <c r="V1075">
        <v>86</v>
      </c>
      <c r="W1075">
        <v>11.2</v>
      </c>
      <c r="X1075" s="10">
        <v>0.18707504629097368</v>
      </c>
      <c r="Y1075" s="9">
        <v>1615</v>
      </c>
      <c r="Z1075" s="9">
        <v>1450</v>
      </c>
      <c r="AA1075" s="9">
        <v>1585</v>
      </c>
      <c r="AB1075">
        <v>0.81818181818181823</v>
      </c>
      <c r="AC1075" s="11">
        <v>1.0386218393998332</v>
      </c>
      <c r="AD1075" s="9">
        <v>1491.8220338983051</v>
      </c>
      <c r="AE1075" s="8">
        <v>4.9668874172185427E-2</v>
      </c>
    </row>
    <row r="1076" spans="1:31" x14ac:dyDescent="0.35">
      <c r="A1076" s="6" t="s">
        <v>1097</v>
      </c>
      <c r="B1076" s="7">
        <v>11</v>
      </c>
      <c r="C1076" s="7">
        <v>3</v>
      </c>
      <c r="D1076" s="7">
        <v>3</v>
      </c>
      <c r="E1076" s="7">
        <v>1</v>
      </c>
      <c r="F1076">
        <v>327</v>
      </c>
      <c r="G1076">
        <v>31</v>
      </c>
      <c r="H1076">
        <v>9.33</v>
      </c>
      <c r="I1076">
        <v>24</v>
      </c>
      <c r="J1076">
        <v>7.28</v>
      </c>
      <c r="K1076">
        <v>466</v>
      </c>
      <c r="L1076">
        <v>211</v>
      </c>
      <c r="M1076">
        <v>255</v>
      </c>
      <c r="N1076">
        <v>549.47</v>
      </c>
      <c r="O1076">
        <v>9.57</v>
      </c>
      <c r="P1076">
        <v>11.79</v>
      </c>
      <c r="Q1076">
        <v>1.1399999999999999</v>
      </c>
      <c r="R1076">
        <v>0.86</v>
      </c>
      <c r="S1076">
        <v>301</v>
      </c>
      <c r="T1076">
        <v>3106</v>
      </c>
      <c r="U1076">
        <v>4140</v>
      </c>
      <c r="V1076">
        <v>35</v>
      </c>
      <c r="W1076">
        <v>12.48</v>
      </c>
      <c r="X1076" s="10">
        <v>0.24373220416936001</v>
      </c>
      <c r="Y1076" s="9">
        <v>4015</v>
      </c>
      <c r="Z1076" s="9">
        <v>3325</v>
      </c>
      <c r="AA1076" s="9">
        <v>3400</v>
      </c>
      <c r="AB1076">
        <v>0.10869565217391304</v>
      </c>
      <c r="AC1076" s="11">
        <v>4.2807724367879976</v>
      </c>
      <c r="AD1076" s="9">
        <v>3438.3531073446325</v>
      </c>
      <c r="AE1076" s="8">
        <v>-4.360056258790436E-2</v>
      </c>
    </row>
    <row r="1077" spans="1:31" x14ac:dyDescent="0.35">
      <c r="A1077" s="6" t="s">
        <v>1098</v>
      </c>
      <c r="B1077" s="7">
        <v>9</v>
      </c>
      <c r="C1077" s="7">
        <v>3</v>
      </c>
      <c r="D1077" s="7">
        <v>0</v>
      </c>
      <c r="E1077" s="7">
        <v>6</v>
      </c>
      <c r="F1077">
        <v>2292</v>
      </c>
      <c r="G1077">
        <v>133</v>
      </c>
      <c r="H1077">
        <v>5.8</v>
      </c>
      <c r="I1077">
        <v>106</v>
      </c>
      <c r="J1077">
        <v>4.6399999999999997</v>
      </c>
      <c r="K1077">
        <v>2898</v>
      </c>
      <c r="L1077">
        <v>637</v>
      </c>
      <c r="M1077">
        <v>2261</v>
      </c>
      <c r="N1077">
        <v>1030.42</v>
      </c>
      <c r="O1077">
        <v>4.79</v>
      </c>
      <c r="P1077">
        <v>8.84</v>
      </c>
      <c r="Q1077">
        <v>0.42</v>
      </c>
      <c r="R1077">
        <v>0.41</v>
      </c>
      <c r="S1077">
        <v>2657</v>
      </c>
      <c r="T1077">
        <v>56352</v>
      </c>
      <c r="U1077">
        <v>57304</v>
      </c>
      <c r="V1077">
        <v>223</v>
      </c>
      <c r="W1077">
        <v>5.23</v>
      </c>
      <c r="X1077" s="10">
        <v>0.54235515654336497</v>
      </c>
      <c r="Y1077" s="9">
        <v>24900</v>
      </c>
      <c r="Z1077" s="9">
        <v>21850</v>
      </c>
      <c r="AA1077" s="9">
        <v>24900</v>
      </c>
      <c r="AB1077">
        <v>1</v>
      </c>
      <c r="AC1077" s="11">
        <v>32.825784940261187</v>
      </c>
      <c r="AD1077" s="9">
        <v>22127.146892655364</v>
      </c>
      <c r="AE1077" s="8">
        <v>3.7499999999999999E-2</v>
      </c>
    </row>
    <row r="1078" spans="1:31" x14ac:dyDescent="0.35">
      <c r="A1078" s="6" t="s">
        <v>1099</v>
      </c>
      <c r="B1078" s="7">
        <v>7</v>
      </c>
      <c r="C1078" s="7">
        <v>4</v>
      </c>
      <c r="D1078" s="7">
        <v>2</v>
      </c>
      <c r="E1078" s="7">
        <v>5</v>
      </c>
      <c r="F1078">
        <v>238</v>
      </c>
      <c r="G1078">
        <v>-44</v>
      </c>
      <c r="H1078">
        <v>-18.670000000000002</v>
      </c>
      <c r="I1078">
        <v>-39</v>
      </c>
      <c r="J1078">
        <v>-16.190000000000001</v>
      </c>
      <c r="K1078">
        <v>832</v>
      </c>
      <c r="L1078">
        <v>188</v>
      </c>
      <c r="M1078">
        <v>644</v>
      </c>
      <c r="N1078">
        <v>-16.77</v>
      </c>
      <c r="O1078">
        <v>-6.28</v>
      </c>
      <c r="P1078">
        <v>0</v>
      </c>
      <c r="Q1078">
        <v>1.03</v>
      </c>
      <c r="R1078">
        <v>2.4300000000000002</v>
      </c>
      <c r="S1078">
        <v>-27</v>
      </c>
      <c r="T1078">
        <v>397</v>
      </c>
      <c r="U1078">
        <v>169</v>
      </c>
      <c r="V1078">
        <v>-34</v>
      </c>
      <c r="W1078">
        <v>-18.82</v>
      </c>
      <c r="X1078" s="10">
        <v>0.44069929952223008</v>
      </c>
      <c r="Y1078" s="9">
        <v>790</v>
      </c>
      <c r="Z1078" s="9">
        <v>403</v>
      </c>
      <c r="AA1078" s="9">
        <v>661</v>
      </c>
      <c r="AB1078">
        <v>0.66666666666666663</v>
      </c>
      <c r="AC1078" s="11">
        <v>3.5928869130313981</v>
      </c>
      <c r="AD1078" s="9">
        <v>456.25028248587574</v>
      </c>
      <c r="AE1078" s="8">
        <v>0.64019851116625315</v>
      </c>
    </row>
    <row r="1079" spans="1:31" x14ac:dyDescent="0.35">
      <c r="A1079" s="6" t="s">
        <v>1100</v>
      </c>
      <c r="B1079" s="7">
        <v>9</v>
      </c>
      <c r="C1079" s="7">
        <v>4</v>
      </c>
      <c r="D1079" s="7">
        <v>2</v>
      </c>
      <c r="E1079" s="7">
        <v>3</v>
      </c>
      <c r="F1079">
        <v>507</v>
      </c>
      <c r="G1079">
        <v>142</v>
      </c>
      <c r="H1079">
        <v>28.02</v>
      </c>
      <c r="I1079">
        <v>133</v>
      </c>
      <c r="J1079">
        <v>26.32</v>
      </c>
      <c r="K1079">
        <v>1487</v>
      </c>
      <c r="L1079">
        <v>78</v>
      </c>
      <c r="M1079">
        <v>1409</v>
      </c>
      <c r="N1079">
        <v>1883.79</v>
      </c>
      <c r="O1079">
        <v>13.27</v>
      </c>
      <c r="P1079">
        <v>23.27</v>
      </c>
      <c r="Q1079">
        <v>3.29</v>
      </c>
      <c r="R1079">
        <v>6.12</v>
      </c>
      <c r="S1079">
        <v>1257</v>
      </c>
      <c r="T1079">
        <v>8883</v>
      </c>
      <c r="U1079">
        <v>4777</v>
      </c>
      <c r="V1079">
        <v>226</v>
      </c>
      <c r="W1079">
        <v>19.09</v>
      </c>
      <c r="X1079" s="10">
        <v>0.2873060538778594</v>
      </c>
      <c r="Y1079" s="9">
        <v>27950</v>
      </c>
      <c r="Z1079" s="9">
        <v>23400</v>
      </c>
      <c r="AA1079" s="9">
        <v>27900</v>
      </c>
      <c r="AB1079">
        <v>0.98901098901098905</v>
      </c>
      <c r="AC1079" s="11">
        <v>-36.776882467352053</v>
      </c>
      <c r="AD1079" s="9">
        <v>27018.361581920904</v>
      </c>
      <c r="AE1079" s="8">
        <v>7.3076923076923081E-2</v>
      </c>
    </row>
    <row r="1080" spans="1:31" x14ac:dyDescent="0.35">
      <c r="A1080" s="6" t="s">
        <v>1101</v>
      </c>
      <c r="B1080" s="7">
        <v>6</v>
      </c>
      <c r="C1080" s="7">
        <v>1</v>
      </c>
      <c r="D1080" s="7">
        <v>3</v>
      </c>
      <c r="E1080" s="7">
        <v>8</v>
      </c>
      <c r="F1080">
        <v>324</v>
      </c>
      <c r="G1080">
        <v>110</v>
      </c>
      <c r="H1080">
        <v>33.979999999999997</v>
      </c>
      <c r="I1080">
        <v>88</v>
      </c>
      <c r="J1080">
        <v>27.15</v>
      </c>
      <c r="K1080">
        <v>485</v>
      </c>
      <c r="L1080">
        <v>51</v>
      </c>
      <c r="M1080">
        <v>435</v>
      </c>
      <c r="N1080">
        <v>1907.21</v>
      </c>
      <c r="O1080">
        <v>43.89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 s="10">
        <v>0.72231382293780788</v>
      </c>
      <c r="Y1080" s="9">
        <v>138500</v>
      </c>
      <c r="Z1080" s="9">
        <v>73300</v>
      </c>
      <c r="AA1080" s="9">
        <v>118000</v>
      </c>
      <c r="AB1080">
        <v>0.68558282208588961</v>
      </c>
      <c r="AC1080" s="11">
        <v>843.07863295359823</v>
      </c>
      <c r="AD1080" s="9">
        <v>83392.768361581926</v>
      </c>
      <c r="AE1080" s="8">
        <v>0.57543391188251003</v>
      </c>
    </row>
    <row r="1081" spans="1:31" x14ac:dyDescent="0.35">
      <c r="A1081" s="6" t="s">
        <v>1102</v>
      </c>
      <c r="B1081" s="7">
        <v>5</v>
      </c>
      <c r="C1081" s="7">
        <v>0</v>
      </c>
      <c r="D1081" s="7">
        <v>7</v>
      </c>
      <c r="E1081" s="7">
        <v>6</v>
      </c>
      <c r="F1081">
        <v>853</v>
      </c>
      <c r="G1081">
        <v>4</v>
      </c>
      <c r="H1081">
        <v>0.44</v>
      </c>
      <c r="I1081">
        <v>-16</v>
      </c>
      <c r="J1081">
        <v>-1.83</v>
      </c>
      <c r="K1081">
        <v>1857</v>
      </c>
      <c r="L1081">
        <v>1082</v>
      </c>
      <c r="M1081">
        <v>775</v>
      </c>
      <c r="N1081">
        <v>771.07</v>
      </c>
      <c r="O1081">
        <v>-3.01</v>
      </c>
      <c r="P1081">
        <v>0</v>
      </c>
      <c r="Q1081">
        <v>1.56</v>
      </c>
      <c r="R1081">
        <v>0.76</v>
      </c>
      <c r="S1081">
        <v>-143</v>
      </c>
      <c r="T1081">
        <v>2889</v>
      </c>
      <c r="U1081">
        <v>5939</v>
      </c>
      <c r="V1081">
        <v>35</v>
      </c>
      <c r="W1081">
        <v>46.84</v>
      </c>
      <c r="X1081" s="10">
        <v>0.27999394806027877</v>
      </c>
      <c r="Y1081" s="9">
        <v>5530</v>
      </c>
      <c r="Z1081" s="9">
        <v>4230</v>
      </c>
      <c r="AA1081" s="9">
        <v>4660</v>
      </c>
      <c r="AB1081">
        <v>0.33076923076923076</v>
      </c>
      <c r="AC1081" s="11">
        <v>-8.4405390386218393</v>
      </c>
      <c r="AD1081" s="9">
        <v>5012.8531073446329</v>
      </c>
      <c r="AE1081" s="8">
        <v>-6.3316582914572858E-2</v>
      </c>
    </row>
    <row r="1082" spans="1:31" x14ac:dyDescent="0.35">
      <c r="A1082" s="6" t="s">
        <v>1103</v>
      </c>
      <c r="B1082" s="7">
        <v>6</v>
      </c>
      <c r="C1082" s="7">
        <v>0</v>
      </c>
      <c r="D1082" s="7">
        <v>7</v>
      </c>
      <c r="E1082" s="7">
        <v>5</v>
      </c>
      <c r="F1082">
        <v>6228</v>
      </c>
      <c r="G1082">
        <v>779</v>
      </c>
      <c r="H1082">
        <v>12.51</v>
      </c>
      <c r="I1082">
        <v>556</v>
      </c>
      <c r="J1082">
        <v>8.92</v>
      </c>
      <c r="K1082">
        <v>6702</v>
      </c>
      <c r="L1082">
        <v>2346</v>
      </c>
      <c r="M1082">
        <v>4356</v>
      </c>
      <c r="N1082">
        <v>270.62</v>
      </c>
      <c r="O1082">
        <v>13.18</v>
      </c>
      <c r="P1082">
        <v>15.71</v>
      </c>
      <c r="Q1082">
        <v>2.21</v>
      </c>
      <c r="R1082">
        <v>1.4</v>
      </c>
      <c r="S1082">
        <v>1168</v>
      </c>
      <c r="T1082">
        <v>8289</v>
      </c>
      <c r="U1082">
        <v>13094</v>
      </c>
      <c r="V1082">
        <v>1490</v>
      </c>
      <c r="W1082">
        <v>5.89</v>
      </c>
      <c r="X1082" s="10">
        <v>0.36164307528079498</v>
      </c>
      <c r="Y1082" s="9">
        <v>18650</v>
      </c>
      <c r="Z1082" s="9">
        <v>15150</v>
      </c>
      <c r="AA1082" s="9">
        <v>16400</v>
      </c>
      <c r="AB1082">
        <v>0.35714285714285715</v>
      </c>
      <c r="AC1082" s="11">
        <v>-22.910530702973048</v>
      </c>
      <c r="AD1082" s="9">
        <v>17211.271186440677</v>
      </c>
      <c r="AE1082" s="8">
        <v>-0.12064343163538874</v>
      </c>
    </row>
    <row r="1083" spans="1:31" x14ac:dyDescent="0.35">
      <c r="A1083" s="6" t="s">
        <v>1104</v>
      </c>
      <c r="B1083" s="7">
        <v>3</v>
      </c>
      <c r="C1083" s="7">
        <v>0</v>
      </c>
      <c r="D1083" s="7">
        <v>9</v>
      </c>
      <c r="E1083" s="7">
        <v>6</v>
      </c>
      <c r="F1083">
        <v>878</v>
      </c>
      <c r="G1083">
        <v>70</v>
      </c>
      <c r="H1083">
        <v>7.99</v>
      </c>
      <c r="I1083">
        <v>11</v>
      </c>
      <c r="J1083">
        <v>1.3</v>
      </c>
      <c r="K1083">
        <v>1545</v>
      </c>
      <c r="L1083">
        <v>746</v>
      </c>
      <c r="M1083">
        <v>799</v>
      </c>
      <c r="N1083">
        <v>2758.26</v>
      </c>
      <c r="O1083">
        <v>1.44</v>
      </c>
      <c r="P1083">
        <v>28.12</v>
      </c>
      <c r="Q1083">
        <v>0.41</v>
      </c>
      <c r="R1083">
        <v>0.36</v>
      </c>
      <c r="S1083">
        <v>207</v>
      </c>
      <c r="T1083">
        <v>14098</v>
      </c>
      <c r="U1083">
        <v>15956</v>
      </c>
      <c r="V1083">
        <v>95</v>
      </c>
      <c r="W1083">
        <v>10.220000000000001</v>
      </c>
      <c r="X1083" s="10">
        <v>0.3748522670468114</v>
      </c>
      <c r="Y1083" s="9">
        <v>10700</v>
      </c>
      <c r="Z1083" s="9">
        <v>4960</v>
      </c>
      <c r="AA1083" s="9">
        <v>7420</v>
      </c>
      <c r="AB1083">
        <v>0.42857142857142855</v>
      </c>
      <c r="AC1083" s="11">
        <v>49.390664073353705</v>
      </c>
      <c r="AD1083" s="9">
        <v>4916.4180790960454</v>
      </c>
      <c r="AE1083" s="8">
        <v>0.24915824915824916</v>
      </c>
    </row>
    <row r="1084" spans="1:31" x14ac:dyDescent="0.35">
      <c r="A1084" s="6" t="s">
        <v>1105</v>
      </c>
      <c r="B1084" s="7">
        <v>8</v>
      </c>
      <c r="C1084" s="7">
        <v>5</v>
      </c>
      <c r="D1084" s="7">
        <v>4</v>
      </c>
      <c r="E1084" s="7">
        <v>1</v>
      </c>
      <c r="F1084">
        <v>1349</v>
      </c>
      <c r="G1084">
        <v>25</v>
      </c>
      <c r="H1084">
        <v>1.83</v>
      </c>
      <c r="I1084">
        <v>2</v>
      </c>
      <c r="J1084">
        <v>0.16</v>
      </c>
      <c r="K1084">
        <v>1415</v>
      </c>
      <c r="L1084">
        <v>907</v>
      </c>
      <c r="M1084">
        <v>508</v>
      </c>
      <c r="N1084">
        <v>56.04</v>
      </c>
      <c r="O1084">
        <v>0.61</v>
      </c>
      <c r="P1084">
        <v>276.25</v>
      </c>
      <c r="Q1084">
        <v>1.51</v>
      </c>
      <c r="R1084">
        <v>0.4</v>
      </c>
      <c r="S1084">
        <v>4</v>
      </c>
      <c r="T1084">
        <v>734</v>
      </c>
      <c r="U1084">
        <v>2784</v>
      </c>
      <c r="V1084">
        <v>52</v>
      </c>
      <c r="W1084">
        <v>25.86</v>
      </c>
      <c r="X1084" s="10">
        <v>0.82336881501419512</v>
      </c>
      <c r="Y1084" s="9">
        <v>500</v>
      </c>
      <c r="Z1084" s="9">
        <v>176</v>
      </c>
      <c r="AA1084" s="9">
        <v>190</v>
      </c>
      <c r="AB1084">
        <v>4.3209876543209874E-2</v>
      </c>
      <c r="AC1084" s="11">
        <v>-4.5638510697415953</v>
      </c>
      <c r="AD1084" s="9">
        <v>446.38079096045203</v>
      </c>
      <c r="AE1084" s="8">
        <v>-0.62</v>
      </c>
    </row>
    <row r="1085" spans="1:31" x14ac:dyDescent="0.35">
      <c r="A1085" s="6" t="s">
        <v>1106</v>
      </c>
      <c r="B1085" s="7">
        <v>0</v>
      </c>
      <c r="C1085" s="7">
        <v>3</v>
      </c>
      <c r="D1085" s="7">
        <v>1</v>
      </c>
      <c r="E1085" s="7">
        <v>14</v>
      </c>
      <c r="F1085">
        <v>1720</v>
      </c>
      <c r="G1085">
        <v>-189</v>
      </c>
      <c r="H1085">
        <v>-11.01</v>
      </c>
      <c r="I1085">
        <v>-216</v>
      </c>
      <c r="J1085">
        <v>-12.58</v>
      </c>
      <c r="K1085">
        <v>2647</v>
      </c>
      <c r="L1085">
        <v>1694</v>
      </c>
      <c r="M1085">
        <v>953</v>
      </c>
      <c r="N1085">
        <v>1245.23</v>
      </c>
      <c r="O1085">
        <v>-21.29</v>
      </c>
      <c r="P1085">
        <v>0</v>
      </c>
      <c r="Q1085">
        <v>0.73</v>
      </c>
      <c r="R1085">
        <v>0.38</v>
      </c>
      <c r="S1085">
        <v>-1528</v>
      </c>
      <c r="T1085">
        <v>6283</v>
      </c>
      <c r="U1085">
        <v>12151</v>
      </c>
      <c r="V1085">
        <v>-115</v>
      </c>
      <c r="W1085">
        <v>-17.71</v>
      </c>
      <c r="X1085" s="10">
        <v>0.13766896130314227</v>
      </c>
      <c r="Y1085" s="9">
        <v>5070</v>
      </c>
      <c r="Z1085" s="9">
        <v>3750</v>
      </c>
      <c r="AA1085" s="9">
        <v>3960</v>
      </c>
      <c r="AB1085">
        <v>0.15909090909090909</v>
      </c>
      <c r="AC1085" s="11">
        <v>-8.4602667407613232</v>
      </c>
      <c r="AD1085" s="9">
        <v>4667.6214689265535</v>
      </c>
      <c r="AE1085" s="8">
        <v>-0.14378378378378379</v>
      </c>
    </row>
    <row r="1086" spans="1:31" x14ac:dyDescent="0.35">
      <c r="A1086" s="6" t="s">
        <v>1107</v>
      </c>
      <c r="B1086" s="7">
        <v>7</v>
      </c>
      <c r="C1086" s="7">
        <v>4</v>
      </c>
      <c r="D1086" s="7">
        <v>5</v>
      </c>
      <c r="E1086" s="7">
        <v>2</v>
      </c>
      <c r="F1086">
        <v>686</v>
      </c>
      <c r="G1086">
        <v>69</v>
      </c>
      <c r="H1086">
        <v>10.06</v>
      </c>
      <c r="I1086">
        <v>42</v>
      </c>
      <c r="J1086">
        <v>6.18</v>
      </c>
      <c r="K1086">
        <v>1267</v>
      </c>
      <c r="L1086">
        <v>702</v>
      </c>
      <c r="M1086">
        <v>565</v>
      </c>
      <c r="N1086">
        <v>770.71</v>
      </c>
      <c r="O1086">
        <v>8.66</v>
      </c>
      <c r="P1086">
        <v>12.97</v>
      </c>
      <c r="Q1086">
        <v>0.98</v>
      </c>
      <c r="R1086">
        <v>0.8</v>
      </c>
      <c r="S1086">
        <v>327</v>
      </c>
      <c r="T1086">
        <v>4325</v>
      </c>
      <c r="U1086">
        <v>5288</v>
      </c>
      <c r="V1086">
        <v>71</v>
      </c>
      <c r="W1086">
        <v>12.75</v>
      </c>
      <c r="X1086" s="10">
        <v>0.46872826320942096</v>
      </c>
      <c r="Y1086" s="9">
        <v>5170</v>
      </c>
      <c r="Z1086" s="9">
        <v>4100</v>
      </c>
      <c r="AA1086" s="9">
        <v>4740</v>
      </c>
      <c r="AB1086">
        <v>0.59813084112149528</v>
      </c>
      <c r="AC1086" s="11">
        <v>8.9711030841900534</v>
      </c>
      <c r="AD1086" s="9">
        <v>4411.7146892655364</v>
      </c>
      <c r="AE1086" s="8">
        <v>0.15609756097560976</v>
      </c>
    </row>
    <row r="1087" spans="1:31" x14ac:dyDescent="0.35">
      <c r="A1087" s="6" t="s">
        <v>1108</v>
      </c>
      <c r="B1087" s="7">
        <v>2</v>
      </c>
      <c r="C1087" s="7">
        <v>2</v>
      </c>
      <c r="D1087" s="7">
        <v>12</v>
      </c>
      <c r="E1087" s="7">
        <v>2</v>
      </c>
      <c r="F1087">
        <v>122</v>
      </c>
      <c r="G1087">
        <v>-23</v>
      </c>
      <c r="H1087">
        <v>-18.82</v>
      </c>
      <c r="I1087">
        <v>-26</v>
      </c>
      <c r="J1087">
        <v>-21.53</v>
      </c>
      <c r="K1087">
        <v>218</v>
      </c>
      <c r="L1087">
        <v>106</v>
      </c>
      <c r="M1087">
        <v>112</v>
      </c>
      <c r="N1087">
        <v>42.61</v>
      </c>
      <c r="O1087">
        <v>-36.97</v>
      </c>
      <c r="P1087">
        <v>0</v>
      </c>
      <c r="Q1087">
        <v>1.32</v>
      </c>
      <c r="R1087">
        <v>0.67</v>
      </c>
      <c r="S1087">
        <v>-301</v>
      </c>
      <c r="T1087">
        <v>707</v>
      </c>
      <c r="U1087">
        <v>1400</v>
      </c>
      <c r="V1087">
        <v>-28</v>
      </c>
      <c r="W1087">
        <v>-5.5</v>
      </c>
      <c r="X1087" s="10">
        <v>2.0833580419377565E-6</v>
      </c>
      <c r="Y1087" s="9">
        <v>1145</v>
      </c>
      <c r="Z1087" s="9">
        <v>813</v>
      </c>
      <c r="AA1087" s="9">
        <v>955</v>
      </c>
      <c r="AB1087">
        <v>0.42771084337349397</v>
      </c>
      <c r="AC1087" s="11">
        <v>-6.196165601555944E-3</v>
      </c>
      <c r="AD1087" s="9">
        <v>933.23898305084742</v>
      </c>
      <c r="AE1087" s="8">
        <v>2.577873254564984E-2</v>
      </c>
    </row>
    <row r="1088" spans="1:31" x14ac:dyDescent="0.35">
      <c r="A1088" s="6" t="s">
        <v>1109</v>
      </c>
      <c r="B1088" s="7">
        <v>14</v>
      </c>
      <c r="C1088" s="7">
        <v>1</v>
      </c>
      <c r="D1088" s="7">
        <v>1</v>
      </c>
      <c r="E1088" s="7">
        <v>2</v>
      </c>
      <c r="F1088">
        <v>1295</v>
      </c>
      <c r="G1088">
        <v>84</v>
      </c>
      <c r="H1088">
        <v>6.48</v>
      </c>
      <c r="I1088">
        <v>82</v>
      </c>
      <c r="J1088">
        <v>6.37</v>
      </c>
      <c r="K1088">
        <v>1546</v>
      </c>
      <c r="L1088">
        <v>318</v>
      </c>
      <c r="M1088">
        <v>1227</v>
      </c>
      <c r="N1088">
        <v>3950.71</v>
      </c>
      <c r="O1088">
        <v>6.93</v>
      </c>
      <c r="P1088">
        <v>9.64</v>
      </c>
      <c r="Q1088">
        <v>0.67</v>
      </c>
      <c r="R1088">
        <v>0.61</v>
      </c>
      <c r="S1088">
        <v>1395</v>
      </c>
      <c r="T1088">
        <v>19937</v>
      </c>
      <c r="U1088">
        <v>21919</v>
      </c>
      <c r="V1088">
        <v>118</v>
      </c>
      <c r="W1088">
        <v>7.01</v>
      </c>
      <c r="X1088" s="10">
        <v>0.51519839330445205</v>
      </c>
      <c r="Y1088" s="9">
        <v>16100</v>
      </c>
      <c r="Z1088" s="9">
        <v>12300</v>
      </c>
      <c r="AA1088" s="9">
        <v>16100</v>
      </c>
      <c r="AB1088">
        <v>1</v>
      </c>
      <c r="AC1088" s="11">
        <v>35.691858849680457</v>
      </c>
      <c r="AD1088" s="9">
        <v>13050.564971751412</v>
      </c>
      <c r="AE1088" s="8">
        <v>0.2578125</v>
      </c>
    </row>
    <row r="1089" spans="1:31" x14ac:dyDescent="0.35">
      <c r="A1089" s="6" t="s">
        <v>1110</v>
      </c>
      <c r="B1089" s="7">
        <v>1</v>
      </c>
      <c r="C1089" s="7">
        <v>0</v>
      </c>
      <c r="D1089" s="7">
        <v>10</v>
      </c>
      <c r="E1089" s="7">
        <v>7</v>
      </c>
      <c r="F1089">
        <v>64</v>
      </c>
      <c r="G1089">
        <v>-69</v>
      </c>
      <c r="H1089">
        <v>-107.64</v>
      </c>
      <c r="I1089">
        <v>-118</v>
      </c>
      <c r="J1089">
        <v>-183.72</v>
      </c>
      <c r="K1089">
        <v>310</v>
      </c>
      <c r="L1089">
        <v>196</v>
      </c>
      <c r="M1089">
        <v>115</v>
      </c>
      <c r="N1089">
        <v>-21.94</v>
      </c>
      <c r="O1089">
        <v>-144.25</v>
      </c>
      <c r="P1089">
        <v>0</v>
      </c>
      <c r="Q1089">
        <v>0.74</v>
      </c>
      <c r="R1089">
        <v>0.57999999999999996</v>
      </c>
      <c r="S1089">
        <v>-632</v>
      </c>
      <c r="T1089">
        <v>272</v>
      </c>
      <c r="U1089">
        <v>344</v>
      </c>
      <c r="V1089">
        <v>-75</v>
      </c>
      <c r="W1089">
        <v>-2.5499999999999998</v>
      </c>
      <c r="X1089" s="10">
        <v>0.51519839330445205</v>
      </c>
      <c r="Y1089" s="9">
        <v>145</v>
      </c>
      <c r="Z1089" s="9">
        <v>145</v>
      </c>
      <c r="AA1089" s="9">
        <v>145</v>
      </c>
      <c r="AC1089" s="11">
        <v>0</v>
      </c>
      <c r="AD1089" s="9">
        <v>145</v>
      </c>
      <c r="AE1089" s="8">
        <v>0</v>
      </c>
    </row>
    <row r="1090" spans="1:31" x14ac:dyDescent="0.35">
      <c r="A1090" s="6" t="s">
        <v>1111</v>
      </c>
      <c r="B1090" s="7">
        <v>0</v>
      </c>
      <c r="C1090" s="7">
        <v>13</v>
      </c>
      <c r="D1090" s="7">
        <v>2</v>
      </c>
      <c r="E1090" s="7">
        <v>3</v>
      </c>
      <c r="F1090">
        <v>461</v>
      </c>
      <c r="G1090">
        <v>12</v>
      </c>
      <c r="H1090">
        <v>2.5</v>
      </c>
      <c r="I1090">
        <v>19</v>
      </c>
      <c r="J1090">
        <v>4.09</v>
      </c>
      <c r="K1090">
        <v>970</v>
      </c>
      <c r="L1090">
        <v>149</v>
      </c>
      <c r="M1090">
        <v>821</v>
      </c>
      <c r="N1090">
        <v>725.74</v>
      </c>
      <c r="O1090">
        <v>3.1</v>
      </c>
      <c r="P1090">
        <v>34.369999999999997</v>
      </c>
      <c r="Q1090">
        <v>1.08</v>
      </c>
      <c r="R1090">
        <v>1.41</v>
      </c>
      <c r="S1090">
        <v>127</v>
      </c>
      <c r="T1090">
        <v>4027</v>
      </c>
      <c r="U1090">
        <v>3101</v>
      </c>
      <c r="V1090">
        <v>24</v>
      </c>
      <c r="W1090">
        <v>36.9</v>
      </c>
      <c r="X1090" s="10">
        <v>0.89822521080928142</v>
      </c>
      <c r="Y1090" s="9">
        <v>5460</v>
      </c>
      <c r="Z1090" s="9">
        <v>3345</v>
      </c>
      <c r="AA1090" s="9">
        <v>5300</v>
      </c>
      <c r="AB1090">
        <v>0.92434988179669031</v>
      </c>
      <c r="AC1090" s="11">
        <v>33.465684912475687</v>
      </c>
      <c r="AD1090" s="9">
        <v>3470.7966101694915</v>
      </c>
      <c r="AE1090" s="8">
        <v>0.58445440956651717</v>
      </c>
    </row>
    <row r="1091" spans="1:31" x14ac:dyDescent="0.35">
      <c r="A1091" s="6" t="s">
        <v>1112</v>
      </c>
      <c r="B1091" s="7">
        <v>0</v>
      </c>
      <c r="C1091" s="7">
        <v>1</v>
      </c>
      <c r="D1091" s="7">
        <v>1</v>
      </c>
      <c r="E1091" s="7">
        <v>16</v>
      </c>
      <c r="F1091">
        <v>2347</v>
      </c>
      <c r="G1091">
        <v>-39</v>
      </c>
      <c r="H1091">
        <v>-1.68</v>
      </c>
      <c r="I1091">
        <v>-45</v>
      </c>
      <c r="J1091">
        <v>-1.94</v>
      </c>
      <c r="K1091">
        <v>2359</v>
      </c>
      <c r="L1091">
        <v>611</v>
      </c>
      <c r="M1091">
        <v>1749</v>
      </c>
      <c r="N1091">
        <v>307.95999999999998</v>
      </c>
      <c r="O1091">
        <v>-2.5499999999999998</v>
      </c>
      <c r="P1091">
        <v>0</v>
      </c>
      <c r="Q1091">
        <v>0.73</v>
      </c>
      <c r="R1091">
        <v>0.54</v>
      </c>
      <c r="S1091">
        <v>-53</v>
      </c>
      <c r="T1091">
        <v>2038</v>
      </c>
      <c r="U1091">
        <v>2738</v>
      </c>
      <c r="V1091">
        <v>306</v>
      </c>
      <c r="W1091">
        <v>4.92</v>
      </c>
      <c r="X1091" s="10">
        <v>0.6708207908957533</v>
      </c>
      <c r="Y1091" s="9">
        <v>2210</v>
      </c>
      <c r="Z1091" s="9">
        <v>1480</v>
      </c>
      <c r="AA1091" s="9">
        <v>1870</v>
      </c>
      <c r="AB1091">
        <v>0.53424657534246578</v>
      </c>
      <c r="AC1091" s="11">
        <v>9.9740205612670199</v>
      </c>
      <c r="AD1091" s="9">
        <v>1543.7090395480227</v>
      </c>
      <c r="AE1091" s="8">
        <v>0.2425249169435216</v>
      </c>
    </row>
    <row r="1092" spans="1:31" x14ac:dyDescent="0.35">
      <c r="A1092" s="6" t="s">
        <v>1113</v>
      </c>
      <c r="B1092" s="7">
        <v>1</v>
      </c>
      <c r="C1092" s="7">
        <v>1</v>
      </c>
      <c r="D1092" s="7">
        <v>11</v>
      </c>
      <c r="E1092" s="7">
        <v>5</v>
      </c>
      <c r="F1092">
        <v>3450</v>
      </c>
      <c r="G1092">
        <v>-48</v>
      </c>
      <c r="H1092">
        <v>-1.38</v>
      </c>
      <c r="I1092">
        <v>-62</v>
      </c>
      <c r="J1092">
        <v>-1.81</v>
      </c>
      <c r="K1092">
        <v>1910</v>
      </c>
      <c r="L1092">
        <v>985</v>
      </c>
      <c r="M1092">
        <v>925</v>
      </c>
      <c r="N1092">
        <v>263.81</v>
      </c>
      <c r="O1092">
        <v>-6.62</v>
      </c>
      <c r="P1092">
        <v>0</v>
      </c>
      <c r="Q1092">
        <v>1.06</v>
      </c>
      <c r="R1092">
        <v>0.25</v>
      </c>
      <c r="S1092">
        <v>-117</v>
      </c>
      <c r="T1092">
        <v>1546</v>
      </c>
      <c r="U1092">
        <v>6488</v>
      </c>
      <c r="V1092">
        <v>13</v>
      </c>
      <c r="W1092">
        <v>95.17</v>
      </c>
      <c r="X1092" s="10">
        <v>0.2843595842815006</v>
      </c>
      <c r="Y1092" s="9">
        <v>2285</v>
      </c>
      <c r="Z1092" s="9">
        <v>1640</v>
      </c>
      <c r="AA1092" s="9">
        <v>1845</v>
      </c>
      <c r="AB1092">
        <v>0.31782945736434109</v>
      </c>
      <c r="AC1092" s="11">
        <v>5.2328424562378428</v>
      </c>
      <c r="AD1092" s="9">
        <v>1761.731638418079</v>
      </c>
      <c r="AE1092" s="8">
        <v>9.4955489614243327E-2</v>
      </c>
    </row>
    <row r="1093" spans="1:31" x14ac:dyDescent="0.35">
      <c r="A1093" s="6" t="s">
        <v>1114</v>
      </c>
      <c r="B1093" s="7">
        <v>3</v>
      </c>
      <c r="C1093" s="7">
        <v>0</v>
      </c>
      <c r="D1093" s="7">
        <v>4</v>
      </c>
      <c r="E1093" s="7">
        <v>11</v>
      </c>
      <c r="F1093">
        <v>159</v>
      </c>
      <c r="G1093">
        <v>-4</v>
      </c>
      <c r="H1093">
        <v>-2.6</v>
      </c>
      <c r="I1093">
        <v>5</v>
      </c>
      <c r="J1093">
        <v>2.89</v>
      </c>
      <c r="K1093">
        <v>268</v>
      </c>
      <c r="L1093">
        <v>63</v>
      </c>
      <c r="M1093">
        <v>204</v>
      </c>
      <c r="N1093">
        <v>640.59</v>
      </c>
      <c r="O1093">
        <v>2.2200000000000002</v>
      </c>
      <c r="P1093">
        <v>49.81</v>
      </c>
      <c r="Q1093">
        <v>1.35</v>
      </c>
      <c r="R1093">
        <v>1.44</v>
      </c>
      <c r="S1093">
        <v>80</v>
      </c>
      <c r="T1093">
        <v>2954</v>
      </c>
      <c r="U1093">
        <v>2765</v>
      </c>
      <c r="V1093">
        <v>4</v>
      </c>
      <c r="W1093">
        <v>66.680000000000007</v>
      </c>
      <c r="X1093" s="10">
        <v>0.42905637956553522</v>
      </c>
      <c r="Y1093" s="9">
        <v>5250</v>
      </c>
      <c r="Z1093" s="9">
        <v>3925</v>
      </c>
      <c r="AA1093" s="9">
        <v>4700</v>
      </c>
      <c r="AB1093">
        <v>0.58490566037735847</v>
      </c>
      <c r="AC1093" s="11">
        <v>10.647402056126703</v>
      </c>
      <c r="AD1093" s="9">
        <v>4384.0875706214683</v>
      </c>
      <c r="AE1093" s="8">
        <v>0.18387909319899245</v>
      </c>
    </row>
    <row r="1094" spans="1:31" x14ac:dyDescent="0.35">
      <c r="A1094" s="6" t="s">
        <v>1115</v>
      </c>
      <c r="B1094" s="7">
        <v>5</v>
      </c>
      <c r="C1094" s="7">
        <v>8</v>
      </c>
      <c r="D1094" s="7">
        <v>2</v>
      </c>
      <c r="E1094" s="7">
        <v>3</v>
      </c>
      <c r="F1094">
        <v>2315</v>
      </c>
      <c r="G1094">
        <v>228</v>
      </c>
      <c r="H1094">
        <v>9.85</v>
      </c>
      <c r="I1094">
        <v>169</v>
      </c>
      <c r="J1094">
        <v>7.31</v>
      </c>
      <c r="K1094">
        <v>3086</v>
      </c>
      <c r="L1094">
        <v>598</v>
      </c>
      <c r="M1094">
        <v>2488</v>
      </c>
      <c r="N1094">
        <v>1257.49</v>
      </c>
      <c r="O1094">
        <v>7.05</v>
      </c>
      <c r="P1094">
        <v>7.19</v>
      </c>
      <c r="Q1094">
        <v>0.5</v>
      </c>
      <c r="R1094">
        <v>0.53</v>
      </c>
      <c r="S1094">
        <v>4690</v>
      </c>
      <c r="T1094">
        <v>67643</v>
      </c>
      <c r="U1094">
        <v>64163</v>
      </c>
      <c r="V1094">
        <v>335</v>
      </c>
      <c r="W1094">
        <v>3.69</v>
      </c>
      <c r="X1094" s="10">
        <v>0.54023078058604812</v>
      </c>
      <c r="Y1094" s="9">
        <v>38250</v>
      </c>
      <c r="Z1094" s="9">
        <v>29900</v>
      </c>
      <c r="AA1094" s="9">
        <v>38250</v>
      </c>
      <c r="AB1094">
        <v>1</v>
      </c>
      <c r="AC1094" s="11">
        <v>81.840789108085573</v>
      </c>
      <c r="AD1094" s="9">
        <v>31249.689265536726</v>
      </c>
      <c r="AE1094" s="8">
        <v>0.10549132947976879</v>
      </c>
    </row>
    <row r="1095" spans="1:31" x14ac:dyDescent="0.35">
      <c r="A1095" s="6" t="s">
        <v>1116</v>
      </c>
      <c r="B1095" s="7">
        <v>3</v>
      </c>
      <c r="C1095" s="7">
        <v>0</v>
      </c>
      <c r="D1095" s="7">
        <v>7</v>
      </c>
      <c r="E1095" s="7">
        <v>8</v>
      </c>
      <c r="F1095">
        <v>4572</v>
      </c>
      <c r="G1095">
        <v>81</v>
      </c>
      <c r="H1095">
        <v>1.78</v>
      </c>
      <c r="I1095">
        <v>203</v>
      </c>
      <c r="J1095">
        <v>4.45</v>
      </c>
      <c r="K1095">
        <v>8724</v>
      </c>
      <c r="L1095">
        <v>545</v>
      </c>
      <c r="M1095">
        <v>8179</v>
      </c>
      <c r="N1095">
        <v>1544.56</v>
      </c>
      <c r="O1095">
        <v>2.48</v>
      </c>
      <c r="P1095">
        <v>32.799999999999997</v>
      </c>
      <c r="Q1095">
        <v>0.84</v>
      </c>
      <c r="R1095">
        <v>1.46</v>
      </c>
      <c r="S1095">
        <v>2067</v>
      </c>
      <c r="T1095">
        <v>81070</v>
      </c>
      <c r="U1095">
        <v>46503</v>
      </c>
      <c r="V1095">
        <v>217</v>
      </c>
      <c r="W1095">
        <v>31.5</v>
      </c>
      <c r="X1095" s="10">
        <v>1.1954702346726059E-2</v>
      </c>
      <c r="Y1095" s="9">
        <v>74500</v>
      </c>
      <c r="Z1095" s="9">
        <v>66400</v>
      </c>
      <c r="AA1095" s="9">
        <v>71800</v>
      </c>
      <c r="AB1095">
        <v>0.66666666666666663</v>
      </c>
      <c r="AC1095" s="11">
        <v>-13.69547096415671</v>
      </c>
      <c r="AD1095" s="9">
        <v>70582.711864406781</v>
      </c>
      <c r="AE1095" s="8">
        <v>3.1609195402298854E-2</v>
      </c>
    </row>
    <row r="1096" spans="1:31" x14ac:dyDescent="0.35">
      <c r="A1096" s="6" t="s">
        <v>1117</v>
      </c>
      <c r="B1096" s="7">
        <v>6</v>
      </c>
      <c r="C1096" s="7">
        <v>1</v>
      </c>
      <c r="D1096" s="7">
        <v>0</v>
      </c>
      <c r="E1096" s="7">
        <v>11</v>
      </c>
      <c r="F1096">
        <v>2537</v>
      </c>
      <c r="G1096">
        <v>47</v>
      </c>
      <c r="H1096">
        <v>1.87</v>
      </c>
      <c r="I1096">
        <v>190</v>
      </c>
      <c r="J1096">
        <v>7.5</v>
      </c>
      <c r="K1096">
        <v>5055</v>
      </c>
      <c r="L1096">
        <v>777</v>
      </c>
      <c r="M1096">
        <v>4278</v>
      </c>
      <c r="N1096">
        <v>5247.59</v>
      </c>
      <c r="O1096">
        <v>4.53</v>
      </c>
      <c r="P1096">
        <v>17.62</v>
      </c>
      <c r="Q1096">
        <v>0.81</v>
      </c>
      <c r="R1096">
        <v>1.32</v>
      </c>
      <c r="S1096">
        <v>1189</v>
      </c>
      <c r="T1096">
        <v>26016</v>
      </c>
      <c r="U1096">
        <v>15855</v>
      </c>
      <c r="V1096">
        <v>98</v>
      </c>
      <c r="W1096">
        <v>34.33</v>
      </c>
      <c r="X1096" s="10">
        <v>0.77539886863643326</v>
      </c>
      <c r="Y1096" s="9">
        <v>23900</v>
      </c>
      <c r="Z1096" s="9">
        <v>20100</v>
      </c>
      <c r="AA1096" s="9">
        <v>23100</v>
      </c>
      <c r="AB1096">
        <v>0.78947368421052633</v>
      </c>
      <c r="AC1096" s="11">
        <v>57.966101694915253</v>
      </c>
      <c r="AD1096" s="9">
        <v>20077.033898305086</v>
      </c>
      <c r="AE1096" s="8">
        <v>0.12682926829268293</v>
      </c>
    </row>
    <row r="1097" spans="1:31" x14ac:dyDescent="0.35">
      <c r="A1097" s="6" t="s">
        <v>1118</v>
      </c>
      <c r="B1097" s="7">
        <v>7</v>
      </c>
      <c r="C1097" s="7">
        <v>1</v>
      </c>
      <c r="D1097" s="7">
        <v>3</v>
      </c>
      <c r="E1097" s="7">
        <v>7</v>
      </c>
      <c r="F1097">
        <v>30</v>
      </c>
      <c r="G1097">
        <v>6</v>
      </c>
      <c r="H1097">
        <v>18.38</v>
      </c>
      <c r="I1097">
        <v>5</v>
      </c>
      <c r="J1097">
        <v>15.77</v>
      </c>
      <c r="K1097">
        <v>370</v>
      </c>
      <c r="L1097">
        <v>212</v>
      </c>
      <c r="M1097">
        <v>158</v>
      </c>
      <c r="N1097">
        <v>551.95000000000005</v>
      </c>
      <c r="O1097">
        <v>3.03</v>
      </c>
      <c r="P1097">
        <v>35.61</v>
      </c>
      <c r="Q1097">
        <v>1.0900000000000001</v>
      </c>
      <c r="R1097">
        <v>5.64</v>
      </c>
      <c r="S1097">
        <v>99</v>
      </c>
      <c r="T1097">
        <v>3240</v>
      </c>
      <c r="U1097">
        <v>625</v>
      </c>
      <c r="V1097">
        <v>7</v>
      </c>
      <c r="W1097">
        <v>49.05</v>
      </c>
      <c r="X1097" s="10">
        <v>0.43345744047513318</v>
      </c>
      <c r="Y1097" s="9">
        <v>46150</v>
      </c>
      <c r="Z1097" s="9">
        <v>3465</v>
      </c>
      <c r="AA1097" s="9">
        <v>19300</v>
      </c>
      <c r="AB1097">
        <v>0.37097340986294952</v>
      </c>
      <c r="AC1097" s="11">
        <v>485.42622950819674</v>
      </c>
      <c r="AD1097" s="9">
        <v>6930.8333333333321</v>
      </c>
      <c r="AE1097" s="8">
        <v>4.4985754985754989</v>
      </c>
    </row>
    <row r="1098" spans="1:31" x14ac:dyDescent="0.35">
      <c r="A1098" s="6" t="s">
        <v>1119</v>
      </c>
      <c r="B1098" s="7">
        <v>8</v>
      </c>
      <c r="C1098" s="7">
        <v>7</v>
      </c>
      <c r="D1098" s="7">
        <v>1</v>
      </c>
      <c r="E1098" s="7">
        <v>2</v>
      </c>
      <c r="F1098">
        <v>741</v>
      </c>
      <c r="G1098">
        <v>18</v>
      </c>
      <c r="H1098">
        <v>2.48</v>
      </c>
      <c r="I1098">
        <v>12</v>
      </c>
      <c r="J1098">
        <v>1.58</v>
      </c>
      <c r="K1098">
        <v>536</v>
      </c>
      <c r="L1098">
        <v>335</v>
      </c>
      <c r="M1098">
        <v>200</v>
      </c>
      <c r="N1098">
        <v>900.57</v>
      </c>
      <c r="O1098">
        <v>5.94</v>
      </c>
      <c r="P1098">
        <v>12.54</v>
      </c>
      <c r="Q1098">
        <v>0.77</v>
      </c>
      <c r="R1098">
        <v>0.2</v>
      </c>
      <c r="S1098">
        <v>293</v>
      </c>
      <c r="T1098">
        <v>4762</v>
      </c>
      <c r="U1098">
        <v>18514</v>
      </c>
      <c r="V1098">
        <v>26</v>
      </c>
      <c r="W1098">
        <v>13.92</v>
      </c>
      <c r="X1098" s="10">
        <v>0.44139917938432255</v>
      </c>
      <c r="Y1098" s="9">
        <v>7760</v>
      </c>
      <c r="Z1098" s="9">
        <v>3620</v>
      </c>
      <c r="AA1098" s="9">
        <v>5280</v>
      </c>
      <c r="AB1098">
        <v>0.40096618357487923</v>
      </c>
      <c r="AC1098" s="11">
        <v>42.33328702417338</v>
      </c>
      <c r="AD1098" s="9">
        <v>3930.0847457627119</v>
      </c>
      <c r="AE1098" s="8">
        <v>0.42702702702702705</v>
      </c>
    </row>
    <row r="1099" spans="1:31" x14ac:dyDescent="0.35">
      <c r="A1099" s="6" t="s">
        <v>1120</v>
      </c>
      <c r="B1099" s="7">
        <v>5</v>
      </c>
      <c r="C1099" s="7">
        <v>2</v>
      </c>
      <c r="D1099" s="7">
        <v>4</v>
      </c>
      <c r="E1099" s="7">
        <v>7</v>
      </c>
      <c r="F1099">
        <v>1327</v>
      </c>
      <c r="G1099">
        <v>35</v>
      </c>
      <c r="H1099">
        <v>2.6</v>
      </c>
      <c r="I1099">
        <v>32</v>
      </c>
      <c r="J1099">
        <v>2.39</v>
      </c>
      <c r="K1099">
        <v>2078</v>
      </c>
      <c r="L1099">
        <v>985</v>
      </c>
      <c r="M1099">
        <v>1093</v>
      </c>
      <c r="N1099">
        <v>1037.1300000000001</v>
      </c>
      <c r="O1099">
        <v>2.95</v>
      </c>
      <c r="P1099">
        <v>13.8</v>
      </c>
      <c r="Q1099">
        <v>0.42</v>
      </c>
      <c r="R1099">
        <v>0.33</v>
      </c>
      <c r="S1099">
        <v>166</v>
      </c>
      <c r="T1099">
        <v>5425</v>
      </c>
      <c r="U1099">
        <v>6959</v>
      </c>
      <c r="V1099">
        <v>82</v>
      </c>
      <c r="W1099">
        <v>12.79</v>
      </c>
      <c r="X1099" s="10">
        <v>0.85760982518470263</v>
      </c>
      <c r="Y1099" s="9">
        <v>2730</v>
      </c>
      <c r="Z1099" s="9">
        <v>2280</v>
      </c>
      <c r="AA1099" s="9">
        <v>2550</v>
      </c>
      <c r="AB1099">
        <v>0.6</v>
      </c>
      <c r="AC1099" s="11">
        <v>7.976243400944707</v>
      </c>
      <c r="AD1099" s="9">
        <v>2227.9745762711864</v>
      </c>
      <c r="AE1099" s="8">
        <v>0.11353711790393013</v>
      </c>
    </row>
    <row r="1100" spans="1:31" x14ac:dyDescent="0.35">
      <c r="A1100" s="6" t="s">
        <v>1121</v>
      </c>
      <c r="B1100" s="7">
        <v>7</v>
      </c>
      <c r="C1100" s="7">
        <v>5</v>
      </c>
      <c r="D1100" s="7">
        <v>3</v>
      </c>
      <c r="E1100" s="7">
        <v>3</v>
      </c>
      <c r="F1100">
        <v>1896</v>
      </c>
      <c r="G1100">
        <v>-30</v>
      </c>
      <c r="H1100">
        <v>-1.58</v>
      </c>
      <c r="I1100">
        <v>-114</v>
      </c>
      <c r="J1100">
        <v>-6.01</v>
      </c>
      <c r="K1100">
        <v>3416</v>
      </c>
      <c r="L1100">
        <v>2914</v>
      </c>
      <c r="M1100">
        <v>503</v>
      </c>
      <c r="N1100">
        <v>41.44</v>
      </c>
      <c r="O1100">
        <v>-24.12</v>
      </c>
      <c r="P1100">
        <v>0</v>
      </c>
      <c r="Q1100">
        <v>1.48</v>
      </c>
      <c r="R1100">
        <v>0.3</v>
      </c>
      <c r="S1100">
        <v>-203</v>
      </c>
      <c r="T1100">
        <v>687</v>
      </c>
      <c r="U1100">
        <v>3373</v>
      </c>
      <c r="V1100">
        <v>121</v>
      </c>
      <c r="W1100">
        <v>21.57</v>
      </c>
      <c r="X1100" s="10">
        <v>0.60984673128604594</v>
      </c>
      <c r="Y1100" s="9">
        <v>1550</v>
      </c>
      <c r="Z1100" s="9">
        <v>1010</v>
      </c>
      <c r="AA1100" s="9">
        <v>1370</v>
      </c>
      <c r="AB1100">
        <v>0.66666666666666663</v>
      </c>
      <c r="AC1100" s="11">
        <v>7.1287857738260616</v>
      </c>
      <c r="AD1100" s="9">
        <v>1048.1553672316384</v>
      </c>
      <c r="AE1100" s="8">
        <v>0.35643564356435642</v>
      </c>
    </row>
    <row r="1101" spans="1:31" x14ac:dyDescent="0.35">
      <c r="A1101" s="6" t="s">
        <v>1122</v>
      </c>
      <c r="B1101" s="7">
        <v>14</v>
      </c>
      <c r="C1101" s="7">
        <v>2</v>
      </c>
      <c r="D1101" s="7">
        <v>2</v>
      </c>
      <c r="E1101" s="7">
        <v>0</v>
      </c>
      <c r="F1101">
        <v>917</v>
      </c>
      <c r="G1101">
        <v>31</v>
      </c>
      <c r="H1101">
        <v>3.43</v>
      </c>
      <c r="I1101">
        <v>42</v>
      </c>
      <c r="J1101">
        <v>4.59</v>
      </c>
      <c r="K1101">
        <v>1005</v>
      </c>
      <c r="L1101">
        <v>676</v>
      </c>
      <c r="M1101">
        <v>329</v>
      </c>
      <c r="N1101">
        <v>273.24</v>
      </c>
      <c r="O1101">
        <v>18.04</v>
      </c>
      <c r="P1101">
        <v>2.89</v>
      </c>
      <c r="Q1101">
        <v>0.51</v>
      </c>
      <c r="R1101">
        <v>0.13</v>
      </c>
      <c r="S1101">
        <v>319</v>
      </c>
      <c r="T1101">
        <v>1810</v>
      </c>
      <c r="U1101">
        <v>6941</v>
      </c>
      <c r="V1101">
        <v>54</v>
      </c>
      <c r="W1101">
        <v>4.26</v>
      </c>
      <c r="X1101" s="10">
        <v>5.7871184313886326E-2</v>
      </c>
      <c r="Y1101" s="9">
        <v>3130</v>
      </c>
      <c r="Z1101" s="9">
        <v>1285</v>
      </c>
      <c r="AA1101" s="9">
        <v>2015</v>
      </c>
      <c r="AB1101">
        <v>0.39566395663956638</v>
      </c>
      <c r="AC1101" s="11">
        <v>5.626840789108086</v>
      </c>
      <c r="AD1101" s="9">
        <v>1840.5480225988701</v>
      </c>
      <c r="AE1101" s="8">
        <v>0.50936329588014984</v>
      </c>
    </row>
    <row r="1102" spans="1:31" x14ac:dyDescent="0.35">
      <c r="A1102" s="6" t="s">
        <v>1123</v>
      </c>
      <c r="B1102" s="7">
        <v>6</v>
      </c>
      <c r="C1102" s="7">
        <v>2</v>
      </c>
      <c r="D1102" s="7">
        <v>10</v>
      </c>
      <c r="E1102" s="7">
        <v>0</v>
      </c>
      <c r="F1102">
        <v>1698</v>
      </c>
      <c r="G1102">
        <v>15</v>
      </c>
      <c r="H1102">
        <v>0.88</v>
      </c>
      <c r="I1102">
        <v>14</v>
      </c>
      <c r="J1102">
        <v>0.8</v>
      </c>
      <c r="K1102">
        <v>1037</v>
      </c>
      <c r="L1102">
        <v>641</v>
      </c>
      <c r="M1102">
        <v>396</v>
      </c>
      <c r="N1102">
        <v>349.27</v>
      </c>
      <c r="O1102">
        <v>3.47</v>
      </c>
      <c r="P1102">
        <v>16.559999999999999</v>
      </c>
      <c r="Q1102">
        <v>0.59</v>
      </c>
      <c r="R1102">
        <v>0.13</v>
      </c>
      <c r="S1102">
        <v>77</v>
      </c>
      <c r="T1102">
        <v>2158</v>
      </c>
      <c r="U1102">
        <v>9636</v>
      </c>
      <c r="V1102">
        <v>24</v>
      </c>
      <c r="W1102">
        <v>13.83</v>
      </c>
      <c r="X1102" s="10">
        <v>0.15025467482949983</v>
      </c>
      <c r="Y1102" s="9">
        <v>2485</v>
      </c>
      <c r="Z1102" s="9">
        <v>1275</v>
      </c>
      <c r="AA1102" s="9">
        <v>1850</v>
      </c>
      <c r="AB1102">
        <v>0.47520661157024796</v>
      </c>
      <c r="AC1102" s="11">
        <v>6.5044456793553769</v>
      </c>
      <c r="AD1102" s="9">
        <v>1574.0310734463278</v>
      </c>
      <c r="AE1102" s="8">
        <v>0.40684410646387831</v>
      </c>
    </row>
    <row r="1103" spans="1:31" x14ac:dyDescent="0.35">
      <c r="A1103" s="6" t="s">
        <v>1124</v>
      </c>
      <c r="B1103" s="7">
        <v>8</v>
      </c>
      <c r="C1103" s="7">
        <v>6</v>
      </c>
      <c r="D1103" s="7">
        <v>3</v>
      </c>
      <c r="E1103" s="7">
        <v>1</v>
      </c>
      <c r="F1103">
        <v>4341</v>
      </c>
      <c r="G1103">
        <v>285</v>
      </c>
      <c r="H1103">
        <v>6.57</v>
      </c>
      <c r="I1103">
        <v>115</v>
      </c>
      <c r="J1103">
        <v>2.65</v>
      </c>
      <c r="K1103">
        <v>6839</v>
      </c>
      <c r="L1103">
        <v>4337</v>
      </c>
      <c r="M1103">
        <v>2501</v>
      </c>
      <c r="N1103">
        <v>248.1</v>
      </c>
      <c r="O1103">
        <v>9.42</v>
      </c>
      <c r="P1103">
        <v>8.5</v>
      </c>
      <c r="Q1103">
        <v>0.79</v>
      </c>
      <c r="R1103">
        <v>0.23</v>
      </c>
      <c r="S1103">
        <v>160</v>
      </c>
      <c r="T1103">
        <v>1730</v>
      </c>
      <c r="U1103">
        <v>6042</v>
      </c>
      <c r="V1103">
        <v>716</v>
      </c>
      <c r="W1103">
        <v>6.25</v>
      </c>
      <c r="X1103" s="10">
        <v>0.57893728287394142</v>
      </c>
      <c r="Y1103" s="9">
        <v>1820</v>
      </c>
      <c r="Z1103" s="9">
        <v>1260</v>
      </c>
      <c r="AA1103" s="9">
        <v>1535</v>
      </c>
      <c r="AB1103">
        <v>0.49107142857142855</v>
      </c>
      <c r="AC1103" s="11">
        <v>7.7053348152264505</v>
      </c>
      <c r="AD1103" s="9">
        <v>1288.0706214689264</v>
      </c>
      <c r="AE1103" s="8">
        <v>0.17624521072796934</v>
      </c>
    </row>
    <row r="1104" spans="1:31" x14ac:dyDescent="0.35">
      <c r="A1104" s="6" t="s">
        <v>1125</v>
      </c>
      <c r="B1104" s="7">
        <v>4</v>
      </c>
      <c r="C1104" s="7">
        <v>4</v>
      </c>
      <c r="D1104" s="7">
        <v>9</v>
      </c>
      <c r="E1104" s="7">
        <v>1</v>
      </c>
      <c r="F1104">
        <v>15020</v>
      </c>
      <c r="G1104">
        <v>1900</v>
      </c>
      <c r="H1104">
        <v>12.65</v>
      </c>
      <c r="I1104">
        <v>1334</v>
      </c>
      <c r="J1104">
        <v>8.8800000000000008</v>
      </c>
      <c r="K1104">
        <v>55352</v>
      </c>
      <c r="L1104">
        <v>30930</v>
      </c>
      <c r="M1104">
        <v>24422</v>
      </c>
      <c r="N1104">
        <v>4868.4799999999996</v>
      </c>
      <c r="O1104">
        <v>5.66</v>
      </c>
      <c r="P1104">
        <v>13.35</v>
      </c>
      <c r="Q1104">
        <v>0.74</v>
      </c>
      <c r="R1104">
        <v>1.19</v>
      </c>
      <c r="S1104">
        <v>13563</v>
      </c>
      <c r="T1104">
        <v>244041</v>
      </c>
      <c r="U1104">
        <v>152699</v>
      </c>
      <c r="V1104">
        <v>3124</v>
      </c>
      <c r="W1104">
        <v>11.35</v>
      </c>
      <c r="X1104" s="10">
        <v>2.9844740763513202E-2</v>
      </c>
      <c r="Y1104" s="9">
        <v>182500</v>
      </c>
      <c r="Z1104" s="9">
        <v>160000</v>
      </c>
      <c r="AA1104" s="9">
        <v>168500</v>
      </c>
      <c r="AB1104">
        <v>0.37777777777777777</v>
      </c>
      <c r="AC1104" s="11">
        <v>-51.347596554598503</v>
      </c>
      <c r="AD1104" s="9">
        <v>171632.7683615819</v>
      </c>
      <c r="AE1104" s="8">
        <v>-7.1625344352617082E-2</v>
      </c>
    </row>
    <row r="1105" spans="1:31" x14ac:dyDescent="0.35">
      <c r="A1105" s="6" t="s">
        <v>1126</v>
      </c>
      <c r="B1105" s="7">
        <v>8</v>
      </c>
      <c r="C1105" s="7">
        <v>1</v>
      </c>
      <c r="D1105" s="7">
        <v>2</v>
      </c>
      <c r="E1105" s="7">
        <v>7</v>
      </c>
      <c r="F1105">
        <v>2281</v>
      </c>
      <c r="G1105">
        <v>155</v>
      </c>
      <c r="H1105">
        <v>6.8</v>
      </c>
      <c r="I1105">
        <v>121</v>
      </c>
      <c r="J1105">
        <v>5.31</v>
      </c>
      <c r="K1105">
        <v>2089</v>
      </c>
      <c r="L1105">
        <v>474</v>
      </c>
      <c r="M1105">
        <v>1615</v>
      </c>
      <c r="N1105">
        <v>1777.39</v>
      </c>
      <c r="O1105">
        <v>7.7</v>
      </c>
      <c r="P1105">
        <v>15.91</v>
      </c>
      <c r="Q1105">
        <v>1.22</v>
      </c>
      <c r="R1105">
        <v>0.84</v>
      </c>
      <c r="S1105">
        <v>7039</v>
      </c>
      <c r="T1105">
        <v>91772</v>
      </c>
      <c r="U1105">
        <v>132594</v>
      </c>
      <c r="V1105">
        <v>206</v>
      </c>
      <c r="W1105">
        <v>9.34</v>
      </c>
      <c r="X1105" s="10">
        <v>0.49269427718068387</v>
      </c>
      <c r="Y1105" s="9">
        <v>115000</v>
      </c>
      <c r="Z1105" s="9">
        <v>92700</v>
      </c>
      <c r="AA1105" s="9">
        <v>92700</v>
      </c>
      <c r="AB1105">
        <v>0</v>
      </c>
      <c r="AC1105" s="11">
        <v>-232.61461517088082</v>
      </c>
      <c r="AD1105" s="9">
        <v>111931.41242937854</v>
      </c>
      <c r="AE1105" s="8">
        <v>-0.1</v>
      </c>
    </row>
    <row r="1106" spans="1:31" x14ac:dyDescent="0.35">
      <c r="A1106" s="6" t="s">
        <v>1127</v>
      </c>
      <c r="B1106" s="7">
        <v>3</v>
      </c>
      <c r="C1106" s="7">
        <v>15</v>
      </c>
      <c r="D1106" s="7">
        <v>0</v>
      </c>
      <c r="E1106" s="7">
        <v>0</v>
      </c>
      <c r="F1106">
        <v>8360</v>
      </c>
      <c r="G1106">
        <v>247</v>
      </c>
      <c r="H1106">
        <v>2.95</v>
      </c>
      <c r="I1106">
        <v>31</v>
      </c>
      <c r="J1106">
        <v>0.38</v>
      </c>
      <c r="K1106">
        <v>6727</v>
      </c>
      <c r="L1106">
        <v>6445</v>
      </c>
      <c r="M1106">
        <v>282</v>
      </c>
      <c r="N1106">
        <v>41.16</v>
      </c>
      <c r="O1106">
        <v>11.16</v>
      </c>
      <c r="P1106">
        <v>38.07</v>
      </c>
      <c r="Q1106">
        <v>4.75</v>
      </c>
      <c r="R1106">
        <v>0.14000000000000001</v>
      </c>
      <c r="S1106">
        <v>784</v>
      </c>
      <c r="T1106">
        <v>6286</v>
      </c>
      <c r="U1106">
        <v>208997</v>
      </c>
      <c r="V1106">
        <v>325</v>
      </c>
      <c r="W1106">
        <v>8.49</v>
      </c>
      <c r="X1106" s="10">
        <v>0.84831453333203599</v>
      </c>
      <c r="Y1106" s="9">
        <v>70700</v>
      </c>
      <c r="Z1106" s="9">
        <v>28800</v>
      </c>
      <c r="AA1106" s="9">
        <v>55600</v>
      </c>
      <c r="AB1106">
        <v>0.63961813842482096</v>
      </c>
      <c r="AC1106" s="11">
        <v>690.95165323701031</v>
      </c>
      <c r="AD1106" s="9">
        <v>26020.141242937851</v>
      </c>
      <c r="AE1106" s="8">
        <v>0.92720970537261693</v>
      </c>
    </row>
    <row r="1107" spans="1:31" x14ac:dyDescent="0.35">
      <c r="A1107" s="6" t="s">
        <v>1128</v>
      </c>
      <c r="B1107" s="7">
        <v>8</v>
      </c>
      <c r="C1107" s="7">
        <v>3</v>
      </c>
      <c r="D1107" s="7">
        <v>1</v>
      </c>
      <c r="E1107" s="7">
        <v>6</v>
      </c>
      <c r="F1107">
        <v>8462</v>
      </c>
      <c r="G1107">
        <v>207</v>
      </c>
      <c r="H1107">
        <v>2.4500000000000002</v>
      </c>
      <c r="I1107">
        <v>68</v>
      </c>
      <c r="J1107">
        <v>0.8</v>
      </c>
      <c r="K1107">
        <v>8152</v>
      </c>
      <c r="L1107">
        <v>3869</v>
      </c>
      <c r="M1107">
        <v>4283</v>
      </c>
      <c r="N1107">
        <v>1099.67</v>
      </c>
      <c r="O1107">
        <v>1.59</v>
      </c>
      <c r="P1107">
        <v>119.62</v>
      </c>
      <c r="Q1107">
        <v>1.97</v>
      </c>
      <c r="R1107">
        <v>0.96</v>
      </c>
      <c r="S1107">
        <v>953</v>
      </c>
      <c r="T1107">
        <v>57820</v>
      </c>
      <c r="U1107">
        <v>118514</v>
      </c>
      <c r="V1107">
        <v>445</v>
      </c>
      <c r="W1107">
        <v>24.69</v>
      </c>
      <c r="X1107" s="10">
        <v>0.79492295658804446</v>
      </c>
      <c r="Y1107" s="9">
        <v>115500</v>
      </c>
      <c r="Z1107" s="9">
        <v>80100</v>
      </c>
      <c r="AA1107" s="9">
        <v>81700</v>
      </c>
      <c r="AB1107">
        <v>4.519774011299435E-2</v>
      </c>
      <c r="AC1107" s="11">
        <v>-489.44429008057784</v>
      </c>
      <c r="AD1107" s="9">
        <v>106799.71751412429</v>
      </c>
      <c r="AE1107" s="8">
        <v>-0.28333333333333333</v>
      </c>
    </row>
    <row r="1108" spans="1:31" x14ac:dyDescent="0.35">
      <c r="A1108" s="6" t="s">
        <v>1129</v>
      </c>
      <c r="B1108" s="7">
        <v>5</v>
      </c>
      <c r="C1108" s="7">
        <v>3</v>
      </c>
      <c r="D1108" s="7">
        <v>3</v>
      </c>
      <c r="E1108" s="7">
        <v>7</v>
      </c>
      <c r="F1108">
        <v>6521</v>
      </c>
      <c r="G1108">
        <v>82</v>
      </c>
      <c r="H1108">
        <v>1.25</v>
      </c>
      <c r="I1108">
        <v>42</v>
      </c>
      <c r="J1108">
        <v>0.64</v>
      </c>
      <c r="K1108">
        <v>3825</v>
      </c>
      <c r="L1108">
        <v>970</v>
      </c>
      <c r="M1108">
        <v>2855</v>
      </c>
      <c r="N1108">
        <v>1374.47</v>
      </c>
      <c r="O1108">
        <v>1.67</v>
      </c>
      <c r="P1108">
        <v>87.22</v>
      </c>
      <c r="Q1108">
        <v>1.77</v>
      </c>
      <c r="R1108">
        <v>0.56000000000000005</v>
      </c>
      <c r="S1108">
        <v>1221</v>
      </c>
      <c r="T1108">
        <v>60226</v>
      </c>
      <c r="U1108">
        <v>189466</v>
      </c>
      <c r="V1108">
        <v>237</v>
      </c>
      <c r="W1108">
        <v>17.420000000000002</v>
      </c>
      <c r="X1108" s="10">
        <v>0.65558802977163733</v>
      </c>
      <c r="Y1108" s="9">
        <v>144500</v>
      </c>
      <c r="Z1108" s="9">
        <v>104500</v>
      </c>
      <c r="AA1108" s="9">
        <v>128500</v>
      </c>
      <c r="AB1108">
        <v>0.6</v>
      </c>
      <c r="AC1108" s="11">
        <v>436.34342873020285</v>
      </c>
      <c r="AD1108" s="9">
        <v>111391.52542372882</v>
      </c>
      <c r="AE1108" s="8">
        <v>0.22966507177033493</v>
      </c>
    </row>
    <row r="1109" spans="1:31" x14ac:dyDescent="0.35">
      <c r="A1109" s="6" t="s">
        <v>1130</v>
      </c>
      <c r="B1109" s="7">
        <v>1</v>
      </c>
      <c r="C1109" s="7">
        <v>2</v>
      </c>
      <c r="D1109" s="7">
        <v>8</v>
      </c>
      <c r="E1109" s="7">
        <v>7</v>
      </c>
      <c r="F1109">
        <v>18</v>
      </c>
      <c r="G1109">
        <v>-7</v>
      </c>
      <c r="H1109">
        <v>-40.51</v>
      </c>
      <c r="I1109">
        <v>-12</v>
      </c>
      <c r="J1109">
        <v>-67.91</v>
      </c>
      <c r="K1109">
        <v>1744</v>
      </c>
      <c r="L1109">
        <v>259</v>
      </c>
      <c r="M1109">
        <v>1484</v>
      </c>
      <c r="N1109">
        <v>2409.63</v>
      </c>
      <c r="O1109">
        <v>-0.84</v>
      </c>
      <c r="P1109">
        <v>0</v>
      </c>
      <c r="Q1109">
        <v>0.66</v>
      </c>
      <c r="R1109">
        <v>52.82</v>
      </c>
      <c r="S1109">
        <v>-106</v>
      </c>
      <c r="T1109">
        <v>12528</v>
      </c>
      <c r="U1109">
        <v>156</v>
      </c>
      <c r="V1109">
        <v>-7</v>
      </c>
      <c r="W1109">
        <v>-147.62</v>
      </c>
      <c r="X1109" s="10">
        <v>0.62971423066613108</v>
      </c>
      <c r="Y1109" s="9">
        <v>9330</v>
      </c>
      <c r="Z1109" s="9">
        <v>8000</v>
      </c>
      <c r="AA1109" s="9">
        <v>9200</v>
      </c>
      <c r="AB1109">
        <v>0.90225563909774431</v>
      </c>
      <c r="AC1109" s="11">
        <v>16.421228118921924</v>
      </c>
      <c r="AD1109" s="9">
        <v>8107.4858757062157</v>
      </c>
      <c r="AE1109" s="8">
        <v>0.12745098039215685</v>
      </c>
    </row>
    <row r="1110" spans="1:31" x14ac:dyDescent="0.35">
      <c r="A1110" s="6" t="s">
        <v>1131</v>
      </c>
      <c r="B1110" s="7">
        <v>0</v>
      </c>
      <c r="C1110" s="7">
        <v>8</v>
      </c>
      <c r="D1110" s="7">
        <v>1</v>
      </c>
      <c r="E1110" s="7">
        <v>9</v>
      </c>
      <c r="F1110">
        <v>991</v>
      </c>
      <c r="G1110">
        <v>-112</v>
      </c>
      <c r="H1110">
        <v>-11.32</v>
      </c>
      <c r="I1110">
        <v>-118</v>
      </c>
      <c r="J1110">
        <v>-11.91</v>
      </c>
      <c r="K1110">
        <v>571</v>
      </c>
      <c r="L1110">
        <v>449</v>
      </c>
      <c r="M1110">
        <v>122</v>
      </c>
      <c r="N1110">
        <v>23.94</v>
      </c>
      <c r="O1110">
        <v>-106.03</v>
      </c>
      <c r="P1110">
        <v>0</v>
      </c>
      <c r="Q1110">
        <v>1.37</v>
      </c>
      <c r="R1110">
        <v>0.08</v>
      </c>
      <c r="S1110">
        <v>-1151</v>
      </c>
      <c r="T1110">
        <v>594</v>
      </c>
      <c r="U1110">
        <v>9668</v>
      </c>
      <c r="V1110">
        <v>-73</v>
      </c>
      <c r="W1110">
        <v>-5.63</v>
      </c>
      <c r="X1110" s="10">
        <v>0.45315319715750479</v>
      </c>
      <c r="Y1110" s="9">
        <v>1380</v>
      </c>
      <c r="Z1110" s="9">
        <v>811</v>
      </c>
      <c r="AA1110" s="9">
        <v>1050</v>
      </c>
      <c r="AB1110">
        <v>0.42003514938488579</v>
      </c>
      <c r="AC1110" s="11">
        <v>6.1516810225062528</v>
      </c>
      <c r="AD1110" s="9">
        <v>823.95706214689267</v>
      </c>
      <c r="AE1110" s="8">
        <v>0.27892813641900122</v>
      </c>
    </row>
    <row r="1111" spans="1:31" x14ac:dyDescent="0.35">
      <c r="A1111" s="6" t="s">
        <v>1132</v>
      </c>
      <c r="B1111" s="7">
        <v>3</v>
      </c>
      <c r="C1111" s="7">
        <v>0</v>
      </c>
      <c r="D1111" s="7">
        <v>5</v>
      </c>
      <c r="E1111" s="7">
        <v>10</v>
      </c>
      <c r="F1111">
        <v>405</v>
      </c>
      <c r="G1111">
        <v>6</v>
      </c>
      <c r="H1111">
        <v>1.37</v>
      </c>
      <c r="I1111">
        <v>12</v>
      </c>
      <c r="J1111">
        <v>3</v>
      </c>
      <c r="K1111">
        <v>2961</v>
      </c>
      <c r="L1111">
        <v>276</v>
      </c>
      <c r="M1111">
        <v>2685</v>
      </c>
      <c r="N1111">
        <v>5865.97</v>
      </c>
      <c r="O1111">
        <v>0.45</v>
      </c>
      <c r="P1111">
        <v>84.88</v>
      </c>
      <c r="Q1111">
        <v>0.39</v>
      </c>
      <c r="R1111">
        <v>2.54</v>
      </c>
      <c r="S1111">
        <v>1349</v>
      </c>
      <c r="T1111">
        <v>293467</v>
      </c>
      <c r="U1111">
        <v>44996</v>
      </c>
      <c r="V1111">
        <v>11</v>
      </c>
      <c r="W1111">
        <v>94.85</v>
      </c>
      <c r="X1111" s="10">
        <v>0.60965541080136743</v>
      </c>
      <c r="Y1111" s="9">
        <v>133000</v>
      </c>
      <c r="Z1111" s="9">
        <v>108000</v>
      </c>
      <c r="AA1111" s="9">
        <v>121500</v>
      </c>
      <c r="AB1111">
        <v>0.54</v>
      </c>
      <c r="AC1111" s="11">
        <v>288.17727146429576</v>
      </c>
      <c r="AD1111" s="9">
        <v>109952.25988700565</v>
      </c>
      <c r="AE1111" s="8">
        <v>0.08</v>
      </c>
    </row>
    <row r="1112" spans="1:31" x14ac:dyDescent="0.35">
      <c r="A1112" s="6" t="s">
        <v>1133</v>
      </c>
      <c r="B1112" s="7">
        <v>7</v>
      </c>
      <c r="C1112" s="7">
        <v>6</v>
      </c>
      <c r="D1112" s="7">
        <v>1</v>
      </c>
      <c r="E1112" s="7">
        <v>4</v>
      </c>
      <c r="F1112">
        <v>11649</v>
      </c>
      <c r="G1112">
        <v>488</v>
      </c>
      <c r="H1112">
        <v>4.1900000000000004</v>
      </c>
      <c r="I1112">
        <v>430</v>
      </c>
      <c r="J1112">
        <v>3.69</v>
      </c>
      <c r="K1112">
        <v>65010</v>
      </c>
      <c r="L1112">
        <v>55650</v>
      </c>
      <c r="M1112">
        <v>9360</v>
      </c>
      <c r="N1112">
        <v>1169.76</v>
      </c>
      <c r="O1112">
        <v>6.22</v>
      </c>
      <c r="P1112">
        <v>7.43</v>
      </c>
      <c r="Q1112">
        <v>1.02</v>
      </c>
      <c r="R1112">
        <v>0.51</v>
      </c>
      <c r="S1112">
        <v>7601</v>
      </c>
      <c r="T1112">
        <v>55519</v>
      </c>
      <c r="U1112">
        <v>111520</v>
      </c>
      <c r="V1112">
        <v>0</v>
      </c>
      <c r="W1112">
        <v>0</v>
      </c>
      <c r="X1112" s="10">
        <v>0.65776525158830779</v>
      </c>
      <c r="Y1112" s="9">
        <v>62400</v>
      </c>
      <c r="Z1112" s="9">
        <v>51600</v>
      </c>
      <c r="AA1112" s="9">
        <v>61700</v>
      </c>
      <c r="AB1112">
        <v>0.93518518518518523</v>
      </c>
      <c r="AC1112" s="11">
        <v>126.5573770491803</v>
      </c>
      <c r="AD1112" s="9">
        <v>53023.333333333336</v>
      </c>
      <c r="AE1112" s="8">
        <v>9.0106007067137811E-2</v>
      </c>
    </row>
    <row r="1113" spans="1:31" x14ac:dyDescent="0.35">
      <c r="A1113" s="6" t="s">
        <v>1134</v>
      </c>
      <c r="B1113" s="7">
        <v>0</v>
      </c>
      <c r="C1113" s="7">
        <v>0</v>
      </c>
      <c r="D1113" s="7">
        <v>0</v>
      </c>
      <c r="E1113" s="7">
        <v>18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 s="10">
        <v>0.25612664371446581</v>
      </c>
      <c r="Y1113" s="9">
        <v>52900</v>
      </c>
      <c r="Z1113" s="9">
        <v>48900</v>
      </c>
      <c r="AA1113" s="9">
        <v>52300</v>
      </c>
      <c r="AB1113">
        <v>0.85</v>
      </c>
      <c r="AC1113" s="11">
        <v>28.528757988330092</v>
      </c>
      <c r="AD1113" s="9">
        <v>49930.706214689271</v>
      </c>
      <c r="AE1113" s="8">
        <v>1.3565891472868217E-2</v>
      </c>
    </row>
    <row r="1114" spans="1:31" x14ac:dyDescent="0.35">
      <c r="A1114" s="6" t="s">
        <v>1135</v>
      </c>
      <c r="B1114" s="7">
        <v>2</v>
      </c>
      <c r="C1114" s="7">
        <v>3</v>
      </c>
      <c r="D1114" s="7">
        <v>5</v>
      </c>
      <c r="E1114" s="7">
        <v>8</v>
      </c>
      <c r="F1114">
        <v>59</v>
      </c>
      <c r="G1114">
        <v>-155</v>
      </c>
      <c r="H1114">
        <v>-260.77</v>
      </c>
      <c r="I1114">
        <v>-161</v>
      </c>
      <c r="J1114">
        <v>-270.56</v>
      </c>
      <c r="K1114">
        <v>436</v>
      </c>
      <c r="L1114">
        <v>563</v>
      </c>
      <c r="M1114">
        <v>-127</v>
      </c>
      <c r="N1114">
        <v>-352.78</v>
      </c>
      <c r="O1114">
        <v>0</v>
      </c>
      <c r="P1114">
        <v>0</v>
      </c>
      <c r="Q1114">
        <v>0</v>
      </c>
      <c r="R1114">
        <v>1.46</v>
      </c>
      <c r="S1114">
        <v>-2216</v>
      </c>
      <c r="T1114">
        <v>-1264</v>
      </c>
      <c r="U1114">
        <v>791</v>
      </c>
      <c r="V1114">
        <v>-188</v>
      </c>
      <c r="W1114">
        <v>-2.3199999999999998</v>
      </c>
      <c r="X1114" s="10">
        <v>1.8732526455647762E-2</v>
      </c>
      <c r="Y1114" s="9">
        <v>3005</v>
      </c>
      <c r="Z1114" s="9">
        <v>1630</v>
      </c>
      <c r="AA1114" s="9">
        <v>2375</v>
      </c>
      <c r="AB1114">
        <v>0.54181818181818187</v>
      </c>
      <c r="AC1114" s="11">
        <v>-2.5629341483745485</v>
      </c>
      <c r="AD1114" s="9">
        <v>2186.6694915254238</v>
      </c>
      <c r="AE1114" s="8">
        <v>-0.20965058236272879</v>
      </c>
    </row>
    <row r="1115" spans="1:31" x14ac:dyDescent="0.35">
      <c r="A1115" s="6" t="s">
        <v>1136</v>
      </c>
      <c r="B1115" s="7">
        <v>11</v>
      </c>
      <c r="C1115" s="7">
        <v>5</v>
      </c>
      <c r="D1115" s="7">
        <v>0</v>
      </c>
      <c r="E1115" s="7">
        <v>2</v>
      </c>
      <c r="F1115">
        <v>5944</v>
      </c>
      <c r="G1115">
        <v>138</v>
      </c>
      <c r="H1115">
        <v>2.31</v>
      </c>
      <c r="I1115">
        <v>11</v>
      </c>
      <c r="J1115">
        <v>0.18</v>
      </c>
      <c r="K1115">
        <v>4406</v>
      </c>
      <c r="L1115">
        <v>2554</v>
      </c>
      <c r="M1115">
        <v>1852</v>
      </c>
      <c r="N1115">
        <v>515.39</v>
      </c>
      <c r="O1115">
        <v>0.59</v>
      </c>
      <c r="P1115">
        <v>113.42</v>
      </c>
      <c r="Q1115">
        <v>0.75</v>
      </c>
      <c r="R1115">
        <v>0.2</v>
      </c>
      <c r="S1115">
        <v>19</v>
      </c>
      <c r="T1115">
        <v>2872</v>
      </c>
      <c r="U1115">
        <v>10593</v>
      </c>
      <c r="V1115">
        <v>186</v>
      </c>
      <c r="W1115">
        <v>15.59</v>
      </c>
      <c r="X1115" s="10">
        <v>0.24038633736661594</v>
      </c>
      <c r="Y1115" s="9">
        <v>2535</v>
      </c>
      <c r="Z1115" s="9">
        <v>1785</v>
      </c>
      <c r="AA1115" s="9">
        <v>2205</v>
      </c>
      <c r="AB1115">
        <v>0.56000000000000005</v>
      </c>
      <c r="AC1115" s="11">
        <v>5.7068630175048609</v>
      </c>
      <c r="AD1115" s="9">
        <v>1998.7740112994352</v>
      </c>
      <c r="AE1115" s="8">
        <v>2.7972027972027972E-2</v>
      </c>
    </row>
    <row r="1116" spans="1:31" x14ac:dyDescent="0.35">
      <c r="A1116" s="6" t="s">
        <v>1137</v>
      </c>
      <c r="B1116" s="7">
        <v>0</v>
      </c>
      <c r="C1116" s="7">
        <v>0</v>
      </c>
      <c r="D1116" s="7">
        <v>0</v>
      </c>
      <c r="E1116" s="7">
        <v>18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 s="10">
        <v>0.34595896304090584</v>
      </c>
      <c r="Y1116" s="9">
        <v>21250</v>
      </c>
      <c r="Z1116" s="9">
        <v>12100</v>
      </c>
      <c r="AA1116" s="9">
        <v>15150</v>
      </c>
      <c r="AB1116">
        <v>0.33333333333333331</v>
      </c>
      <c r="AC1116" s="11">
        <v>76.007224228952481</v>
      </c>
      <c r="AD1116" s="9">
        <v>12333.446327683616</v>
      </c>
      <c r="AE1116" s="8">
        <v>0.16091954022988506</v>
      </c>
    </row>
    <row r="1117" spans="1:31" x14ac:dyDescent="0.35">
      <c r="A1117" s="6" t="s">
        <v>1138</v>
      </c>
      <c r="B1117" s="7">
        <v>3</v>
      </c>
      <c r="C1117" s="7">
        <v>1</v>
      </c>
      <c r="D1117" s="7">
        <v>13</v>
      </c>
      <c r="E1117" s="7">
        <v>1</v>
      </c>
      <c r="F1117">
        <v>854</v>
      </c>
      <c r="G1117">
        <v>11</v>
      </c>
      <c r="H1117">
        <v>1.27</v>
      </c>
      <c r="I1117">
        <v>-7</v>
      </c>
      <c r="J1117">
        <v>-0.77</v>
      </c>
      <c r="K1117">
        <v>974</v>
      </c>
      <c r="L1117">
        <v>482</v>
      </c>
      <c r="M1117">
        <v>491</v>
      </c>
      <c r="N1117">
        <v>-7.3</v>
      </c>
      <c r="O1117">
        <v>-1.32</v>
      </c>
      <c r="P1117">
        <v>0</v>
      </c>
      <c r="Q1117">
        <v>0.56999999999999995</v>
      </c>
      <c r="R1117">
        <v>0.33</v>
      </c>
      <c r="S1117">
        <v>-6</v>
      </c>
      <c r="T1117">
        <v>487</v>
      </c>
      <c r="U1117">
        <v>849</v>
      </c>
      <c r="V1117">
        <v>12</v>
      </c>
      <c r="W1117">
        <v>30.19</v>
      </c>
      <c r="X1117" s="10">
        <v>0.30280159732126322</v>
      </c>
      <c r="Y1117" s="9">
        <v>424</v>
      </c>
      <c r="Z1117" s="9">
        <v>267</v>
      </c>
      <c r="AA1117" s="9">
        <v>348</v>
      </c>
      <c r="AB1117">
        <v>0.51592356687898089</v>
      </c>
      <c r="AC1117" s="11">
        <v>1.5967490969713809</v>
      </c>
      <c r="AD1117" s="9">
        <v>301.48248587570623</v>
      </c>
      <c r="AE1117" s="8">
        <v>0.24285714285714285</v>
      </c>
    </row>
    <row r="1118" spans="1:31" x14ac:dyDescent="0.35">
      <c r="A1118" s="6" t="s">
        <v>1139</v>
      </c>
      <c r="B1118" s="7">
        <v>3</v>
      </c>
      <c r="C1118" s="7">
        <v>2</v>
      </c>
      <c r="D1118" s="7">
        <v>8</v>
      </c>
      <c r="E1118" s="7">
        <v>5</v>
      </c>
      <c r="F1118">
        <v>293</v>
      </c>
      <c r="G1118">
        <v>-99</v>
      </c>
      <c r="H1118">
        <v>-33.71</v>
      </c>
      <c r="I1118">
        <v>-840</v>
      </c>
      <c r="J1118">
        <v>-286.19</v>
      </c>
      <c r="K1118">
        <v>1556</v>
      </c>
      <c r="L1118">
        <v>1972</v>
      </c>
      <c r="M1118">
        <v>-415</v>
      </c>
      <c r="N1118">
        <v>-663.42</v>
      </c>
      <c r="O1118">
        <v>0</v>
      </c>
      <c r="P1118">
        <v>0</v>
      </c>
      <c r="Q1118">
        <v>0</v>
      </c>
      <c r="R1118">
        <v>0.55000000000000004</v>
      </c>
      <c r="S1118">
        <v>-75947</v>
      </c>
      <c r="T1118">
        <v>-28189</v>
      </c>
      <c r="U1118">
        <v>26537</v>
      </c>
      <c r="V1118">
        <v>-125</v>
      </c>
      <c r="W1118">
        <v>-7.26</v>
      </c>
      <c r="X1118" s="10">
        <v>0.30280159732126322</v>
      </c>
      <c r="Y1118" s="9">
        <v>14500</v>
      </c>
      <c r="Z1118" s="9">
        <v>14500</v>
      </c>
      <c r="AA1118" s="9">
        <v>14500</v>
      </c>
      <c r="AC1118" s="11">
        <v>0</v>
      </c>
      <c r="AD1118" s="9">
        <v>14500</v>
      </c>
      <c r="AE1118" s="8">
        <v>0</v>
      </c>
    </row>
    <row r="1119" spans="1:31" x14ac:dyDescent="0.35">
      <c r="A1119" s="6" t="s">
        <v>1140</v>
      </c>
      <c r="B1119" s="7">
        <v>7</v>
      </c>
      <c r="C1119" s="7">
        <v>3</v>
      </c>
      <c r="D1119" s="7">
        <v>7</v>
      </c>
      <c r="E1119" s="7">
        <v>1</v>
      </c>
      <c r="F1119">
        <v>874</v>
      </c>
      <c r="G1119">
        <v>54</v>
      </c>
      <c r="H1119">
        <v>6.14</v>
      </c>
      <c r="I1119">
        <v>43</v>
      </c>
      <c r="J1119">
        <v>4.91</v>
      </c>
      <c r="K1119">
        <v>880</v>
      </c>
      <c r="L1119">
        <v>487</v>
      </c>
      <c r="M1119">
        <v>393</v>
      </c>
      <c r="N1119">
        <v>47.73</v>
      </c>
      <c r="O1119">
        <v>15.88</v>
      </c>
      <c r="P1119">
        <v>17.55</v>
      </c>
      <c r="Q1119">
        <v>2.61</v>
      </c>
      <c r="R1119">
        <v>0</v>
      </c>
      <c r="S1119">
        <v>108</v>
      </c>
      <c r="T1119">
        <v>725</v>
      </c>
      <c r="U1119">
        <v>0</v>
      </c>
      <c r="V1119">
        <v>72</v>
      </c>
      <c r="W1119">
        <v>15.88</v>
      </c>
      <c r="X1119" s="10">
        <v>0.7430916033197813</v>
      </c>
      <c r="Y1119" s="9">
        <v>1950</v>
      </c>
      <c r="Z1119" s="9">
        <v>1410</v>
      </c>
      <c r="AA1119" s="9">
        <v>1720</v>
      </c>
      <c r="AB1119">
        <v>0.57407407407407407</v>
      </c>
      <c r="AC1119" s="11">
        <v>9.06821339260906</v>
      </c>
      <c r="AD1119" s="9">
        <v>1394.3361581920904</v>
      </c>
      <c r="AE1119" s="8">
        <v>0.19031141868512111</v>
      </c>
    </row>
    <row r="1120" spans="1:31" x14ac:dyDescent="0.35">
      <c r="A1120" s="6" t="s">
        <v>1141</v>
      </c>
      <c r="B1120" s="7">
        <v>16</v>
      </c>
      <c r="C1120" s="7">
        <v>2</v>
      </c>
      <c r="D1120" s="7">
        <v>0</v>
      </c>
      <c r="E1120" s="7">
        <v>0</v>
      </c>
      <c r="F1120">
        <v>482</v>
      </c>
      <c r="G1120">
        <v>123</v>
      </c>
      <c r="H1120">
        <v>25.46</v>
      </c>
      <c r="I1120">
        <v>102</v>
      </c>
      <c r="J1120">
        <v>21.14</v>
      </c>
      <c r="K1120">
        <v>799</v>
      </c>
      <c r="L1120">
        <v>91</v>
      </c>
      <c r="M1120">
        <v>709</v>
      </c>
      <c r="N1120">
        <v>1719.15</v>
      </c>
      <c r="O1120">
        <v>15.3</v>
      </c>
      <c r="P1120">
        <v>10.25</v>
      </c>
      <c r="Q1120">
        <v>1.64</v>
      </c>
      <c r="R1120">
        <v>2.17</v>
      </c>
      <c r="S1120">
        <v>1356</v>
      </c>
      <c r="T1120">
        <v>8452</v>
      </c>
      <c r="U1120">
        <v>6417</v>
      </c>
      <c r="V1120">
        <v>144</v>
      </c>
      <c r="W1120">
        <v>7.65</v>
      </c>
      <c r="X1120" s="10">
        <v>0.69221358602109051</v>
      </c>
      <c r="Y1120" s="9">
        <v>16950</v>
      </c>
      <c r="Z1120" s="9">
        <v>11700</v>
      </c>
      <c r="AA1120" s="9">
        <v>15800</v>
      </c>
      <c r="AB1120">
        <v>0.78095238095238095</v>
      </c>
      <c r="AC1120" s="11">
        <v>84.165045846068352</v>
      </c>
      <c r="AD1120" s="9">
        <v>11717.966101694916</v>
      </c>
      <c r="AE1120" s="8">
        <v>0.22480620155038761</v>
      </c>
    </row>
    <row r="1121" spans="1:31" x14ac:dyDescent="0.35">
      <c r="A1121" s="6" t="s">
        <v>1142</v>
      </c>
      <c r="B1121" s="7">
        <v>3</v>
      </c>
      <c r="C1121" s="7">
        <v>4</v>
      </c>
      <c r="D1121" s="7">
        <v>4</v>
      </c>
      <c r="E1121" s="7">
        <v>7</v>
      </c>
      <c r="F1121">
        <v>353</v>
      </c>
      <c r="G1121">
        <v>52</v>
      </c>
      <c r="H1121">
        <v>14.64</v>
      </c>
      <c r="I1121">
        <v>45</v>
      </c>
      <c r="J1121">
        <v>12.75</v>
      </c>
      <c r="K1121">
        <v>734</v>
      </c>
      <c r="L1121">
        <v>82</v>
      </c>
      <c r="M1121">
        <v>651</v>
      </c>
      <c r="N1121">
        <v>1360.49</v>
      </c>
      <c r="O1121">
        <v>9.48</v>
      </c>
      <c r="P1121">
        <v>27.65</v>
      </c>
      <c r="Q1121">
        <v>2.58</v>
      </c>
      <c r="R1121">
        <v>3.52</v>
      </c>
      <c r="S1121">
        <v>671</v>
      </c>
      <c r="T1121">
        <v>7203</v>
      </c>
      <c r="U1121">
        <v>5263</v>
      </c>
      <c r="V1121">
        <v>90</v>
      </c>
      <c r="W1121">
        <v>18.55</v>
      </c>
      <c r="X1121" s="10">
        <v>1.0723257064900087E-3</v>
      </c>
      <c r="Y1121" s="9">
        <v>21250</v>
      </c>
      <c r="Z1121" s="9">
        <v>17000</v>
      </c>
      <c r="AA1121" s="9">
        <v>21100</v>
      </c>
      <c r="AB1121">
        <v>0.96470588235294119</v>
      </c>
      <c r="AC1121" s="11">
        <v>-2.1353153653792711</v>
      </c>
      <c r="AD1121" s="9">
        <v>19529.293785310736</v>
      </c>
      <c r="AE1121" s="8">
        <v>0.16574585635359115</v>
      </c>
    </row>
    <row r="1122" spans="1:31" x14ac:dyDescent="0.35">
      <c r="A1122" s="6" t="s">
        <v>1143</v>
      </c>
      <c r="B1122" s="7">
        <v>2</v>
      </c>
      <c r="C1122" s="7">
        <v>6</v>
      </c>
      <c r="D1122" s="7">
        <v>3</v>
      </c>
      <c r="E1122" s="7">
        <v>7</v>
      </c>
      <c r="F1122">
        <v>2096</v>
      </c>
      <c r="G1122">
        <v>200</v>
      </c>
      <c r="H1122">
        <v>9.5399999999999991</v>
      </c>
      <c r="I1122">
        <v>28</v>
      </c>
      <c r="J1122">
        <v>1.33</v>
      </c>
      <c r="K1122">
        <v>4019</v>
      </c>
      <c r="L1122">
        <v>2164</v>
      </c>
      <c r="M1122">
        <v>1855</v>
      </c>
      <c r="N1122">
        <v>761.08</v>
      </c>
      <c r="O1122">
        <v>1.51</v>
      </c>
      <c r="P1122">
        <v>63.09</v>
      </c>
      <c r="Q1122">
        <v>1.1299999999999999</v>
      </c>
      <c r="R1122">
        <v>0.83</v>
      </c>
      <c r="S1122">
        <v>68</v>
      </c>
      <c r="T1122">
        <v>3785</v>
      </c>
      <c r="U1122">
        <v>5138</v>
      </c>
      <c r="V1122">
        <v>298</v>
      </c>
      <c r="W1122">
        <v>11.48</v>
      </c>
      <c r="X1122" s="10">
        <v>0.42917392893493761</v>
      </c>
      <c r="Y1122" s="9">
        <v>4600</v>
      </c>
      <c r="Z1122" s="9">
        <v>4050</v>
      </c>
      <c r="AA1122" s="9">
        <v>4430</v>
      </c>
      <c r="AB1122">
        <v>0.69090909090909092</v>
      </c>
      <c r="AC1122" s="11">
        <v>4.6760211169769379</v>
      </c>
      <c r="AD1122" s="9">
        <v>4098.7146892655364</v>
      </c>
      <c r="AE1122" s="8">
        <v>2.9036004645760744E-2</v>
      </c>
    </row>
    <row r="1123" spans="1:31" x14ac:dyDescent="0.35">
      <c r="A1123" s="6" t="s">
        <v>1144</v>
      </c>
      <c r="B1123" s="7">
        <v>0</v>
      </c>
      <c r="C1123" s="7">
        <v>0</v>
      </c>
      <c r="D1123" s="7">
        <v>0</v>
      </c>
      <c r="E1123" s="7">
        <v>18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 s="10">
        <v>0.70669282992358406</v>
      </c>
      <c r="Y1123" s="9">
        <v>3250</v>
      </c>
      <c r="Z1123" s="9">
        <v>2775</v>
      </c>
      <c r="AA1123" s="9">
        <v>3250</v>
      </c>
      <c r="AB1123">
        <v>1</v>
      </c>
      <c r="AC1123" s="11">
        <v>5.8563489858293964</v>
      </c>
      <c r="AD1123" s="9">
        <v>2858.7146892655369</v>
      </c>
      <c r="AE1123" s="8">
        <v>9.9830795262267347E-2</v>
      </c>
    </row>
    <row r="1124" spans="1:31" x14ac:dyDescent="0.35">
      <c r="A1124" s="6" t="s">
        <v>1145</v>
      </c>
      <c r="B1124" s="7">
        <v>1</v>
      </c>
      <c r="C1124" s="7">
        <v>1</v>
      </c>
      <c r="D1124" s="7">
        <v>12</v>
      </c>
      <c r="E1124" s="7">
        <v>4</v>
      </c>
      <c r="F1124">
        <v>1052</v>
      </c>
      <c r="G1124">
        <v>-190</v>
      </c>
      <c r="H1124">
        <v>-18.04</v>
      </c>
      <c r="I1124">
        <v>-188</v>
      </c>
      <c r="J1124">
        <v>-17.920000000000002</v>
      </c>
      <c r="K1124">
        <v>1724</v>
      </c>
      <c r="L1124">
        <v>1137</v>
      </c>
      <c r="M1124">
        <v>587</v>
      </c>
      <c r="N1124">
        <v>282.73</v>
      </c>
      <c r="O1124">
        <v>-26.89</v>
      </c>
      <c r="P1124">
        <v>0</v>
      </c>
      <c r="Q1124">
        <v>0.45</v>
      </c>
      <c r="R1124">
        <v>0.21</v>
      </c>
      <c r="S1124">
        <v>-6533</v>
      </c>
      <c r="T1124">
        <v>16770</v>
      </c>
      <c r="U1124">
        <v>36457</v>
      </c>
      <c r="V1124">
        <v>-121</v>
      </c>
      <c r="W1124">
        <v>-2.19</v>
      </c>
      <c r="X1124" s="10">
        <v>8.6301975373594408E-3</v>
      </c>
      <c r="Y1124" s="9">
        <v>8390</v>
      </c>
      <c r="Z1124" s="9">
        <v>6860</v>
      </c>
      <c r="AA1124" s="9">
        <v>7120</v>
      </c>
      <c r="AB1124">
        <v>0.16993464052287582</v>
      </c>
      <c r="AC1124" s="11">
        <v>-1.6285079188663514</v>
      </c>
      <c r="AD1124" s="9">
        <v>7311.8361581920908</v>
      </c>
      <c r="AE1124" s="8">
        <v>-7.4122236671001304E-2</v>
      </c>
    </row>
    <row r="1125" spans="1:31" x14ac:dyDescent="0.35">
      <c r="A1125" s="6" t="s">
        <v>1146</v>
      </c>
      <c r="B1125" s="7">
        <v>6</v>
      </c>
      <c r="C1125" s="7">
        <v>11</v>
      </c>
      <c r="D1125" s="7">
        <v>0</v>
      </c>
      <c r="E1125" s="7">
        <v>1</v>
      </c>
      <c r="F1125">
        <v>333</v>
      </c>
      <c r="G1125">
        <v>70</v>
      </c>
      <c r="H1125">
        <v>21.03</v>
      </c>
      <c r="I1125">
        <v>11</v>
      </c>
      <c r="J1125">
        <v>3.32</v>
      </c>
      <c r="K1125">
        <v>1895</v>
      </c>
      <c r="L1125">
        <v>1028</v>
      </c>
      <c r="M1125">
        <v>867</v>
      </c>
      <c r="N1125">
        <v>146.87</v>
      </c>
      <c r="O1125">
        <v>1.29</v>
      </c>
      <c r="P1125">
        <v>24.2</v>
      </c>
      <c r="Q1125">
        <v>0.36</v>
      </c>
      <c r="R1125">
        <v>0.8</v>
      </c>
      <c r="S1125">
        <v>157</v>
      </c>
      <c r="T1125">
        <v>10652</v>
      </c>
      <c r="U1125">
        <v>4751</v>
      </c>
      <c r="V1125">
        <v>84</v>
      </c>
      <c r="W1125">
        <v>8.0399999999999991</v>
      </c>
      <c r="X1125" s="10">
        <v>0.76014469701175325</v>
      </c>
      <c r="Y1125" s="9">
        <v>4790</v>
      </c>
      <c r="Z1125" s="9">
        <v>3655</v>
      </c>
      <c r="AA1125" s="9">
        <v>4735</v>
      </c>
      <c r="AB1125">
        <v>0.95154185022026427</v>
      </c>
      <c r="AC1125" s="11">
        <v>20.197554876354545</v>
      </c>
      <c r="AD1125" s="9">
        <v>3459.3079096045199</v>
      </c>
      <c r="AE1125" s="8">
        <v>0.22509702457956016</v>
      </c>
    </row>
    <row r="1126" spans="1:31" x14ac:dyDescent="0.35">
      <c r="A1126" s="6" t="s">
        <v>1147</v>
      </c>
      <c r="B1126" s="7">
        <v>0</v>
      </c>
      <c r="C1126" s="7">
        <v>0</v>
      </c>
      <c r="D1126" s="7">
        <v>0</v>
      </c>
      <c r="E1126" s="7">
        <v>18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 s="10">
        <v>0.22606013972347413</v>
      </c>
      <c r="Y1126" s="9">
        <v>10275</v>
      </c>
      <c r="Z1126" s="9">
        <v>9495</v>
      </c>
      <c r="AA1126" s="9">
        <v>10125</v>
      </c>
      <c r="AB1126">
        <v>0.80769230769230771</v>
      </c>
      <c r="AC1126" s="11">
        <v>4.6360100027785496</v>
      </c>
      <c r="AD1126" s="9">
        <v>9810.7683615819205</v>
      </c>
      <c r="AE1126" s="8">
        <v>3.0534351145038167E-2</v>
      </c>
    </row>
    <row r="1127" spans="1:31" x14ac:dyDescent="0.35">
      <c r="A1127" s="6" t="s">
        <v>1148</v>
      </c>
      <c r="B1127" s="7">
        <v>0</v>
      </c>
      <c r="C1127" s="7">
        <v>0</v>
      </c>
      <c r="D1127" s="7">
        <v>0</v>
      </c>
      <c r="E1127" s="7">
        <v>18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 s="10">
        <v>0.25096410269591096</v>
      </c>
      <c r="Y1127" s="9">
        <v>10500</v>
      </c>
      <c r="Z1127" s="9">
        <v>9710</v>
      </c>
      <c r="AA1127" s="9">
        <v>9810</v>
      </c>
      <c r="AB1127">
        <v>0.12658227848101267</v>
      </c>
      <c r="AC1127" s="11">
        <v>-4.9729091414281745</v>
      </c>
      <c r="AD1127" s="9">
        <v>10174.590395480225</v>
      </c>
      <c r="AE1127" s="8">
        <v>-3.4448818897637797E-2</v>
      </c>
    </row>
    <row r="1128" spans="1:31" x14ac:dyDescent="0.35">
      <c r="A1128" s="6" t="s">
        <v>1149</v>
      </c>
      <c r="B1128" s="7">
        <v>0</v>
      </c>
      <c r="C1128" s="7">
        <v>4</v>
      </c>
      <c r="D1128" s="7">
        <v>0</v>
      </c>
      <c r="E1128" s="7">
        <v>14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5</v>
      </c>
      <c r="L1128">
        <v>0</v>
      </c>
      <c r="M1128">
        <v>5</v>
      </c>
      <c r="N1128">
        <v>895.03</v>
      </c>
      <c r="O1128">
        <v>-0.63</v>
      </c>
      <c r="P1128">
        <v>0</v>
      </c>
      <c r="Q1128">
        <v>0</v>
      </c>
      <c r="R1128">
        <v>0</v>
      </c>
      <c r="S1128">
        <v>-6</v>
      </c>
      <c r="T1128">
        <v>995</v>
      </c>
      <c r="U1128">
        <v>0</v>
      </c>
      <c r="V1128">
        <v>0</v>
      </c>
      <c r="W1128">
        <v>0</v>
      </c>
      <c r="X1128" s="10">
        <v>0.78266568947977067</v>
      </c>
      <c r="Y1128" s="9">
        <v>2400</v>
      </c>
      <c r="Z1128" s="9">
        <v>2010</v>
      </c>
      <c r="AA1128" s="9">
        <v>2185</v>
      </c>
      <c r="AB1128">
        <v>0.44871794871794873</v>
      </c>
      <c r="AC1128" s="11">
        <v>4.836899138649625</v>
      </c>
      <c r="AD1128" s="9">
        <v>2000.4745762711864</v>
      </c>
      <c r="AE1128" s="8">
        <v>8.4367245657568243E-2</v>
      </c>
    </row>
    <row r="1129" spans="1:31" x14ac:dyDescent="0.35">
      <c r="A1129" s="6" t="s">
        <v>1150</v>
      </c>
      <c r="B1129" s="7">
        <v>4</v>
      </c>
      <c r="C1129" s="7">
        <v>1</v>
      </c>
      <c r="D1129" s="7">
        <v>10</v>
      </c>
      <c r="E1129" s="7">
        <v>3</v>
      </c>
      <c r="F1129">
        <v>10615</v>
      </c>
      <c r="G1129">
        <v>7213</v>
      </c>
      <c r="H1129">
        <v>67.95</v>
      </c>
      <c r="I1129">
        <v>6626</v>
      </c>
      <c r="J1129">
        <v>62.42</v>
      </c>
      <c r="K1129">
        <v>270945</v>
      </c>
      <c r="L1129">
        <v>68594</v>
      </c>
      <c r="M1129">
        <v>202351</v>
      </c>
      <c r="N1129">
        <v>665.02</v>
      </c>
      <c r="O1129">
        <v>3.3</v>
      </c>
      <c r="P1129">
        <v>36.92</v>
      </c>
      <c r="Q1129">
        <v>1.07</v>
      </c>
      <c r="R1129">
        <v>20.32</v>
      </c>
      <c r="S1129">
        <v>1204</v>
      </c>
      <c r="T1129">
        <v>41684</v>
      </c>
      <c r="U1129">
        <v>2187</v>
      </c>
      <c r="V1129">
        <v>0</v>
      </c>
      <c r="W1129">
        <v>0</v>
      </c>
      <c r="X1129" s="10">
        <v>0.38136274796670117</v>
      </c>
      <c r="Y1129" s="9">
        <v>46650</v>
      </c>
      <c r="Z1129" s="9">
        <v>40850</v>
      </c>
      <c r="AA1129" s="9">
        <v>42300</v>
      </c>
      <c r="AB1129">
        <v>0.25</v>
      </c>
      <c r="AC1129" s="11">
        <v>-52.060294526257294</v>
      </c>
      <c r="AD1129" s="9">
        <v>44910.338983050846</v>
      </c>
      <c r="AE1129" s="8">
        <v>-8.8362068965517238E-2</v>
      </c>
    </row>
    <row r="1130" spans="1:31" x14ac:dyDescent="0.35">
      <c r="A1130" s="6" t="s">
        <v>1151</v>
      </c>
      <c r="B1130" s="7">
        <v>1</v>
      </c>
      <c r="C1130" s="7">
        <v>12</v>
      </c>
      <c r="D1130" s="7">
        <v>1</v>
      </c>
      <c r="E1130" s="7">
        <v>4</v>
      </c>
      <c r="F1130">
        <v>620</v>
      </c>
      <c r="G1130">
        <v>15</v>
      </c>
      <c r="H1130">
        <v>2.38</v>
      </c>
      <c r="I1130">
        <v>5</v>
      </c>
      <c r="J1130">
        <v>0.82</v>
      </c>
      <c r="K1130">
        <v>744</v>
      </c>
      <c r="L1130">
        <v>365</v>
      </c>
      <c r="M1130">
        <v>378</v>
      </c>
      <c r="N1130">
        <v>522.55999999999995</v>
      </c>
      <c r="O1130">
        <v>1.34</v>
      </c>
      <c r="P1130">
        <v>29.09</v>
      </c>
      <c r="Q1130">
        <v>0.4</v>
      </c>
      <c r="R1130">
        <v>0.24</v>
      </c>
      <c r="S1130">
        <v>416</v>
      </c>
      <c r="T1130">
        <v>30492</v>
      </c>
      <c r="U1130">
        <v>51044</v>
      </c>
      <c r="V1130">
        <v>24</v>
      </c>
      <c r="W1130">
        <v>15.47</v>
      </c>
      <c r="X1130" s="10">
        <v>0.61832426299672061</v>
      </c>
      <c r="Y1130" s="9">
        <v>16750</v>
      </c>
      <c r="Z1130" s="9">
        <v>11800</v>
      </c>
      <c r="AA1130" s="9">
        <v>14600</v>
      </c>
      <c r="AB1130">
        <v>0.56565656565656564</v>
      </c>
      <c r="AC1130" s="11">
        <v>69.308141150319528</v>
      </c>
      <c r="AD1130" s="9">
        <v>12196.101694915254</v>
      </c>
      <c r="AE1130" s="8">
        <v>0.19672131147540983</v>
      </c>
    </row>
    <row r="1131" spans="1:31" x14ac:dyDescent="0.35">
      <c r="A1131" s="6" t="s">
        <v>1152</v>
      </c>
      <c r="B1131" s="7">
        <v>6</v>
      </c>
      <c r="C1131" s="7">
        <v>5</v>
      </c>
      <c r="D1131" s="7">
        <v>1</v>
      </c>
      <c r="E1131" s="7">
        <v>6</v>
      </c>
      <c r="F1131">
        <v>1864</v>
      </c>
      <c r="G1131">
        <v>68</v>
      </c>
      <c r="H1131">
        <v>3.67</v>
      </c>
      <c r="I1131">
        <v>100</v>
      </c>
      <c r="J1131">
        <v>5.36</v>
      </c>
      <c r="K1131">
        <v>2200</v>
      </c>
      <c r="L1131">
        <v>1326</v>
      </c>
      <c r="M1131">
        <v>874</v>
      </c>
      <c r="N1131">
        <v>635.41</v>
      </c>
      <c r="O1131">
        <v>12.14</v>
      </c>
      <c r="P1131">
        <v>7.09</v>
      </c>
      <c r="Q1131">
        <v>0.89</v>
      </c>
      <c r="R1131">
        <v>0.38</v>
      </c>
      <c r="S1131">
        <v>414</v>
      </c>
      <c r="T1131">
        <v>3315</v>
      </c>
      <c r="U1131">
        <v>7735</v>
      </c>
      <c r="V1131">
        <v>150</v>
      </c>
      <c r="W1131">
        <v>10.27</v>
      </c>
      <c r="X1131" s="10">
        <v>0.17726160382663267</v>
      </c>
      <c r="Y1131" s="9">
        <v>3530</v>
      </c>
      <c r="Z1131" s="9">
        <v>2935</v>
      </c>
      <c r="AA1131" s="9">
        <v>2990</v>
      </c>
      <c r="AB1131">
        <v>9.2436974789915971E-2</v>
      </c>
      <c r="AC1131" s="11">
        <v>3.2803556543484311</v>
      </c>
      <c r="AD1131" s="9">
        <v>3068.6158192090393</v>
      </c>
      <c r="AE1131" s="8">
        <v>1.5280135823429542E-2</v>
      </c>
    </row>
    <row r="1132" spans="1:31" x14ac:dyDescent="0.35">
      <c r="A1132" s="6" t="s">
        <v>1153</v>
      </c>
      <c r="B1132" s="7">
        <v>4</v>
      </c>
      <c r="C1132" s="7">
        <v>9</v>
      </c>
      <c r="D1132" s="7">
        <v>5</v>
      </c>
      <c r="E1132" s="7">
        <v>0</v>
      </c>
      <c r="F1132">
        <v>410</v>
      </c>
      <c r="G1132">
        <v>75</v>
      </c>
      <c r="H1132">
        <v>18.28</v>
      </c>
      <c r="I1132">
        <v>55</v>
      </c>
      <c r="J1132">
        <v>13.35</v>
      </c>
      <c r="K1132">
        <v>520</v>
      </c>
      <c r="L1132">
        <v>168</v>
      </c>
      <c r="M1132">
        <v>351</v>
      </c>
      <c r="N1132">
        <v>840.46</v>
      </c>
      <c r="O1132">
        <v>29.39</v>
      </c>
      <c r="P1132">
        <v>4.8499999999999996</v>
      </c>
      <c r="Q1132">
        <v>1.25</v>
      </c>
      <c r="R1132">
        <v>0.65</v>
      </c>
      <c r="S1132">
        <v>1205</v>
      </c>
      <c r="T1132">
        <v>4672</v>
      </c>
      <c r="U1132">
        <v>9031</v>
      </c>
      <c r="V1132">
        <v>132</v>
      </c>
      <c r="W1132">
        <v>3.3</v>
      </c>
      <c r="X1132" s="10">
        <v>0.5490447777364128</v>
      </c>
      <c r="Y1132" s="9">
        <v>6670</v>
      </c>
      <c r="Z1132" s="9">
        <v>5200</v>
      </c>
      <c r="AA1132" s="9">
        <v>6240</v>
      </c>
      <c r="AB1132">
        <v>0.70748299319727892</v>
      </c>
      <c r="AC1132" s="11">
        <v>15.214504028896917</v>
      </c>
      <c r="AD1132" s="9">
        <v>5638.7909604519773</v>
      </c>
      <c r="AE1132" s="8">
        <v>0.2</v>
      </c>
    </row>
    <row r="1133" spans="1:31" x14ac:dyDescent="0.35">
      <c r="A1133" s="6" t="s">
        <v>1154</v>
      </c>
      <c r="B1133" s="7">
        <v>11</v>
      </c>
      <c r="C1133" s="7">
        <v>3</v>
      </c>
      <c r="D1133" s="7">
        <v>0</v>
      </c>
      <c r="E1133" s="7">
        <v>4</v>
      </c>
      <c r="F1133">
        <v>1236</v>
      </c>
      <c r="G1133">
        <v>65</v>
      </c>
      <c r="H1133">
        <v>5.26</v>
      </c>
      <c r="I1133">
        <v>74</v>
      </c>
      <c r="J1133">
        <v>5.99</v>
      </c>
      <c r="K1133">
        <v>1180</v>
      </c>
      <c r="L1133">
        <v>343</v>
      </c>
      <c r="M1133">
        <v>837</v>
      </c>
      <c r="N1133">
        <v>1154.3599999999999</v>
      </c>
      <c r="O1133">
        <v>9.18</v>
      </c>
      <c r="P1133">
        <v>10.98</v>
      </c>
      <c r="Q1133">
        <v>1</v>
      </c>
      <c r="R1133">
        <v>0.66</v>
      </c>
      <c r="S1133">
        <v>777</v>
      </c>
      <c r="T1133">
        <v>8552</v>
      </c>
      <c r="U1133">
        <v>12977</v>
      </c>
      <c r="V1133">
        <v>90</v>
      </c>
      <c r="W1133">
        <v>10.47</v>
      </c>
      <c r="X1133" s="10">
        <v>0.78197217357077875</v>
      </c>
      <c r="Y1133" s="9">
        <v>11000</v>
      </c>
      <c r="Z1133" s="9">
        <v>8280</v>
      </c>
      <c r="AA1133" s="9">
        <v>10500</v>
      </c>
      <c r="AB1133">
        <v>0.81617647058823528</v>
      </c>
      <c r="AC1133" s="11">
        <v>44.435954431786605</v>
      </c>
      <c r="AD1133" s="9">
        <v>7919.203389830509</v>
      </c>
      <c r="AE1133" s="8">
        <v>0.24260355029585798</v>
      </c>
    </row>
    <row r="1134" spans="1:31" x14ac:dyDescent="0.35">
      <c r="A1134" s="6" t="s">
        <v>1155</v>
      </c>
      <c r="B1134" s="7">
        <v>5</v>
      </c>
      <c r="C1134" s="7">
        <v>9</v>
      </c>
      <c r="D1134" s="7">
        <v>4</v>
      </c>
      <c r="E1134" s="7">
        <v>0</v>
      </c>
      <c r="F1134">
        <v>918</v>
      </c>
      <c r="G1134">
        <v>75</v>
      </c>
      <c r="H1134">
        <v>8.2200000000000006</v>
      </c>
      <c r="I1134">
        <v>63</v>
      </c>
      <c r="J1134">
        <v>6.92</v>
      </c>
      <c r="K1134">
        <v>788</v>
      </c>
      <c r="L1134">
        <v>294</v>
      </c>
      <c r="M1134">
        <v>495</v>
      </c>
      <c r="N1134">
        <v>1363.36</v>
      </c>
      <c r="O1134">
        <v>13.38</v>
      </c>
      <c r="P1134">
        <v>13.85</v>
      </c>
      <c r="Q1134">
        <v>2.0499999999999998</v>
      </c>
      <c r="R1134">
        <v>0.96</v>
      </c>
      <c r="S1134">
        <v>910</v>
      </c>
      <c r="T1134">
        <v>6154</v>
      </c>
      <c r="U1134">
        <v>13144</v>
      </c>
      <c r="V1134">
        <v>88</v>
      </c>
      <c r="W1134">
        <v>10.47</v>
      </c>
      <c r="X1134" s="10">
        <v>0.81689334307157002</v>
      </c>
      <c r="Y1134" s="9">
        <v>17400</v>
      </c>
      <c r="Z1134" s="9">
        <v>12400</v>
      </c>
      <c r="AA1134" s="9">
        <v>16600</v>
      </c>
      <c r="AB1134">
        <v>0.84</v>
      </c>
      <c r="AC1134" s="11">
        <v>66.8032786885246</v>
      </c>
      <c r="AD1134" s="9">
        <v>12708.333333333334</v>
      </c>
      <c r="AE1134" s="8">
        <v>0.296875</v>
      </c>
    </row>
    <row r="1135" spans="1:31" x14ac:dyDescent="0.35">
      <c r="A1135" s="6" t="s">
        <v>1156</v>
      </c>
      <c r="B1135" s="7">
        <v>6</v>
      </c>
      <c r="C1135" s="7">
        <v>4</v>
      </c>
      <c r="D1135" s="7">
        <v>1</v>
      </c>
      <c r="E1135" s="7">
        <v>7</v>
      </c>
      <c r="F1135">
        <v>3907</v>
      </c>
      <c r="G1135">
        <v>361</v>
      </c>
      <c r="H1135">
        <v>9.23</v>
      </c>
      <c r="I1135">
        <v>302</v>
      </c>
      <c r="J1135">
        <v>7.72</v>
      </c>
      <c r="K1135">
        <v>3765</v>
      </c>
      <c r="L1135">
        <v>776</v>
      </c>
      <c r="M1135">
        <v>2989</v>
      </c>
      <c r="N1135">
        <v>3655.48</v>
      </c>
      <c r="O1135">
        <v>10.5</v>
      </c>
      <c r="P1135">
        <v>13.12</v>
      </c>
      <c r="Q1135">
        <v>1.39</v>
      </c>
      <c r="R1135">
        <v>1.01</v>
      </c>
      <c r="S1135">
        <v>1906</v>
      </c>
      <c r="T1135">
        <v>17929</v>
      </c>
      <c r="U1135">
        <v>24685</v>
      </c>
      <c r="V1135">
        <v>412</v>
      </c>
      <c r="W1135">
        <v>9.86</v>
      </c>
      <c r="X1135" s="10">
        <v>0.86013910991602049</v>
      </c>
      <c r="Y1135" s="9">
        <v>35800</v>
      </c>
      <c r="Z1135" s="9">
        <v>24950</v>
      </c>
      <c r="AA1135" s="9">
        <v>35200</v>
      </c>
      <c r="AB1135">
        <v>0.9447004608294931</v>
      </c>
      <c r="AC1135" s="11">
        <v>166.07390941928313</v>
      </c>
      <c r="AD1135" s="9">
        <v>26529.745762711864</v>
      </c>
      <c r="AE1135" s="8">
        <v>0.40239043824701193</v>
      </c>
    </row>
    <row r="1136" spans="1:31" x14ac:dyDescent="0.35">
      <c r="A1136" s="6" t="s">
        <v>1157</v>
      </c>
      <c r="B1136" s="7">
        <v>2</v>
      </c>
      <c r="C1136" s="7">
        <v>12</v>
      </c>
      <c r="D1136" s="7">
        <v>1</v>
      </c>
      <c r="E1136" s="7">
        <v>3</v>
      </c>
      <c r="F1136">
        <v>6537</v>
      </c>
      <c r="G1136">
        <v>98</v>
      </c>
      <c r="H1136">
        <v>1.5</v>
      </c>
      <c r="I1136">
        <v>-22</v>
      </c>
      <c r="J1136">
        <v>-0.33</v>
      </c>
      <c r="K1136">
        <v>6113</v>
      </c>
      <c r="L1136">
        <v>4297</v>
      </c>
      <c r="M1136">
        <v>1815</v>
      </c>
      <c r="N1136">
        <v>985.4</v>
      </c>
      <c r="O1136">
        <v>-1.21</v>
      </c>
      <c r="P1136">
        <v>0</v>
      </c>
      <c r="Q1136">
        <v>1.99</v>
      </c>
      <c r="R1136">
        <v>0.51</v>
      </c>
      <c r="S1136">
        <v>-67</v>
      </c>
      <c r="T1136">
        <v>5224</v>
      </c>
      <c r="U1136">
        <v>20293</v>
      </c>
      <c r="V1136">
        <v>464</v>
      </c>
      <c r="W1136">
        <v>12.47</v>
      </c>
      <c r="X1136" s="10">
        <v>4.9381902499123578E-5</v>
      </c>
      <c r="Y1136" s="9">
        <v>11750</v>
      </c>
      <c r="Z1136" s="9">
        <v>9990</v>
      </c>
      <c r="AA1136" s="9">
        <v>10400</v>
      </c>
      <c r="AB1136">
        <v>0.23295454545454544</v>
      </c>
      <c r="AC1136" s="11">
        <v>0.16921367046401778</v>
      </c>
      <c r="AD1136" s="9">
        <v>10819.672316384182</v>
      </c>
      <c r="AE1136" s="8">
        <v>4.1041041041041039E-2</v>
      </c>
    </row>
    <row r="1137" spans="1:31" x14ac:dyDescent="0.35">
      <c r="A1137" s="6" t="s">
        <v>1158</v>
      </c>
      <c r="B1137" s="7">
        <v>2</v>
      </c>
      <c r="C1137" s="7">
        <v>10</v>
      </c>
      <c r="D1137" s="7">
        <v>1</v>
      </c>
      <c r="E1137" s="7">
        <v>5</v>
      </c>
      <c r="F1137">
        <v>1250</v>
      </c>
      <c r="G1137">
        <v>6</v>
      </c>
      <c r="H1137">
        <v>0.45</v>
      </c>
      <c r="I1137">
        <v>-3</v>
      </c>
      <c r="J1137">
        <v>-0.25</v>
      </c>
      <c r="K1137">
        <v>1262</v>
      </c>
      <c r="L1137">
        <v>475</v>
      </c>
      <c r="M1137">
        <v>787</v>
      </c>
      <c r="N1137">
        <v>79.59</v>
      </c>
      <c r="O1137">
        <v>-0.41</v>
      </c>
      <c r="P1137">
        <v>0</v>
      </c>
      <c r="Q1137">
        <v>1.1299999999999999</v>
      </c>
      <c r="R1137">
        <v>0.67</v>
      </c>
      <c r="S1137">
        <v>-4</v>
      </c>
      <c r="T1137">
        <v>882</v>
      </c>
      <c r="U1137">
        <v>1488</v>
      </c>
      <c r="V1137">
        <v>22</v>
      </c>
      <c r="W1137">
        <v>52.31</v>
      </c>
      <c r="X1137" s="10">
        <v>7.383024718580114E-2</v>
      </c>
      <c r="Y1137" s="9">
        <v>1055</v>
      </c>
      <c r="Z1137" s="9">
        <v>923</v>
      </c>
      <c r="AA1137" s="9">
        <v>1020</v>
      </c>
      <c r="AB1137">
        <v>0.73484848484848486</v>
      </c>
      <c r="AC1137" s="11">
        <v>-0.48030008335648794</v>
      </c>
      <c r="AD1137" s="9">
        <v>1016.0824858757062</v>
      </c>
      <c r="AE1137" s="8">
        <v>0.02</v>
      </c>
    </row>
    <row r="1138" spans="1:31" x14ac:dyDescent="0.35">
      <c r="A1138" s="6" t="s">
        <v>1159</v>
      </c>
      <c r="B1138" s="7">
        <v>4</v>
      </c>
      <c r="C1138" s="7">
        <v>7</v>
      </c>
      <c r="D1138" s="7">
        <v>4</v>
      </c>
      <c r="E1138" s="7">
        <v>3</v>
      </c>
      <c r="F1138">
        <v>1002</v>
      </c>
      <c r="G1138">
        <v>54</v>
      </c>
      <c r="H1138">
        <v>5.41</v>
      </c>
      <c r="I1138">
        <v>36</v>
      </c>
      <c r="J1138">
        <v>3.57</v>
      </c>
      <c r="K1138">
        <v>1408</v>
      </c>
      <c r="L1138">
        <v>488</v>
      </c>
      <c r="M1138">
        <v>920</v>
      </c>
      <c r="N1138">
        <v>338.07</v>
      </c>
      <c r="O1138">
        <v>3.92</v>
      </c>
      <c r="P1138">
        <v>25.76</v>
      </c>
      <c r="Q1138">
        <v>1.01</v>
      </c>
      <c r="R1138">
        <v>0.92</v>
      </c>
      <c r="S1138">
        <v>85</v>
      </c>
      <c r="T1138">
        <v>2173</v>
      </c>
      <c r="U1138">
        <v>2386</v>
      </c>
      <c r="V1138">
        <v>105</v>
      </c>
      <c r="W1138">
        <v>10.34</v>
      </c>
      <c r="X1138" s="10">
        <v>8.3124251966918902E-3</v>
      </c>
      <c r="Y1138" s="9">
        <v>2400</v>
      </c>
      <c r="Z1138" s="9">
        <v>2085</v>
      </c>
      <c r="AA1138" s="9">
        <v>2280</v>
      </c>
      <c r="AB1138">
        <v>0.61904761904761907</v>
      </c>
      <c r="AC1138" s="11">
        <v>0.40816893581550429</v>
      </c>
      <c r="AD1138" s="9">
        <v>2231.0508474576272</v>
      </c>
      <c r="AE1138" s="8">
        <v>3.6363636363636362E-2</v>
      </c>
    </row>
    <row r="1139" spans="1:31" x14ac:dyDescent="0.35">
      <c r="A1139" s="6" t="s">
        <v>1160</v>
      </c>
      <c r="B1139" s="7">
        <v>11</v>
      </c>
      <c r="C1139" s="7">
        <v>1</v>
      </c>
      <c r="D1139" s="7">
        <v>4</v>
      </c>
      <c r="E1139" s="7">
        <v>2</v>
      </c>
      <c r="F1139">
        <v>13871</v>
      </c>
      <c r="G1139">
        <v>1180</v>
      </c>
      <c r="H1139">
        <v>8.5</v>
      </c>
      <c r="I1139">
        <v>799</v>
      </c>
      <c r="J1139">
        <v>5.76</v>
      </c>
      <c r="K1139">
        <v>24148</v>
      </c>
      <c r="L1139">
        <v>13026</v>
      </c>
      <c r="M1139">
        <v>11121</v>
      </c>
      <c r="N1139">
        <v>177</v>
      </c>
      <c r="O1139">
        <v>7.42</v>
      </c>
      <c r="P1139">
        <v>12.16</v>
      </c>
      <c r="Q1139">
        <v>0.89</v>
      </c>
      <c r="R1139">
        <v>0.7</v>
      </c>
      <c r="S1139">
        <v>995</v>
      </c>
      <c r="T1139">
        <v>13572</v>
      </c>
      <c r="U1139">
        <v>17274</v>
      </c>
      <c r="V1139">
        <v>1795</v>
      </c>
      <c r="W1139">
        <v>10.28</v>
      </c>
      <c r="X1139" s="10">
        <v>0.52441559151223438</v>
      </c>
      <c r="Y1139" s="9">
        <v>16000</v>
      </c>
      <c r="Z1139" s="9">
        <v>12100</v>
      </c>
      <c r="AA1139" s="9">
        <v>15850</v>
      </c>
      <c r="AB1139">
        <v>0.96153846153846156</v>
      </c>
      <c r="AC1139" s="11">
        <v>31.398999722145039</v>
      </c>
      <c r="AD1139" s="9">
        <v>13503.163841807911</v>
      </c>
      <c r="AE1139" s="8">
        <v>0.2834008097165992</v>
      </c>
    </row>
    <row r="1140" spans="1:31" x14ac:dyDescent="0.35">
      <c r="A1140" s="6" t="s">
        <v>1161</v>
      </c>
      <c r="B1140" s="7">
        <v>0</v>
      </c>
      <c r="C1140" s="7">
        <v>0</v>
      </c>
      <c r="D1140" s="7">
        <v>0</v>
      </c>
      <c r="E1140" s="7">
        <v>18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 s="10">
        <v>0.54537874882807102</v>
      </c>
      <c r="Y1140" s="9">
        <v>13500</v>
      </c>
      <c r="Z1140" s="9">
        <v>10000</v>
      </c>
      <c r="AA1140" s="9">
        <v>11800</v>
      </c>
      <c r="AB1140">
        <v>0.51428571428571423</v>
      </c>
      <c r="AC1140" s="11">
        <v>25.257015837732705</v>
      </c>
      <c r="AD1140" s="9">
        <v>10696.327683615818</v>
      </c>
      <c r="AE1140" s="8">
        <v>0.18</v>
      </c>
    </row>
    <row r="1141" spans="1:31" x14ac:dyDescent="0.35">
      <c r="A1141" s="6" t="s">
        <v>1162</v>
      </c>
      <c r="B1141" s="7">
        <v>0</v>
      </c>
      <c r="C1141" s="7">
        <v>0</v>
      </c>
      <c r="D1141" s="7">
        <v>0</v>
      </c>
      <c r="E1141" s="7">
        <v>18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 s="10">
        <v>0.636692834542123</v>
      </c>
      <c r="Y1141" s="9">
        <v>10100</v>
      </c>
      <c r="Z1141" s="9">
        <v>5280</v>
      </c>
      <c r="AA1141" s="9">
        <v>7800</v>
      </c>
      <c r="AB1141">
        <v>0.52282157676348551</v>
      </c>
      <c r="AC1141" s="11">
        <v>46.76715754376216</v>
      </c>
      <c r="AD1141" s="9">
        <v>4990.7683615819205</v>
      </c>
      <c r="AE1141" s="8">
        <v>0.47727272727272729</v>
      </c>
    </row>
    <row r="1142" spans="1:31" x14ac:dyDescent="0.35">
      <c r="A1142" s="6" t="s">
        <v>1163</v>
      </c>
      <c r="B1142" s="7">
        <v>0</v>
      </c>
      <c r="C1142" s="7">
        <v>1</v>
      </c>
      <c r="D1142" s="7">
        <v>6</v>
      </c>
      <c r="E1142" s="7">
        <v>11</v>
      </c>
      <c r="F1142">
        <v>1750</v>
      </c>
      <c r="G1142">
        <v>-101</v>
      </c>
      <c r="H1142">
        <v>-5.78</v>
      </c>
      <c r="I1142">
        <v>-111</v>
      </c>
      <c r="J1142">
        <v>-6.34</v>
      </c>
      <c r="K1142">
        <v>922</v>
      </c>
      <c r="L1142">
        <v>582</v>
      </c>
      <c r="M1142">
        <v>340</v>
      </c>
      <c r="N1142">
        <v>-16.09</v>
      </c>
      <c r="O1142">
        <v>-27.49</v>
      </c>
      <c r="P1142">
        <v>0</v>
      </c>
      <c r="Q1142">
        <v>1.33</v>
      </c>
      <c r="R1142">
        <v>0.25</v>
      </c>
      <c r="S1142">
        <v>-274</v>
      </c>
      <c r="T1142">
        <v>798</v>
      </c>
      <c r="U1142">
        <v>4324</v>
      </c>
      <c r="V1142">
        <v>-93</v>
      </c>
      <c r="W1142">
        <v>-4.6500000000000004</v>
      </c>
      <c r="X1142" s="10">
        <v>0.62832932317909651</v>
      </c>
      <c r="Y1142" s="9">
        <v>1285</v>
      </c>
      <c r="Z1142" s="9">
        <v>968</v>
      </c>
      <c r="AA1142" s="9">
        <v>1235</v>
      </c>
      <c r="AB1142">
        <v>0.8422712933753943</v>
      </c>
      <c r="AC1142" s="11">
        <v>3.9417338149485968</v>
      </c>
      <c r="AD1142" s="9">
        <v>986.360451977401</v>
      </c>
      <c r="AE1142" s="8">
        <v>0.14351851851851852</v>
      </c>
    </row>
    <row r="1143" spans="1:31" x14ac:dyDescent="0.35">
      <c r="A1143" s="6" t="s">
        <v>1164</v>
      </c>
      <c r="B1143" s="7">
        <v>2</v>
      </c>
      <c r="C1143" s="7">
        <v>1</v>
      </c>
      <c r="D1143" s="7">
        <v>12</v>
      </c>
      <c r="E1143" s="7">
        <v>3</v>
      </c>
      <c r="F1143">
        <v>33149</v>
      </c>
      <c r="G1143">
        <v>-778</v>
      </c>
      <c r="H1143">
        <v>-2.35</v>
      </c>
      <c r="I1143">
        <v>-506</v>
      </c>
      <c r="J1143">
        <v>-1.53</v>
      </c>
      <c r="K1143">
        <v>19738</v>
      </c>
      <c r="L1143">
        <v>11907</v>
      </c>
      <c r="M1143">
        <v>7831</v>
      </c>
      <c r="N1143">
        <v>14.31</v>
      </c>
      <c r="O1143">
        <v>-6.05</v>
      </c>
      <c r="P1143">
        <v>0</v>
      </c>
      <c r="Q1143">
        <v>2.0099999999999998</v>
      </c>
      <c r="R1143">
        <v>0.38</v>
      </c>
      <c r="S1143">
        <v>-369</v>
      </c>
      <c r="T1143">
        <v>4607</v>
      </c>
      <c r="U1143">
        <v>24162</v>
      </c>
      <c r="V1143">
        <v>282</v>
      </c>
      <c r="W1143">
        <v>45</v>
      </c>
      <c r="X1143" s="10">
        <v>0.3958727540068458</v>
      </c>
      <c r="Y1143" s="9">
        <v>10250</v>
      </c>
      <c r="Z1143" s="9">
        <v>8210</v>
      </c>
      <c r="AA1143" s="9">
        <v>9020</v>
      </c>
      <c r="AB1143">
        <v>0.39705882352941174</v>
      </c>
      <c r="AC1143" s="11">
        <v>18.606835232008891</v>
      </c>
      <c r="AD1143" s="9">
        <v>8637.4915254237294</v>
      </c>
      <c r="AE1143" s="8">
        <v>-4.5502645502645503E-2</v>
      </c>
    </row>
    <row r="1144" spans="1:31" x14ac:dyDescent="0.35">
      <c r="A1144" s="6" t="s">
        <v>1165</v>
      </c>
      <c r="B1144" s="7">
        <v>8</v>
      </c>
      <c r="C1144" s="7">
        <v>5</v>
      </c>
      <c r="D1144" s="7">
        <v>3</v>
      </c>
      <c r="E1144" s="7">
        <v>2</v>
      </c>
      <c r="F1144">
        <v>222</v>
      </c>
      <c r="G1144">
        <v>10</v>
      </c>
      <c r="H1144">
        <v>4.6900000000000004</v>
      </c>
      <c r="I1144">
        <v>1</v>
      </c>
      <c r="J1144">
        <v>0.31</v>
      </c>
      <c r="K1144">
        <v>326</v>
      </c>
      <c r="L1144">
        <v>40</v>
      </c>
      <c r="M1144">
        <v>286</v>
      </c>
      <c r="N1144">
        <v>101.44</v>
      </c>
      <c r="O1144">
        <v>0.3</v>
      </c>
      <c r="P1144">
        <v>671.67</v>
      </c>
      <c r="Q1144">
        <v>1.87</v>
      </c>
      <c r="R1144">
        <v>2.1</v>
      </c>
      <c r="S1144">
        <v>3</v>
      </c>
      <c r="T1144">
        <v>1079</v>
      </c>
      <c r="U1144">
        <v>959</v>
      </c>
      <c r="V1144">
        <v>13</v>
      </c>
      <c r="W1144">
        <v>39.71</v>
      </c>
      <c r="X1144" s="10">
        <v>3.8998820050242217E-2</v>
      </c>
      <c r="Y1144" s="9">
        <v>2535</v>
      </c>
      <c r="Z1144" s="9">
        <v>2015</v>
      </c>
      <c r="AA1144" s="9">
        <v>2100</v>
      </c>
      <c r="AB1144">
        <v>0.16346153846153846</v>
      </c>
      <c r="AC1144" s="11">
        <v>-1.332870241733815</v>
      </c>
      <c r="AD1144" s="9">
        <v>2294.6525423728813</v>
      </c>
      <c r="AE1144" s="8">
        <v>3.4482758620689655E-2</v>
      </c>
    </row>
    <row r="1145" spans="1:31" x14ac:dyDescent="0.35">
      <c r="A1145" s="6" t="s">
        <v>1166</v>
      </c>
      <c r="B1145" s="7">
        <v>11</v>
      </c>
      <c r="C1145" s="7">
        <v>5</v>
      </c>
      <c r="D1145" s="7">
        <v>1</v>
      </c>
      <c r="E1145" s="7">
        <v>1</v>
      </c>
      <c r="F1145">
        <v>222</v>
      </c>
      <c r="G1145">
        <v>18</v>
      </c>
      <c r="H1145">
        <v>7.92</v>
      </c>
      <c r="I1145">
        <v>12</v>
      </c>
      <c r="J1145">
        <v>5.18</v>
      </c>
      <c r="K1145">
        <v>801</v>
      </c>
      <c r="L1145">
        <v>294</v>
      </c>
      <c r="M1145">
        <v>507</v>
      </c>
      <c r="N1145">
        <v>223.03</v>
      </c>
      <c r="O1145">
        <v>3.06</v>
      </c>
      <c r="P1145">
        <v>21.57</v>
      </c>
      <c r="Q1145">
        <v>0.83</v>
      </c>
      <c r="R1145">
        <v>1.1299999999999999</v>
      </c>
      <c r="S1145">
        <v>51</v>
      </c>
      <c r="T1145">
        <v>1319</v>
      </c>
      <c r="U1145">
        <v>977</v>
      </c>
      <c r="V1145">
        <v>32</v>
      </c>
      <c r="W1145">
        <v>16.850000000000001</v>
      </c>
      <c r="X1145" s="10">
        <v>0.82825974162247984</v>
      </c>
      <c r="Y1145" s="9">
        <v>1460</v>
      </c>
      <c r="Z1145" s="9">
        <v>1005</v>
      </c>
      <c r="AA1145" s="9">
        <v>1385</v>
      </c>
      <c r="AB1145">
        <v>0.8351648351648352</v>
      </c>
      <c r="AC1145" s="11">
        <v>6.068491247568768</v>
      </c>
      <c r="AD1145" s="9">
        <v>1023.4943502824858</v>
      </c>
      <c r="AE1145" s="8">
        <v>0.37810945273631841</v>
      </c>
    </row>
    <row r="1146" spans="1:31" x14ac:dyDescent="0.35">
      <c r="A1146" s="6" t="s">
        <v>1167</v>
      </c>
      <c r="B1146" s="7">
        <v>0</v>
      </c>
      <c r="C1146" s="7">
        <v>1</v>
      </c>
      <c r="D1146" s="7">
        <v>15</v>
      </c>
      <c r="E1146" s="7">
        <v>2</v>
      </c>
      <c r="F1146">
        <v>87</v>
      </c>
      <c r="G1146">
        <v>-8</v>
      </c>
      <c r="H1146">
        <v>-8.91</v>
      </c>
      <c r="I1146">
        <v>-3</v>
      </c>
      <c r="J1146">
        <v>-3.81</v>
      </c>
      <c r="K1146">
        <v>266</v>
      </c>
      <c r="L1146">
        <v>11</v>
      </c>
      <c r="M1146">
        <v>255</v>
      </c>
      <c r="N1146">
        <v>896.2</v>
      </c>
      <c r="O1146">
        <v>-1.26</v>
      </c>
      <c r="P1146">
        <v>0</v>
      </c>
      <c r="Q1146">
        <v>0.94</v>
      </c>
      <c r="R1146">
        <v>2.39</v>
      </c>
      <c r="S1146">
        <v>-63</v>
      </c>
      <c r="T1146">
        <v>4254</v>
      </c>
      <c r="U1146">
        <v>1672</v>
      </c>
      <c r="V1146">
        <v>-3</v>
      </c>
      <c r="W1146">
        <v>-82.14</v>
      </c>
      <c r="X1146" s="10">
        <v>0.49761822642628428</v>
      </c>
      <c r="Y1146" s="9">
        <v>4710</v>
      </c>
      <c r="Z1146" s="9">
        <v>3870</v>
      </c>
      <c r="AA1146" s="9">
        <v>4370</v>
      </c>
      <c r="AB1146">
        <v>0.59523809523809523</v>
      </c>
      <c r="AC1146" s="11">
        <v>9.0957210336204497</v>
      </c>
      <c r="AD1146" s="9">
        <v>3971.3305084745762</v>
      </c>
      <c r="AE1146" s="8">
        <v>9.2499999999999999E-2</v>
      </c>
    </row>
    <row r="1147" spans="1:31" x14ac:dyDescent="0.35">
      <c r="A1147" s="6" t="s">
        <v>1168</v>
      </c>
      <c r="B1147" s="7">
        <v>3</v>
      </c>
      <c r="C1147" s="7">
        <v>5</v>
      </c>
      <c r="D1147" s="7">
        <v>2</v>
      </c>
      <c r="E1147" s="7">
        <v>8</v>
      </c>
      <c r="F1147">
        <v>253</v>
      </c>
      <c r="G1147">
        <v>31</v>
      </c>
      <c r="H1147">
        <v>12.31</v>
      </c>
      <c r="I1147">
        <v>26</v>
      </c>
      <c r="J1147">
        <v>10.14</v>
      </c>
      <c r="K1147">
        <v>500</v>
      </c>
      <c r="L1147">
        <v>51</v>
      </c>
      <c r="M1147">
        <v>450</v>
      </c>
      <c r="N1147">
        <v>2363.31</v>
      </c>
      <c r="O1147">
        <v>5.83</v>
      </c>
      <c r="P1147">
        <v>27.56</v>
      </c>
      <c r="Q1147">
        <v>1.83</v>
      </c>
      <c r="R1147">
        <v>2.8</v>
      </c>
      <c r="S1147">
        <v>702</v>
      </c>
      <c r="T1147">
        <v>10591</v>
      </c>
      <c r="U1147">
        <v>6921</v>
      </c>
      <c r="V1147">
        <v>53</v>
      </c>
      <c r="W1147">
        <v>13.27</v>
      </c>
      <c r="X1147" s="10">
        <v>0.61611683458048683</v>
      </c>
      <c r="Y1147" s="9">
        <v>23450</v>
      </c>
      <c r="Z1147" s="9">
        <v>18000</v>
      </c>
      <c r="AA1147" s="9">
        <v>22000</v>
      </c>
      <c r="AB1147">
        <v>0.73394495412844041</v>
      </c>
      <c r="AC1147" s="11">
        <v>76.749096971380951</v>
      </c>
      <c r="AD1147" s="9">
        <v>18085.81920903955</v>
      </c>
      <c r="AE1147" s="8">
        <v>0.1111111111111111</v>
      </c>
    </row>
    <row r="1148" spans="1:31" x14ac:dyDescent="0.35">
      <c r="A1148" s="6" t="s">
        <v>1169</v>
      </c>
      <c r="B1148" s="7">
        <v>13</v>
      </c>
      <c r="C1148" s="7">
        <v>5</v>
      </c>
      <c r="D1148" s="7">
        <v>0</v>
      </c>
      <c r="E1148" s="7">
        <v>0</v>
      </c>
      <c r="F1148">
        <v>405</v>
      </c>
      <c r="G1148">
        <v>146</v>
      </c>
      <c r="H1148">
        <v>36.119999999999997</v>
      </c>
      <c r="I1148">
        <v>120</v>
      </c>
      <c r="J1148">
        <v>29.74</v>
      </c>
      <c r="K1148">
        <v>588</v>
      </c>
      <c r="L1148">
        <v>43</v>
      </c>
      <c r="M1148">
        <v>545</v>
      </c>
      <c r="N1148">
        <v>1171.26</v>
      </c>
      <c r="O1148">
        <v>24.53</v>
      </c>
      <c r="P1148">
        <v>33.42</v>
      </c>
      <c r="Q1148">
        <v>9.1</v>
      </c>
      <c r="R1148">
        <v>9.94</v>
      </c>
      <c r="S1148">
        <v>1559</v>
      </c>
      <c r="T1148">
        <v>5728</v>
      </c>
      <c r="U1148">
        <v>5241</v>
      </c>
      <c r="V1148">
        <v>157</v>
      </c>
      <c r="W1148">
        <v>31.22</v>
      </c>
      <c r="X1148" s="10">
        <v>0.70792406111940864</v>
      </c>
      <c r="Y1148" s="9">
        <v>72000</v>
      </c>
      <c r="Z1148" s="9">
        <v>52100</v>
      </c>
      <c r="AA1148" s="9">
        <v>65300</v>
      </c>
      <c r="AB1148">
        <v>0.66331658291457285</v>
      </c>
      <c r="AC1148" s="11">
        <v>271.8505140316754</v>
      </c>
      <c r="AD1148" s="9">
        <v>54380.225988700564</v>
      </c>
      <c r="AE1148" s="8">
        <v>0.25095785440613028</v>
      </c>
    </row>
    <row r="1149" spans="1:31" x14ac:dyDescent="0.35">
      <c r="A1149" s="6" t="s">
        <v>1170</v>
      </c>
      <c r="B1149" s="7">
        <v>7</v>
      </c>
      <c r="C1149" s="7">
        <v>2</v>
      </c>
      <c r="D1149" s="7">
        <v>8</v>
      </c>
      <c r="E1149" s="7">
        <v>1</v>
      </c>
      <c r="F1149">
        <v>1831</v>
      </c>
      <c r="G1149">
        <v>165</v>
      </c>
      <c r="H1149">
        <v>9.0399999999999991</v>
      </c>
      <c r="I1149">
        <v>117</v>
      </c>
      <c r="J1149">
        <v>6.39</v>
      </c>
      <c r="K1149">
        <v>1888</v>
      </c>
      <c r="L1149">
        <v>947</v>
      </c>
      <c r="M1149">
        <v>941</v>
      </c>
      <c r="N1149">
        <v>799.62</v>
      </c>
      <c r="O1149">
        <v>13.74</v>
      </c>
      <c r="P1149">
        <v>13.71</v>
      </c>
      <c r="Q1149">
        <v>2.0699999999999998</v>
      </c>
      <c r="R1149">
        <v>0.88</v>
      </c>
      <c r="S1149">
        <v>593</v>
      </c>
      <c r="T1149">
        <v>3925</v>
      </c>
      <c r="U1149">
        <v>9286</v>
      </c>
      <c r="V1149">
        <v>193</v>
      </c>
      <c r="W1149">
        <v>10.61</v>
      </c>
      <c r="X1149" s="10">
        <v>0.85253939428333214</v>
      </c>
      <c r="Y1149" s="9">
        <v>8400</v>
      </c>
      <c r="Z1149" s="9">
        <v>6760</v>
      </c>
      <c r="AA1149" s="9">
        <v>7050</v>
      </c>
      <c r="AB1149">
        <v>0.17682926829268292</v>
      </c>
      <c r="AC1149" s="11">
        <v>-21.238399555432064</v>
      </c>
      <c r="AD1149" s="9">
        <v>8184.2711864406783</v>
      </c>
      <c r="AE1149" s="8">
        <v>-0.12204234122042341</v>
      </c>
    </row>
    <row r="1150" spans="1:31" x14ac:dyDescent="0.35">
      <c r="A1150" s="6" t="s">
        <v>1171</v>
      </c>
      <c r="B1150" s="7">
        <v>2</v>
      </c>
      <c r="C1150" s="7">
        <v>4</v>
      </c>
      <c r="D1150" s="7">
        <v>0</v>
      </c>
      <c r="E1150" s="7">
        <v>12</v>
      </c>
      <c r="F1150">
        <v>115</v>
      </c>
      <c r="G1150">
        <v>-46</v>
      </c>
      <c r="H1150">
        <v>-40.31</v>
      </c>
      <c r="I1150">
        <v>-55</v>
      </c>
      <c r="J1150">
        <v>-48.26</v>
      </c>
      <c r="K1150">
        <v>653</v>
      </c>
      <c r="L1150">
        <v>272</v>
      </c>
      <c r="M1150">
        <v>381</v>
      </c>
      <c r="N1150">
        <v>111.29</v>
      </c>
      <c r="O1150">
        <v>-16.09</v>
      </c>
      <c r="P1150">
        <v>0</v>
      </c>
      <c r="Q1150">
        <v>0.73</v>
      </c>
      <c r="R1150">
        <v>1.62</v>
      </c>
      <c r="S1150">
        <v>-227</v>
      </c>
      <c r="T1150">
        <v>1042</v>
      </c>
      <c r="U1150">
        <v>471</v>
      </c>
      <c r="V1150">
        <v>-44</v>
      </c>
      <c r="W1150">
        <v>-11.51</v>
      </c>
      <c r="X1150" s="10">
        <v>0.71453697882807277</v>
      </c>
      <c r="Y1150" s="9">
        <v>1850</v>
      </c>
      <c r="Z1150" s="9">
        <v>750</v>
      </c>
      <c r="AA1150" s="9">
        <v>1550</v>
      </c>
      <c r="AB1150">
        <v>0.72727272727272729</v>
      </c>
      <c r="AC1150" s="11">
        <v>12.673603778827452</v>
      </c>
      <c r="AD1150" s="9">
        <v>962.53841807909589</v>
      </c>
      <c r="AE1150" s="8">
        <v>1.0666666666666667</v>
      </c>
    </row>
    <row r="1151" spans="1:31" x14ac:dyDescent="0.35">
      <c r="A1151" s="6" t="s">
        <v>1172</v>
      </c>
      <c r="B1151" s="7">
        <v>1</v>
      </c>
      <c r="C1151" s="7">
        <v>5</v>
      </c>
      <c r="D1151" s="7">
        <v>1</v>
      </c>
      <c r="E1151" s="7">
        <v>11</v>
      </c>
      <c r="F1151">
        <v>208</v>
      </c>
      <c r="G1151">
        <v>-21</v>
      </c>
      <c r="H1151">
        <v>-10.25</v>
      </c>
      <c r="I1151">
        <v>-26</v>
      </c>
      <c r="J1151">
        <v>-12.64</v>
      </c>
      <c r="K1151">
        <v>630</v>
      </c>
      <c r="L1151">
        <v>286</v>
      </c>
      <c r="M1151">
        <v>345</v>
      </c>
      <c r="N1151">
        <v>-6.27</v>
      </c>
      <c r="O1151">
        <v>-7.85</v>
      </c>
      <c r="P1151">
        <v>0</v>
      </c>
      <c r="Q1151">
        <v>1.1399999999999999</v>
      </c>
      <c r="R1151">
        <v>1.5</v>
      </c>
      <c r="S1151">
        <v>-40</v>
      </c>
      <c r="T1151">
        <v>414</v>
      </c>
      <c r="U1151">
        <v>314</v>
      </c>
      <c r="V1151">
        <v>24</v>
      </c>
      <c r="W1151">
        <v>23.34</v>
      </c>
      <c r="X1151" s="10">
        <v>0.15026791729431208</v>
      </c>
      <c r="Y1151" s="9">
        <v>1170</v>
      </c>
      <c r="Z1151" s="9">
        <v>467</v>
      </c>
      <c r="AA1151" s="9">
        <v>814</v>
      </c>
      <c r="AB1151">
        <v>0.49359886201991465</v>
      </c>
      <c r="AC1151" s="11">
        <v>3.9357321478188387</v>
      </c>
      <c r="AD1151" s="9">
        <v>673.9435028248588</v>
      </c>
      <c r="AE1151" s="8">
        <v>0.6958333333333333</v>
      </c>
    </row>
    <row r="1152" spans="1:31" x14ac:dyDescent="0.35">
      <c r="A1152" s="6" t="s">
        <v>1173</v>
      </c>
      <c r="B1152" s="7">
        <v>1</v>
      </c>
      <c r="C1152" s="7">
        <v>3</v>
      </c>
      <c r="D1152" s="7">
        <v>2</v>
      </c>
      <c r="E1152" s="7">
        <v>12</v>
      </c>
      <c r="F1152">
        <v>255</v>
      </c>
      <c r="G1152">
        <v>-59</v>
      </c>
      <c r="H1152">
        <v>-23.03</v>
      </c>
      <c r="I1152">
        <v>-61</v>
      </c>
      <c r="J1152">
        <v>-23.76</v>
      </c>
      <c r="K1152">
        <v>796</v>
      </c>
      <c r="L1152">
        <v>310</v>
      </c>
      <c r="M1152">
        <v>487</v>
      </c>
      <c r="N1152">
        <v>859.92</v>
      </c>
      <c r="O1152">
        <v>-15.55</v>
      </c>
      <c r="P1152">
        <v>0</v>
      </c>
      <c r="Q1152">
        <v>0.86</v>
      </c>
      <c r="R1152">
        <v>1.19</v>
      </c>
      <c r="S1152">
        <v>-793</v>
      </c>
      <c r="T1152">
        <v>4591</v>
      </c>
      <c r="U1152">
        <v>3337</v>
      </c>
      <c r="V1152">
        <v>-67</v>
      </c>
      <c r="W1152">
        <v>-6.1</v>
      </c>
      <c r="X1152" s="10">
        <v>6.7450438879753466E-2</v>
      </c>
      <c r="Y1152" s="9">
        <v>3580</v>
      </c>
      <c r="Z1152" s="9">
        <v>3080</v>
      </c>
      <c r="AA1152" s="9">
        <v>3320</v>
      </c>
      <c r="AB1152">
        <v>0.48</v>
      </c>
      <c r="AC1152" s="11">
        <v>2.150736315643234</v>
      </c>
      <c r="AD1152" s="9">
        <v>3260.3192090395478</v>
      </c>
      <c r="AE1152" s="8">
        <v>5.5643879173290937E-2</v>
      </c>
    </row>
    <row r="1153" spans="1:31" x14ac:dyDescent="0.35">
      <c r="A1153" s="6" t="s">
        <v>1174</v>
      </c>
      <c r="B1153" s="7">
        <v>8</v>
      </c>
      <c r="C1153" s="7">
        <v>2</v>
      </c>
      <c r="D1153" s="7">
        <v>2</v>
      </c>
      <c r="E1153" s="7">
        <v>6</v>
      </c>
      <c r="F1153">
        <v>17</v>
      </c>
      <c r="G1153">
        <v>-17</v>
      </c>
      <c r="H1153">
        <v>-100.54</v>
      </c>
      <c r="I1153">
        <v>22</v>
      </c>
      <c r="J1153">
        <v>130.15</v>
      </c>
      <c r="K1153">
        <v>199</v>
      </c>
      <c r="L1153">
        <v>2</v>
      </c>
      <c r="M1153">
        <v>197</v>
      </c>
      <c r="N1153">
        <v>-27.62</v>
      </c>
      <c r="O1153">
        <v>15.6</v>
      </c>
      <c r="P1153">
        <v>32.549999999999997</v>
      </c>
      <c r="Q1153">
        <v>4.7699999999999996</v>
      </c>
      <c r="R1153">
        <v>42.07</v>
      </c>
      <c r="S1153">
        <v>53</v>
      </c>
      <c r="T1153">
        <v>362</v>
      </c>
      <c r="U1153">
        <v>41</v>
      </c>
      <c r="V1153">
        <v>-21</v>
      </c>
      <c r="W1153">
        <v>-43.85</v>
      </c>
      <c r="X1153" s="10">
        <v>6.7450438879753466E-2</v>
      </c>
      <c r="Y1153" s="9">
        <v>1725</v>
      </c>
      <c r="Z1153" s="9">
        <v>1725</v>
      </c>
      <c r="AA1153" s="9">
        <v>1725</v>
      </c>
      <c r="AC1153" s="11">
        <v>0</v>
      </c>
      <c r="AD1153" s="9">
        <v>1725</v>
      </c>
      <c r="AE1153" s="8">
        <v>0</v>
      </c>
    </row>
    <row r="1154" spans="1:31" x14ac:dyDescent="0.35">
      <c r="A1154" s="6" t="s">
        <v>1175</v>
      </c>
      <c r="B1154" s="7">
        <v>8</v>
      </c>
      <c r="C1154" s="7">
        <v>8</v>
      </c>
      <c r="D1154" s="7">
        <v>0</v>
      </c>
      <c r="E1154" s="7">
        <v>2</v>
      </c>
      <c r="F1154">
        <v>1838</v>
      </c>
      <c r="G1154">
        <v>626</v>
      </c>
      <c r="H1154">
        <v>34.03</v>
      </c>
      <c r="I1154">
        <v>577</v>
      </c>
      <c r="J1154">
        <v>31.38</v>
      </c>
      <c r="K1154">
        <v>3478</v>
      </c>
      <c r="L1154">
        <v>369</v>
      </c>
      <c r="M1154">
        <v>3109</v>
      </c>
      <c r="N1154">
        <v>3806</v>
      </c>
      <c r="O1154">
        <v>25.25</v>
      </c>
      <c r="P1154">
        <v>6.66</v>
      </c>
      <c r="Q1154">
        <v>1.49</v>
      </c>
      <c r="R1154">
        <v>2.09</v>
      </c>
      <c r="S1154">
        <v>3970</v>
      </c>
      <c r="T1154">
        <v>17733</v>
      </c>
      <c r="U1154">
        <v>12651</v>
      </c>
      <c r="V1154">
        <v>635</v>
      </c>
      <c r="W1154">
        <v>7.2</v>
      </c>
      <c r="X1154" s="10">
        <v>0.68778202654350173</v>
      </c>
      <c r="Y1154" s="9">
        <v>37550</v>
      </c>
      <c r="Z1154" s="9">
        <v>25050</v>
      </c>
      <c r="AA1154" s="9">
        <v>34400</v>
      </c>
      <c r="AB1154">
        <v>0.748</v>
      </c>
      <c r="AC1154" s="11">
        <v>177.9021950541817</v>
      </c>
      <c r="AD1154" s="9">
        <v>23768.983050847459</v>
      </c>
      <c r="AE1154" s="8">
        <v>0.29566854990583802</v>
      </c>
    </row>
    <row r="1155" spans="1:31" x14ac:dyDescent="0.35">
      <c r="A1155" s="6" t="s">
        <v>1176</v>
      </c>
      <c r="B1155" s="7">
        <v>3</v>
      </c>
      <c r="C1155" s="7">
        <v>3</v>
      </c>
      <c r="D1155" s="7">
        <v>5</v>
      </c>
      <c r="E1155" s="7">
        <v>7</v>
      </c>
      <c r="F1155">
        <v>54</v>
      </c>
      <c r="G1155">
        <v>-39</v>
      </c>
      <c r="H1155">
        <v>-71.58</v>
      </c>
      <c r="I1155">
        <v>-40</v>
      </c>
      <c r="J1155">
        <v>-74.760000000000005</v>
      </c>
      <c r="K1155">
        <v>348</v>
      </c>
      <c r="L1155">
        <v>144</v>
      </c>
      <c r="M1155">
        <v>204</v>
      </c>
      <c r="N1155">
        <v>39.9</v>
      </c>
      <c r="O1155">
        <v>-24</v>
      </c>
      <c r="P1155">
        <v>0</v>
      </c>
      <c r="Q1155">
        <v>0.53</v>
      </c>
      <c r="R1155">
        <v>1.26</v>
      </c>
      <c r="S1155">
        <v>-313</v>
      </c>
      <c r="T1155">
        <v>989</v>
      </c>
      <c r="U1155">
        <v>420</v>
      </c>
      <c r="V1155">
        <v>0</v>
      </c>
      <c r="W1155">
        <v>0</v>
      </c>
      <c r="X1155" s="10">
        <v>4.2669673993816345E-3</v>
      </c>
      <c r="Y1155" s="9">
        <v>648</v>
      </c>
      <c r="Z1155" s="9">
        <v>485</v>
      </c>
      <c r="AA1155" s="9">
        <v>495</v>
      </c>
      <c r="AB1155">
        <v>6.1349693251533742E-2</v>
      </c>
      <c r="AC1155" s="11">
        <v>-0.12475687691025285</v>
      </c>
      <c r="AD1155" s="9">
        <v>546.33841807909596</v>
      </c>
      <c r="AE1155" s="8">
        <v>-4.2553191489361701E-2</v>
      </c>
    </row>
    <row r="1156" spans="1:31" x14ac:dyDescent="0.35">
      <c r="A1156" s="6" t="s">
        <v>1177</v>
      </c>
      <c r="B1156" s="7">
        <v>0</v>
      </c>
      <c r="C1156" s="7">
        <v>1</v>
      </c>
      <c r="D1156" s="7">
        <v>5</v>
      </c>
      <c r="E1156" s="7">
        <v>12</v>
      </c>
      <c r="F1156">
        <v>329</v>
      </c>
      <c r="G1156">
        <v>-69</v>
      </c>
      <c r="H1156">
        <v>-20.95</v>
      </c>
      <c r="I1156">
        <v>-127</v>
      </c>
      <c r="J1156">
        <v>-38.47</v>
      </c>
      <c r="K1156">
        <v>548</v>
      </c>
      <c r="L1156">
        <v>310</v>
      </c>
      <c r="M1156">
        <v>237</v>
      </c>
      <c r="N1156">
        <v>943.12</v>
      </c>
      <c r="O1156">
        <v>-42.16</v>
      </c>
      <c r="P1156">
        <v>0</v>
      </c>
      <c r="Q1156">
        <v>0.67</v>
      </c>
      <c r="R1156">
        <v>0.43</v>
      </c>
      <c r="S1156">
        <v>-2747</v>
      </c>
      <c r="T1156">
        <v>4613</v>
      </c>
      <c r="U1156">
        <v>7140</v>
      </c>
      <c r="V1156">
        <v>-17</v>
      </c>
      <c r="W1156">
        <v>-21.08</v>
      </c>
      <c r="X1156" s="10">
        <v>0.89422785930281623</v>
      </c>
      <c r="Y1156" s="9">
        <v>4635</v>
      </c>
      <c r="Z1156" s="9">
        <v>3095</v>
      </c>
      <c r="AA1156" s="9">
        <v>4185</v>
      </c>
      <c r="AB1156">
        <v>0.70779220779220775</v>
      </c>
      <c r="AC1156" s="11">
        <v>23.77660461239233</v>
      </c>
      <c r="AD1156" s="9">
        <v>3017.8135593220341</v>
      </c>
      <c r="AE1156" s="8">
        <v>0.35218093699515346</v>
      </c>
    </row>
    <row r="1157" spans="1:31" x14ac:dyDescent="0.35">
      <c r="A1157" s="6" t="s">
        <v>1178</v>
      </c>
      <c r="B1157" s="7">
        <v>0</v>
      </c>
      <c r="C1157" s="7">
        <v>6</v>
      </c>
      <c r="D1157" s="7">
        <v>5</v>
      </c>
      <c r="E1157" s="7">
        <v>7</v>
      </c>
      <c r="F1157">
        <v>152</v>
      </c>
      <c r="G1157">
        <v>6</v>
      </c>
      <c r="H1157">
        <v>4.16</v>
      </c>
      <c r="I1157">
        <v>-9</v>
      </c>
      <c r="J1157">
        <v>-6.25</v>
      </c>
      <c r="K1157">
        <v>573</v>
      </c>
      <c r="L1157">
        <v>199</v>
      </c>
      <c r="M1157">
        <v>374</v>
      </c>
      <c r="N1157">
        <v>1074.3</v>
      </c>
      <c r="O1157">
        <v>-3.34</v>
      </c>
      <c r="P1157">
        <v>0</v>
      </c>
      <c r="Q1157">
        <v>2.0499999999999998</v>
      </c>
      <c r="R1157">
        <v>2.79</v>
      </c>
      <c r="S1157">
        <v>-193</v>
      </c>
      <c r="T1157">
        <v>4210</v>
      </c>
      <c r="U1157">
        <v>3104</v>
      </c>
      <c r="V1157">
        <v>22</v>
      </c>
      <c r="W1157">
        <v>32.21</v>
      </c>
      <c r="X1157" s="10">
        <v>0.67137202049216183</v>
      </c>
      <c r="Y1157" s="9">
        <v>9210</v>
      </c>
      <c r="Z1157" s="9">
        <v>6730</v>
      </c>
      <c r="AA1157" s="9">
        <v>8420</v>
      </c>
      <c r="AB1157">
        <v>0.68145161290322576</v>
      </c>
      <c r="AC1157" s="11">
        <v>30.610447346485127</v>
      </c>
      <c r="AD1157" s="9">
        <v>6873.2146892655364</v>
      </c>
      <c r="AE1157" s="8">
        <v>0.24372230428360414</v>
      </c>
    </row>
    <row r="1158" spans="1:31" x14ac:dyDescent="0.35">
      <c r="A1158" s="6" t="s">
        <v>1179</v>
      </c>
      <c r="B1158" s="7">
        <v>4</v>
      </c>
      <c r="C1158" s="7">
        <v>3</v>
      </c>
      <c r="D1158" s="7">
        <v>6</v>
      </c>
      <c r="E1158" s="7">
        <v>5</v>
      </c>
      <c r="F1158">
        <v>397</v>
      </c>
      <c r="G1158">
        <v>84</v>
      </c>
      <c r="H1158">
        <v>21.29</v>
      </c>
      <c r="I1158">
        <v>62</v>
      </c>
      <c r="J1158">
        <v>15.55</v>
      </c>
      <c r="K1158">
        <v>1331</v>
      </c>
      <c r="L1158">
        <v>403</v>
      </c>
      <c r="M1158">
        <v>928</v>
      </c>
      <c r="N1158">
        <v>1094.03</v>
      </c>
      <c r="O1158">
        <v>9.2799999999999994</v>
      </c>
      <c r="P1158">
        <v>112.83</v>
      </c>
      <c r="Q1158">
        <v>12.33</v>
      </c>
      <c r="R1158">
        <v>17.55</v>
      </c>
      <c r="S1158">
        <v>491</v>
      </c>
      <c r="T1158">
        <v>4493</v>
      </c>
      <c r="U1158">
        <v>3156</v>
      </c>
      <c r="V1158">
        <v>159</v>
      </c>
      <c r="W1158">
        <v>59.4</v>
      </c>
      <c r="X1158" s="10">
        <v>0.75952727429525135</v>
      </c>
      <c r="Y1158" s="9">
        <v>39050</v>
      </c>
      <c r="Z1158" s="9">
        <v>30950</v>
      </c>
      <c r="AA1158" s="9">
        <v>38100</v>
      </c>
      <c r="AB1158">
        <v>0.88271604938271608</v>
      </c>
      <c r="AC1158" s="11">
        <v>101.25451514309532</v>
      </c>
      <c r="AD1158" s="9">
        <v>31730.903954802256</v>
      </c>
      <c r="AE1158" s="8">
        <v>0.19062499999999999</v>
      </c>
    </row>
    <row r="1159" spans="1:31" x14ac:dyDescent="0.35">
      <c r="A1159" s="6" t="s">
        <v>1180</v>
      </c>
      <c r="B1159" s="7">
        <v>0</v>
      </c>
      <c r="C1159" s="7">
        <v>0</v>
      </c>
      <c r="D1159" s="7">
        <v>0</v>
      </c>
      <c r="E1159" s="7">
        <v>18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 s="10">
        <v>0.67323854081871493</v>
      </c>
      <c r="Y1159" s="9">
        <v>5000</v>
      </c>
      <c r="Z1159" s="9">
        <v>3825</v>
      </c>
      <c r="AA1159" s="9">
        <v>4765</v>
      </c>
      <c r="AB1159">
        <v>0.8</v>
      </c>
      <c r="AC1159" s="11">
        <v>17.935815504306753</v>
      </c>
      <c r="AD1159" s="9">
        <v>3702.7909604519773</v>
      </c>
      <c r="AE1159" s="8">
        <v>0.20785804816223066</v>
      </c>
    </row>
    <row r="1160" spans="1:31" x14ac:dyDescent="0.35">
      <c r="A1160" s="6" t="s">
        <v>1181</v>
      </c>
      <c r="B1160" s="7">
        <v>11</v>
      </c>
      <c r="C1160" s="7">
        <v>3</v>
      </c>
      <c r="D1160" s="7">
        <v>4</v>
      </c>
      <c r="E1160" s="7">
        <v>0</v>
      </c>
      <c r="F1160">
        <v>226</v>
      </c>
      <c r="G1160">
        <v>34</v>
      </c>
      <c r="H1160">
        <v>15.07</v>
      </c>
      <c r="I1160">
        <v>28</v>
      </c>
      <c r="J1160">
        <v>12.57</v>
      </c>
      <c r="K1160">
        <v>555</v>
      </c>
      <c r="L1160">
        <v>194</v>
      </c>
      <c r="M1160">
        <v>360</v>
      </c>
      <c r="N1160">
        <v>1094.5899999999999</v>
      </c>
      <c r="O1160">
        <v>11.32</v>
      </c>
      <c r="P1160">
        <v>12.3</v>
      </c>
      <c r="Q1160">
        <v>1.69</v>
      </c>
      <c r="R1160">
        <v>0</v>
      </c>
      <c r="S1160">
        <v>713</v>
      </c>
      <c r="T1160">
        <v>5180</v>
      </c>
      <c r="U1160">
        <v>0</v>
      </c>
      <c r="V1160">
        <v>73</v>
      </c>
      <c r="W1160">
        <v>7.76</v>
      </c>
      <c r="X1160" s="10">
        <v>0.75987919658354486</v>
      </c>
      <c r="Y1160" s="9">
        <v>10650</v>
      </c>
      <c r="Z1160" s="9">
        <v>6020</v>
      </c>
      <c r="AA1160" s="9">
        <v>10200</v>
      </c>
      <c r="AB1160">
        <v>0.90280777537796975</v>
      </c>
      <c r="AC1160" s="11">
        <v>57.613225896082241</v>
      </c>
      <c r="AD1160" s="9">
        <v>5717.129943502825</v>
      </c>
      <c r="AE1160" s="8">
        <v>0.69435215946843853</v>
      </c>
    </row>
    <row r="1161" spans="1:31" x14ac:dyDescent="0.35">
      <c r="A1161" s="6" t="s">
        <v>1182</v>
      </c>
      <c r="B1161" s="7">
        <v>2</v>
      </c>
      <c r="C1161" s="7">
        <v>4</v>
      </c>
      <c r="D1161" s="7">
        <v>5</v>
      </c>
      <c r="E1161" s="7">
        <v>7</v>
      </c>
      <c r="F1161">
        <v>945</v>
      </c>
      <c r="G1161">
        <v>5</v>
      </c>
      <c r="H1161">
        <v>0.55000000000000004</v>
      </c>
      <c r="I1161">
        <v>-31</v>
      </c>
      <c r="J1161">
        <v>-3.24</v>
      </c>
      <c r="K1161">
        <v>1533</v>
      </c>
      <c r="L1161">
        <v>687</v>
      </c>
      <c r="M1161">
        <v>846</v>
      </c>
      <c r="N1161">
        <v>927.15</v>
      </c>
      <c r="O1161">
        <v>-3.49</v>
      </c>
      <c r="P1161">
        <v>0</v>
      </c>
      <c r="Q1161">
        <v>3.65</v>
      </c>
      <c r="R1161">
        <v>3.12</v>
      </c>
      <c r="S1161">
        <v>-177</v>
      </c>
      <c r="T1161">
        <v>4683</v>
      </c>
      <c r="U1161">
        <v>5479</v>
      </c>
      <c r="V1161">
        <v>24</v>
      </c>
      <c r="W1161">
        <v>142.51</v>
      </c>
      <c r="X1161" s="10">
        <v>0.61747484140388542</v>
      </c>
      <c r="Y1161" s="9">
        <v>20850</v>
      </c>
      <c r="Z1161" s="9">
        <v>16050</v>
      </c>
      <c r="AA1161" s="9">
        <v>20250</v>
      </c>
      <c r="AB1161">
        <v>0.875</v>
      </c>
      <c r="AC1161" s="11">
        <v>64.233120311197553</v>
      </c>
      <c r="AD1161" s="9">
        <v>16360.056497175143</v>
      </c>
      <c r="AE1161" s="8">
        <v>0.19117647058823528</v>
      </c>
    </row>
    <row r="1162" spans="1:31" x14ac:dyDescent="0.35">
      <c r="A1162" s="6" t="s">
        <v>1183</v>
      </c>
      <c r="B1162" s="7">
        <v>2</v>
      </c>
      <c r="C1162" s="7">
        <v>9</v>
      </c>
      <c r="D1162" s="7">
        <v>6</v>
      </c>
      <c r="E1162" s="7">
        <v>1</v>
      </c>
      <c r="F1162">
        <v>568</v>
      </c>
      <c r="G1162">
        <v>12</v>
      </c>
      <c r="H1162">
        <v>2.19</v>
      </c>
      <c r="I1162">
        <v>14</v>
      </c>
      <c r="J1162">
        <v>2.44</v>
      </c>
      <c r="K1162">
        <v>975</v>
      </c>
      <c r="L1162">
        <v>384</v>
      </c>
      <c r="M1162">
        <v>590</v>
      </c>
      <c r="N1162">
        <v>318</v>
      </c>
      <c r="O1162">
        <v>3.24</v>
      </c>
      <c r="P1162">
        <v>22.38</v>
      </c>
      <c r="Q1162">
        <v>0.73</v>
      </c>
      <c r="R1162">
        <v>0.55000000000000004</v>
      </c>
      <c r="S1162">
        <v>63</v>
      </c>
      <c r="T1162">
        <v>1940</v>
      </c>
      <c r="U1162">
        <v>2556</v>
      </c>
      <c r="V1162">
        <v>45</v>
      </c>
      <c r="W1162">
        <v>12.28</v>
      </c>
      <c r="X1162" s="10">
        <v>0.52911688547290392</v>
      </c>
      <c r="Y1162" s="9">
        <v>1470</v>
      </c>
      <c r="Z1162" s="9">
        <v>1150</v>
      </c>
      <c r="AA1162" s="9">
        <v>1385</v>
      </c>
      <c r="AB1162">
        <v>0.734375</v>
      </c>
      <c r="AC1162" s="11">
        <v>2.7165879410947484</v>
      </c>
      <c r="AD1162" s="9">
        <v>1221.6440677966102</v>
      </c>
      <c r="AE1162" s="8">
        <v>0.18376068376068377</v>
      </c>
    </row>
    <row r="1163" spans="1:31" x14ac:dyDescent="0.35">
      <c r="A1163" s="6" t="s">
        <v>1184</v>
      </c>
      <c r="B1163" s="7">
        <v>1</v>
      </c>
      <c r="C1163" s="7">
        <v>4</v>
      </c>
      <c r="D1163" s="7">
        <v>3</v>
      </c>
      <c r="E1163" s="7">
        <v>10</v>
      </c>
      <c r="F1163">
        <v>1542</v>
      </c>
      <c r="G1163">
        <v>-62</v>
      </c>
      <c r="H1163">
        <v>-4.01</v>
      </c>
      <c r="I1163">
        <v>-63</v>
      </c>
      <c r="J1163">
        <v>-4.08</v>
      </c>
      <c r="K1163">
        <v>2313</v>
      </c>
      <c r="L1163">
        <v>648</v>
      </c>
      <c r="M1163">
        <v>1665</v>
      </c>
      <c r="N1163">
        <v>916.25</v>
      </c>
      <c r="O1163">
        <v>-4.01</v>
      </c>
      <c r="P1163">
        <v>0</v>
      </c>
      <c r="Q1163">
        <v>1.37</v>
      </c>
      <c r="R1163">
        <v>1.26</v>
      </c>
      <c r="S1163">
        <v>-223</v>
      </c>
      <c r="T1163">
        <v>5036</v>
      </c>
      <c r="U1163">
        <v>5473</v>
      </c>
      <c r="V1163">
        <v>-29</v>
      </c>
      <c r="W1163">
        <v>-67.569999999999993</v>
      </c>
      <c r="X1163" s="10">
        <v>0.15898470785328178</v>
      </c>
      <c r="Y1163" s="9">
        <v>9240</v>
      </c>
      <c r="Z1163" s="9">
        <v>6900</v>
      </c>
      <c r="AA1163" s="9">
        <v>8900</v>
      </c>
      <c r="AB1163">
        <v>0.85470085470085466</v>
      </c>
      <c r="AC1163" s="11">
        <v>10.11114198388441</v>
      </c>
      <c r="AD1163" s="9">
        <v>7150.2768361581921</v>
      </c>
      <c r="AE1163" s="8">
        <v>0.28985507246376813</v>
      </c>
    </row>
    <row r="1164" spans="1:31" x14ac:dyDescent="0.35">
      <c r="A1164" s="6" t="s">
        <v>1185</v>
      </c>
      <c r="B1164" s="7">
        <v>4</v>
      </c>
      <c r="C1164" s="7">
        <v>11</v>
      </c>
      <c r="D1164" s="7">
        <v>2</v>
      </c>
      <c r="E1164" s="7">
        <v>1</v>
      </c>
      <c r="F1164">
        <v>1340</v>
      </c>
      <c r="G1164">
        <v>232</v>
      </c>
      <c r="H1164">
        <v>17.309999999999999</v>
      </c>
      <c r="I1164">
        <v>114</v>
      </c>
      <c r="J1164">
        <v>8.5399999999999991</v>
      </c>
      <c r="K1164">
        <v>1242</v>
      </c>
      <c r="L1164">
        <v>253</v>
      </c>
      <c r="M1164">
        <v>989</v>
      </c>
      <c r="N1164">
        <v>2011.99</v>
      </c>
      <c r="O1164">
        <v>12.28</v>
      </c>
      <c r="P1164">
        <v>9.98</v>
      </c>
      <c r="Q1164">
        <v>1.43</v>
      </c>
      <c r="R1164">
        <v>0.85</v>
      </c>
      <c r="S1164">
        <v>1248</v>
      </c>
      <c r="T1164">
        <v>8712</v>
      </c>
      <c r="U1164">
        <v>14610</v>
      </c>
      <c r="V1164">
        <v>284</v>
      </c>
      <c r="W1164">
        <v>4.43</v>
      </c>
      <c r="X1164" s="10">
        <v>0.58422937402486586</v>
      </c>
      <c r="Y1164" s="9">
        <v>15650</v>
      </c>
      <c r="Z1164" s="9">
        <v>12200</v>
      </c>
      <c r="AA1164" s="9">
        <v>13800</v>
      </c>
      <c r="AB1164">
        <v>0.46376811594202899</v>
      </c>
      <c r="AC1164" s="11">
        <v>33.363434287302034</v>
      </c>
      <c r="AD1164" s="9">
        <v>12888.248587570622</v>
      </c>
      <c r="AE1164" s="8">
        <v>0.10843373493975904</v>
      </c>
    </row>
    <row r="1165" spans="1:31" x14ac:dyDescent="0.35">
      <c r="A1165" s="6" t="s">
        <v>1186</v>
      </c>
      <c r="B1165" s="7">
        <v>2</v>
      </c>
      <c r="C1165" s="7">
        <v>2</v>
      </c>
      <c r="D1165" s="7">
        <v>11</v>
      </c>
      <c r="E1165" s="7">
        <v>3</v>
      </c>
      <c r="F1165">
        <v>888</v>
      </c>
      <c r="G1165">
        <v>-14</v>
      </c>
      <c r="H1165">
        <v>-1.54</v>
      </c>
      <c r="I1165">
        <v>-18</v>
      </c>
      <c r="J1165">
        <v>-2</v>
      </c>
      <c r="K1165">
        <v>1152</v>
      </c>
      <c r="L1165">
        <v>384</v>
      </c>
      <c r="M1165">
        <v>768</v>
      </c>
      <c r="N1165">
        <v>99.05</v>
      </c>
      <c r="O1165">
        <v>-3.04</v>
      </c>
      <c r="P1165">
        <v>0</v>
      </c>
      <c r="Q1165">
        <v>0.88</v>
      </c>
      <c r="R1165">
        <v>0.56000000000000005</v>
      </c>
      <c r="S1165">
        <v>-31</v>
      </c>
      <c r="T1165">
        <v>971</v>
      </c>
      <c r="U1165">
        <v>1535</v>
      </c>
      <c r="V1165">
        <v>-5</v>
      </c>
      <c r="W1165">
        <v>-158.97</v>
      </c>
      <c r="X1165" s="10">
        <v>0.69134609209105835</v>
      </c>
      <c r="Y1165" s="9">
        <v>1100</v>
      </c>
      <c r="Z1165" s="9">
        <v>793</v>
      </c>
      <c r="AA1165" s="9">
        <v>1075</v>
      </c>
      <c r="AB1165">
        <v>0.91856677524429964</v>
      </c>
      <c r="AC1165" s="11">
        <v>4.9287024173381493</v>
      </c>
      <c r="AD1165" s="9">
        <v>752.47457627118638</v>
      </c>
      <c r="AE1165" s="8">
        <v>0.35561160151324084</v>
      </c>
    </row>
    <row r="1166" spans="1:31" x14ac:dyDescent="0.35">
      <c r="A1166" s="6" t="s">
        <v>1187</v>
      </c>
      <c r="B1166" s="7">
        <v>0</v>
      </c>
      <c r="C1166" s="7">
        <v>0</v>
      </c>
      <c r="D1166" s="7">
        <v>0</v>
      </c>
      <c r="E1166" s="7">
        <v>18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 s="10">
        <v>0.67538164360560127</v>
      </c>
      <c r="Y1166" s="9">
        <v>21900</v>
      </c>
      <c r="Z1166" s="9">
        <v>13400</v>
      </c>
      <c r="AA1166" s="9">
        <v>18850</v>
      </c>
      <c r="AB1166">
        <v>0.64117647058823535</v>
      </c>
      <c r="AC1166" s="11">
        <v>104.25118088357874</v>
      </c>
      <c r="AD1166" s="9">
        <v>14243.672316384182</v>
      </c>
      <c r="AE1166" s="8">
        <v>0.35611510791366907</v>
      </c>
    </row>
    <row r="1167" spans="1:31" x14ac:dyDescent="0.35">
      <c r="A1167" s="6" t="s">
        <v>1188</v>
      </c>
      <c r="B1167" s="7">
        <v>3</v>
      </c>
      <c r="C1167" s="7">
        <v>11</v>
      </c>
      <c r="D1167" s="7">
        <v>0</v>
      </c>
      <c r="E1167" s="7">
        <v>4</v>
      </c>
      <c r="F1167">
        <v>96</v>
      </c>
      <c r="G1167">
        <v>-8</v>
      </c>
      <c r="H1167">
        <v>-7.79</v>
      </c>
      <c r="I1167">
        <v>-7</v>
      </c>
      <c r="J1167">
        <v>-7.78</v>
      </c>
      <c r="K1167">
        <v>156</v>
      </c>
      <c r="L1167">
        <v>98</v>
      </c>
      <c r="M1167">
        <v>59</v>
      </c>
      <c r="N1167">
        <v>57.87</v>
      </c>
      <c r="O1167">
        <v>-17.149999999999999</v>
      </c>
      <c r="P1167">
        <v>0</v>
      </c>
      <c r="Q1167">
        <v>1.89</v>
      </c>
      <c r="R1167">
        <v>0.81</v>
      </c>
      <c r="S1167">
        <v>-135</v>
      </c>
      <c r="T1167">
        <v>737</v>
      </c>
      <c r="U1167">
        <v>1729</v>
      </c>
      <c r="V1167">
        <v>-8</v>
      </c>
      <c r="W1167">
        <v>-16.100000000000001</v>
      </c>
      <c r="X1167" s="10">
        <v>0.66113673432042397</v>
      </c>
      <c r="Y1167" s="9">
        <v>2355</v>
      </c>
      <c r="Z1167" s="9">
        <v>1095</v>
      </c>
      <c r="AA1167" s="9">
        <v>2120</v>
      </c>
      <c r="AB1167">
        <v>0.81349206349206349</v>
      </c>
      <c r="AC1167" s="11">
        <v>16.474020561267018</v>
      </c>
      <c r="AD1167" s="9">
        <v>906.7090395480227</v>
      </c>
      <c r="AE1167" s="8">
        <v>0.9360730593607306</v>
      </c>
    </row>
    <row r="1168" spans="1:31" x14ac:dyDescent="0.35">
      <c r="A1168" s="6" t="s">
        <v>1189</v>
      </c>
      <c r="B1168" s="7">
        <v>1</v>
      </c>
      <c r="C1168" s="7">
        <v>1</v>
      </c>
      <c r="D1168" s="7">
        <v>5</v>
      </c>
      <c r="E1168" s="7">
        <v>11</v>
      </c>
      <c r="F1168">
        <v>38</v>
      </c>
      <c r="G1168">
        <v>-5</v>
      </c>
      <c r="H1168">
        <v>-14.37</v>
      </c>
      <c r="I1168">
        <v>-12</v>
      </c>
      <c r="J1168">
        <v>-32.11</v>
      </c>
      <c r="K1168">
        <v>174</v>
      </c>
      <c r="L1168">
        <v>48</v>
      </c>
      <c r="M1168">
        <v>126</v>
      </c>
      <c r="N1168">
        <v>58.27</v>
      </c>
      <c r="O1168">
        <v>-9.1999999999999993</v>
      </c>
      <c r="P1168">
        <v>0</v>
      </c>
      <c r="Q1168">
        <v>1.99</v>
      </c>
      <c r="R1168">
        <v>5.59</v>
      </c>
      <c r="S1168">
        <v>-76</v>
      </c>
      <c r="T1168">
        <v>669</v>
      </c>
      <c r="U1168">
        <v>238</v>
      </c>
      <c r="V1168">
        <v>3</v>
      </c>
      <c r="W1168">
        <v>65.09</v>
      </c>
      <c r="X1168" s="10">
        <v>0.52945558001655491</v>
      </c>
      <c r="Y1168" s="9">
        <v>1740</v>
      </c>
      <c r="Z1168" s="9">
        <v>1270</v>
      </c>
      <c r="AA1168" s="9">
        <v>1605</v>
      </c>
      <c r="AB1168">
        <v>0.71276595744680848</v>
      </c>
      <c r="AC1168" s="11">
        <v>4.9745762711864412</v>
      </c>
      <c r="AD1168" s="9">
        <v>1262.3587570621469</v>
      </c>
      <c r="AE1168" s="8">
        <v>0.18888888888888888</v>
      </c>
    </row>
    <row r="1169" spans="1:31" x14ac:dyDescent="0.35">
      <c r="A1169" s="6" t="s">
        <v>1190</v>
      </c>
      <c r="B1169" s="7">
        <v>0</v>
      </c>
      <c r="C1169" s="7">
        <v>4</v>
      </c>
      <c r="D1169" s="7">
        <v>4</v>
      </c>
      <c r="E1169" s="7">
        <v>10</v>
      </c>
      <c r="F1169">
        <v>626</v>
      </c>
      <c r="G1169">
        <v>-9</v>
      </c>
      <c r="H1169">
        <v>-1.51</v>
      </c>
      <c r="I1169">
        <v>-7</v>
      </c>
      <c r="J1169">
        <v>-1.1499999999999999</v>
      </c>
      <c r="K1169">
        <v>686</v>
      </c>
      <c r="L1169">
        <v>414</v>
      </c>
      <c r="M1169">
        <v>272</v>
      </c>
      <c r="N1169">
        <v>443.86</v>
      </c>
      <c r="O1169">
        <v>-3.48</v>
      </c>
      <c r="P1169">
        <v>0</v>
      </c>
      <c r="Q1169">
        <v>0.61</v>
      </c>
      <c r="R1169">
        <v>0.18</v>
      </c>
      <c r="S1169">
        <v>-96</v>
      </c>
      <c r="T1169">
        <v>2514</v>
      </c>
      <c r="U1169">
        <v>8347</v>
      </c>
      <c r="V1169">
        <v>-4</v>
      </c>
      <c r="W1169">
        <v>-80.22</v>
      </c>
      <c r="X1169" s="10">
        <v>0.82071709108052315</v>
      </c>
      <c r="Y1169" s="9">
        <v>2255</v>
      </c>
      <c r="Z1169" s="9">
        <v>1520</v>
      </c>
      <c r="AA1169" s="9">
        <v>1960</v>
      </c>
      <c r="AB1169">
        <v>0.59863945578231292</v>
      </c>
      <c r="AC1169" s="11">
        <v>11.327313142539595</v>
      </c>
      <c r="AD1169" s="9">
        <v>1422.0169491525423</v>
      </c>
      <c r="AE1169" s="8">
        <v>0.26451612903225807</v>
      </c>
    </row>
    <row r="1170" spans="1:31" x14ac:dyDescent="0.35">
      <c r="A1170" s="6" t="s">
        <v>1191</v>
      </c>
      <c r="B1170" s="7">
        <v>9</v>
      </c>
      <c r="C1170" s="7">
        <v>6</v>
      </c>
      <c r="D1170" s="7">
        <v>1</v>
      </c>
      <c r="E1170" s="7">
        <v>2</v>
      </c>
      <c r="F1170">
        <v>816</v>
      </c>
      <c r="G1170">
        <v>494</v>
      </c>
      <c r="H1170">
        <v>60.56</v>
      </c>
      <c r="I1170">
        <v>559</v>
      </c>
      <c r="J1170">
        <v>68.510000000000005</v>
      </c>
      <c r="K1170">
        <v>16807</v>
      </c>
      <c r="L1170">
        <v>450</v>
      </c>
      <c r="M1170">
        <v>16357</v>
      </c>
      <c r="N1170">
        <v>3893.95</v>
      </c>
      <c r="O1170">
        <v>3.45</v>
      </c>
      <c r="P1170">
        <v>145.82</v>
      </c>
      <c r="Q1170">
        <v>5.42</v>
      </c>
      <c r="R1170">
        <v>102</v>
      </c>
      <c r="S1170">
        <v>6844</v>
      </c>
      <c r="T1170">
        <v>183969</v>
      </c>
      <c r="U1170">
        <v>9784</v>
      </c>
      <c r="V1170">
        <v>497</v>
      </c>
      <c r="W1170">
        <v>169.52</v>
      </c>
      <c r="X1170" s="10">
        <v>0.72156923794180761</v>
      </c>
      <c r="Y1170" s="9">
        <v>1410000</v>
      </c>
      <c r="Z1170" s="9">
        <v>962000</v>
      </c>
      <c r="AA1170" s="9">
        <v>1397000</v>
      </c>
      <c r="AB1170">
        <v>0.9709821428571429</v>
      </c>
      <c r="AC1170" s="11">
        <v>6029.8138371769937</v>
      </c>
      <c r="AD1170" s="9">
        <v>1029940.6779661017</v>
      </c>
      <c r="AE1170" s="8">
        <v>0.37635467980295567</v>
      </c>
    </row>
    <row r="1171" spans="1:31" x14ac:dyDescent="0.35">
      <c r="A1171" s="6" t="s">
        <v>1192</v>
      </c>
      <c r="B1171" s="7">
        <v>0</v>
      </c>
      <c r="C1171" s="7">
        <v>0</v>
      </c>
      <c r="D1171" s="7">
        <v>0</v>
      </c>
      <c r="E1171" s="7">
        <v>18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 s="10">
        <v>0.9102462533371336</v>
      </c>
      <c r="Y1171" s="9">
        <v>638000</v>
      </c>
      <c r="Z1171" s="9">
        <v>468000</v>
      </c>
      <c r="AA1171" s="9">
        <v>632000</v>
      </c>
      <c r="AB1171">
        <v>0.96470588235294119</v>
      </c>
      <c r="AC1171" s="11">
        <v>3037.9272020005556</v>
      </c>
      <c r="AD1171" s="9">
        <v>466643.22033898305</v>
      </c>
      <c r="AE1171" s="8">
        <v>0.32773109243697479</v>
      </c>
    </row>
    <row r="1172" spans="1:31" x14ac:dyDescent="0.35">
      <c r="A1172" s="6" t="s">
        <v>1193</v>
      </c>
      <c r="B1172" s="7">
        <v>9</v>
      </c>
      <c r="C1172" s="7">
        <v>9</v>
      </c>
      <c r="D1172" s="7">
        <v>0</v>
      </c>
      <c r="E1172" s="7">
        <v>0</v>
      </c>
      <c r="F1172">
        <v>31823</v>
      </c>
      <c r="G1172">
        <v>5020</v>
      </c>
      <c r="H1172">
        <v>15.77</v>
      </c>
      <c r="I1172">
        <v>3566</v>
      </c>
      <c r="J1172">
        <v>11.21</v>
      </c>
      <c r="K1172">
        <v>35007</v>
      </c>
      <c r="L1172">
        <v>6313</v>
      </c>
      <c r="M1172">
        <v>28694</v>
      </c>
      <c r="N1172">
        <v>8219.19</v>
      </c>
      <c r="O1172">
        <v>13.11</v>
      </c>
      <c r="P1172">
        <v>42.95</v>
      </c>
      <c r="Q1172">
        <v>5.55</v>
      </c>
      <c r="R1172">
        <v>4.8099999999999996</v>
      </c>
      <c r="S1172">
        <v>51694</v>
      </c>
      <c r="T1172">
        <v>400052</v>
      </c>
      <c r="U1172">
        <v>461317</v>
      </c>
      <c r="V1172">
        <v>6100</v>
      </c>
      <c r="W1172">
        <v>23.14</v>
      </c>
      <c r="X1172" s="10">
        <v>0.8864080258108995</v>
      </c>
      <c r="Y1172" s="9">
        <v>3374000</v>
      </c>
      <c r="Z1172" s="9">
        <v>2144000</v>
      </c>
      <c r="AA1172" s="9">
        <v>3260000</v>
      </c>
      <c r="AB1172">
        <v>0.90731707317073174</v>
      </c>
      <c r="AC1172" s="11">
        <v>17117.227007502082</v>
      </c>
      <c r="AD1172" s="9">
        <v>2200541.2429378531</v>
      </c>
      <c r="AE1172" s="8">
        <v>0.45600714604734255</v>
      </c>
    </row>
    <row r="1173" spans="1:31" x14ac:dyDescent="0.35">
      <c r="A1173" s="6" t="s">
        <v>1194</v>
      </c>
      <c r="B1173" s="7">
        <v>0</v>
      </c>
      <c r="C1173" s="7">
        <v>0</v>
      </c>
      <c r="D1173" s="7">
        <v>0</v>
      </c>
      <c r="E1173" s="7">
        <v>18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 s="10">
        <v>0.83262934416809609</v>
      </c>
      <c r="Y1173" s="9">
        <v>1756000</v>
      </c>
      <c r="Z1173" s="9">
        <v>1047000</v>
      </c>
      <c r="AA1173" s="9">
        <v>1695000</v>
      </c>
      <c r="AB1173">
        <v>0.9139633286318759</v>
      </c>
      <c r="AC1173" s="11">
        <v>11605.779383161987</v>
      </c>
      <c r="AD1173" s="9">
        <v>1012057.0621468927</v>
      </c>
      <c r="AE1173" s="8">
        <v>0.54371584699453557</v>
      </c>
    </row>
    <row r="1174" spans="1:31" x14ac:dyDescent="0.35">
      <c r="A1174" s="6" t="s">
        <v>1195</v>
      </c>
      <c r="B1174" s="7">
        <v>1</v>
      </c>
      <c r="C1174" s="7">
        <v>4</v>
      </c>
      <c r="D1174" s="7">
        <v>12</v>
      </c>
      <c r="E1174" s="7">
        <v>1</v>
      </c>
      <c r="F1174">
        <v>1636</v>
      </c>
      <c r="G1174">
        <v>38</v>
      </c>
      <c r="H1174">
        <v>2.31</v>
      </c>
      <c r="I1174">
        <v>-8</v>
      </c>
      <c r="J1174">
        <v>-0.49</v>
      </c>
      <c r="K1174">
        <v>3256</v>
      </c>
      <c r="L1174">
        <v>1851</v>
      </c>
      <c r="M1174">
        <v>1405</v>
      </c>
      <c r="N1174">
        <v>2829.61</v>
      </c>
      <c r="O1174">
        <v>-0.56999999999999995</v>
      </c>
      <c r="P1174">
        <v>0</v>
      </c>
      <c r="Q1174">
        <v>1.08</v>
      </c>
      <c r="R1174">
        <v>0.82</v>
      </c>
      <c r="S1174">
        <v>-85</v>
      </c>
      <c r="T1174">
        <v>13121</v>
      </c>
      <c r="U1174">
        <v>17329</v>
      </c>
      <c r="V1174">
        <v>199</v>
      </c>
      <c r="W1174">
        <v>13.06</v>
      </c>
      <c r="X1174" s="10">
        <v>0.76202987674411804</v>
      </c>
      <c r="Y1174" s="9">
        <v>24000</v>
      </c>
      <c r="Z1174" s="9">
        <v>13800</v>
      </c>
      <c r="AA1174" s="9">
        <v>22250</v>
      </c>
      <c r="AB1174">
        <v>0.82843137254901966</v>
      </c>
      <c r="AC1174" s="11">
        <v>143.68852459016392</v>
      </c>
      <c r="AD1174" s="9">
        <v>15223.333333333332</v>
      </c>
      <c r="AE1174" s="8">
        <v>0.6123188405797102</v>
      </c>
    </row>
    <row r="1175" spans="1:31" x14ac:dyDescent="0.35">
      <c r="A1175" s="6" t="s">
        <v>1196</v>
      </c>
      <c r="B1175" s="7">
        <v>6</v>
      </c>
      <c r="C1175" s="7">
        <v>2</v>
      </c>
      <c r="D1175" s="7">
        <v>2</v>
      </c>
      <c r="E1175" s="7">
        <v>8</v>
      </c>
      <c r="F1175">
        <v>23</v>
      </c>
      <c r="G1175">
        <v>-35</v>
      </c>
      <c r="H1175">
        <v>-151.36000000000001</v>
      </c>
      <c r="I1175">
        <v>-28</v>
      </c>
      <c r="J1175">
        <v>-122.08</v>
      </c>
      <c r="K1175">
        <v>482</v>
      </c>
      <c r="L1175">
        <v>106</v>
      </c>
      <c r="M1175">
        <v>376</v>
      </c>
      <c r="N1175">
        <v>413.54</v>
      </c>
      <c r="O1175">
        <v>-9.59</v>
      </c>
      <c r="P1175">
        <v>0</v>
      </c>
      <c r="Q1175">
        <v>4.33</v>
      </c>
      <c r="R1175">
        <v>35.369999999999997</v>
      </c>
      <c r="S1175">
        <v>-51</v>
      </c>
      <c r="T1175">
        <v>335</v>
      </c>
      <c r="U1175">
        <v>41</v>
      </c>
      <c r="V1175">
        <v>-26</v>
      </c>
      <c r="W1175">
        <v>-40.42</v>
      </c>
      <c r="X1175" s="10">
        <v>0.64027858966267404</v>
      </c>
      <c r="Y1175" s="9">
        <v>1495</v>
      </c>
      <c r="Z1175" s="9">
        <v>1155</v>
      </c>
      <c r="AA1175" s="9">
        <v>1330</v>
      </c>
      <c r="AB1175">
        <v>0.51470588235294112</v>
      </c>
      <c r="AC1175" s="11">
        <v>4.4269241455959989</v>
      </c>
      <c r="AD1175" s="9">
        <v>1175.7288135593221</v>
      </c>
      <c r="AE1175" s="8">
        <v>0.13191489361702127</v>
      </c>
    </row>
    <row r="1176" spans="1:31" x14ac:dyDescent="0.35">
      <c r="A1176" s="6" t="s">
        <v>1197</v>
      </c>
      <c r="B1176" s="7">
        <v>10</v>
      </c>
      <c r="C1176" s="7">
        <v>1</v>
      </c>
      <c r="D1176" s="7">
        <v>6</v>
      </c>
      <c r="E1176" s="7">
        <v>1</v>
      </c>
      <c r="F1176">
        <v>270</v>
      </c>
      <c r="G1176">
        <v>96</v>
      </c>
      <c r="H1176">
        <v>35.590000000000003</v>
      </c>
      <c r="I1176">
        <v>77</v>
      </c>
      <c r="J1176">
        <v>28.62</v>
      </c>
      <c r="K1176">
        <v>540</v>
      </c>
      <c r="L1176">
        <v>42</v>
      </c>
      <c r="M1176">
        <v>499</v>
      </c>
      <c r="N1176">
        <v>1059.22</v>
      </c>
      <c r="O1176">
        <v>16.93</v>
      </c>
      <c r="P1176">
        <v>45.81</v>
      </c>
      <c r="Q1176">
        <v>7.47</v>
      </c>
      <c r="R1176">
        <v>13.11</v>
      </c>
      <c r="S1176">
        <v>908</v>
      </c>
      <c r="T1176">
        <v>5568</v>
      </c>
      <c r="U1176">
        <v>3173</v>
      </c>
      <c r="V1176">
        <v>108</v>
      </c>
      <c r="W1176">
        <v>33.04</v>
      </c>
      <c r="X1176" s="10">
        <v>0.49764778157442385</v>
      </c>
      <c r="Y1176" s="9">
        <v>60800</v>
      </c>
      <c r="Z1176" s="9">
        <v>40950</v>
      </c>
      <c r="AA1176" s="9">
        <v>57500</v>
      </c>
      <c r="AB1176">
        <v>0.83375314861460958</v>
      </c>
      <c r="AC1176" s="11">
        <v>179.3637121422617</v>
      </c>
      <c r="AD1176" s="9">
        <v>42082.740112994354</v>
      </c>
      <c r="AE1176" s="8">
        <v>0.40415140415140416</v>
      </c>
    </row>
    <row r="1177" spans="1:31" x14ac:dyDescent="0.35">
      <c r="A1177" s="6" t="s">
        <v>1198</v>
      </c>
      <c r="B1177" s="7">
        <v>1</v>
      </c>
      <c r="C1177" s="7">
        <v>10</v>
      </c>
      <c r="D1177" s="7">
        <v>6</v>
      </c>
      <c r="E1177" s="7">
        <v>1</v>
      </c>
      <c r="F1177">
        <v>1490</v>
      </c>
      <c r="G1177">
        <v>89</v>
      </c>
      <c r="H1177">
        <v>5.95</v>
      </c>
      <c r="I1177">
        <v>69</v>
      </c>
      <c r="J1177">
        <v>4.63</v>
      </c>
      <c r="K1177">
        <v>1243</v>
      </c>
      <c r="L1177">
        <v>388</v>
      </c>
      <c r="M1177">
        <v>855</v>
      </c>
      <c r="N1177">
        <v>1032.46</v>
      </c>
      <c r="O1177">
        <v>8.4</v>
      </c>
      <c r="P1177">
        <v>8.89</v>
      </c>
      <c r="Q1177">
        <v>0.8</v>
      </c>
      <c r="R1177">
        <v>0.41</v>
      </c>
      <c r="S1177">
        <v>459</v>
      </c>
      <c r="T1177">
        <v>5085</v>
      </c>
      <c r="U1177">
        <v>9917</v>
      </c>
      <c r="V1177">
        <v>113</v>
      </c>
      <c r="W1177">
        <v>5.78</v>
      </c>
      <c r="X1177" s="10">
        <v>0.63362970197098301</v>
      </c>
      <c r="Y1177" s="9">
        <v>4735</v>
      </c>
      <c r="Z1177" s="9">
        <v>3785</v>
      </c>
      <c r="AA1177" s="9">
        <v>4440</v>
      </c>
      <c r="AB1177">
        <v>0.68947368421052635</v>
      </c>
      <c r="AC1177" s="11">
        <v>12.763545429285911</v>
      </c>
      <c r="AD1177" s="9">
        <v>3797.8785310734465</v>
      </c>
      <c r="AE1177" s="8">
        <v>8.557457212713937E-2</v>
      </c>
    </row>
    <row r="1178" spans="1:31" x14ac:dyDescent="0.35">
      <c r="A1178" s="6" t="s">
        <v>1199</v>
      </c>
      <c r="B1178" s="7">
        <v>8</v>
      </c>
      <c r="C1178" s="7">
        <v>8</v>
      </c>
      <c r="D1178" s="7">
        <v>1</v>
      </c>
      <c r="E1178" s="7">
        <v>1</v>
      </c>
      <c r="F1178">
        <v>1176</v>
      </c>
      <c r="G1178">
        <v>281</v>
      </c>
      <c r="H1178">
        <v>23.87</v>
      </c>
      <c r="I1178">
        <v>234</v>
      </c>
      <c r="J1178">
        <v>19.91</v>
      </c>
      <c r="K1178">
        <v>1311</v>
      </c>
      <c r="L1178">
        <v>193</v>
      </c>
      <c r="M1178">
        <v>1117</v>
      </c>
      <c r="N1178">
        <v>1376.24</v>
      </c>
      <c r="O1178">
        <v>22.37</v>
      </c>
      <c r="P1178">
        <v>8.0299999999999994</v>
      </c>
      <c r="Q1178">
        <v>1.74</v>
      </c>
      <c r="R1178">
        <v>1.6</v>
      </c>
      <c r="S1178">
        <v>1470</v>
      </c>
      <c r="T1178">
        <v>6798</v>
      </c>
      <c r="U1178">
        <v>7382</v>
      </c>
      <c r="V1178">
        <v>385</v>
      </c>
      <c r="W1178">
        <v>5</v>
      </c>
      <c r="X1178" s="10">
        <v>0.49999440986109767</v>
      </c>
      <c r="Y1178" s="9">
        <v>14050</v>
      </c>
      <c r="Z1178" s="9">
        <v>10850</v>
      </c>
      <c r="AA1178" s="9">
        <v>10850</v>
      </c>
      <c r="AB1178">
        <v>0</v>
      </c>
      <c r="AC1178" s="11">
        <v>-33.420394554042787</v>
      </c>
      <c r="AD1178" s="9">
        <v>13474.322033898305</v>
      </c>
      <c r="AE1178" s="8">
        <v>-7.2649572649572655E-2</v>
      </c>
    </row>
    <row r="1179" spans="1:31" x14ac:dyDescent="0.35">
      <c r="A1179" s="6" t="s">
        <v>1200</v>
      </c>
      <c r="B1179" s="7">
        <v>5</v>
      </c>
      <c r="C1179" s="7">
        <v>5</v>
      </c>
      <c r="D1179" s="7">
        <v>5</v>
      </c>
      <c r="E1179" s="7">
        <v>3</v>
      </c>
      <c r="F1179">
        <v>964</v>
      </c>
      <c r="G1179">
        <v>3</v>
      </c>
      <c r="H1179">
        <v>0.36</v>
      </c>
      <c r="I1179">
        <v>-12</v>
      </c>
      <c r="J1179">
        <v>-1.25</v>
      </c>
      <c r="K1179">
        <v>1335</v>
      </c>
      <c r="L1179">
        <v>815</v>
      </c>
      <c r="M1179">
        <v>519</v>
      </c>
      <c r="N1179">
        <v>567.19000000000005</v>
      </c>
      <c r="O1179">
        <v>-2.44</v>
      </c>
      <c r="P1179">
        <v>0</v>
      </c>
      <c r="Q1179">
        <v>1.45</v>
      </c>
      <c r="R1179">
        <v>0.72</v>
      </c>
      <c r="S1179">
        <v>-83</v>
      </c>
      <c r="T1179">
        <v>3280</v>
      </c>
      <c r="U1179">
        <v>6626</v>
      </c>
      <c r="V1179">
        <v>29</v>
      </c>
      <c r="W1179">
        <v>39.799999999999997</v>
      </c>
      <c r="X1179" s="10">
        <v>0.47680430992206885</v>
      </c>
      <c r="Y1179" s="9">
        <v>6000</v>
      </c>
      <c r="Z1179" s="9">
        <v>4650</v>
      </c>
      <c r="AA1179" s="9">
        <v>5940</v>
      </c>
      <c r="AB1179">
        <v>0.9555555555555556</v>
      </c>
      <c r="AC1179" s="11">
        <v>12.841900527924423</v>
      </c>
      <c r="AD1179" s="9">
        <v>4935.3220338983047</v>
      </c>
      <c r="AE1179" s="8">
        <v>0.26382978723404255</v>
      </c>
    </row>
    <row r="1180" spans="1:31" x14ac:dyDescent="0.35">
      <c r="A1180" s="6" t="s">
        <v>1201</v>
      </c>
      <c r="B1180" s="7">
        <v>10</v>
      </c>
      <c r="C1180" s="7">
        <v>2</v>
      </c>
      <c r="D1180" s="7">
        <v>5</v>
      </c>
      <c r="E1180" s="7">
        <v>1</v>
      </c>
      <c r="F1180">
        <v>570</v>
      </c>
      <c r="G1180">
        <v>67</v>
      </c>
      <c r="H1180">
        <v>11.74</v>
      </c>
      <c r="I1180">
        <v>44</v>
      </c>
      <c r="J1180">
        <v>7.74</v>
      </c>
      <c r="K1180">
        <v>887</v>
      </c>
      <c r="L1180">
        <v>228</v>
      </c>
      <c r="M1180">
        <v>659</v>
      </c>
      <c r="N1180">
        <v>982.35</v>
      </c>
      <c r="O1180">
        <v>6.89</v>
      </c>
      <c r="P1180">
        <v>13.57</v>
      </c>
      <c r="Q1180">
        <v>0.92</v>
      </c>
      <c r="R1180">
        <v>1.05</v>
      </c>
      <c r="S1180">
        <v>378</v>
      </c>
      <c r="T1180">
        <v>5595</v>
      </c>
      <c r="U1180">
        <v>4880</v>
      </c>
      <c r="V1180">
        <v>115</v>
      </c>
      <c r="W1180">
        <v>5.19</v>
      </c>
      <c r="X1180" s="10">
        <v>0.54617826899796529</v>
      </c>
      <c r="Y1180" s="9">
        <v>7380</v>
      </c>
      <c r="Z1180" s="9">
        <v>5130</v>
      </c>
      <c r="AA1180" s="9">
        <v>7050</v>
      </c>
      <c r="AB1180">
        <v>0.85333333333333339</v>
      </c>
      <c r="AC1180" s="11">
        <v>22.494859683245348</v>
      </c>
      <c r="AD1180" s="9">
        <v>5384.7401129943501</v>
      </c>
      <c r="AE1180" s="8">
        <v>0.3202247191011236</v>
      </c>
    </row>
    <row r="1181" spans="1:31" x14ac:dyDescent="0.35">
      <c r="A1181" s="6" t="s">
        <v>1202</v>
      </c>
      <c r="B1181" s="7">
        <v>5</v>
      </c>
      <c r="C1181" s="7">
        <v>3</v>
      </c>
      <c r="D1181" s="7">
        <v>8</v>
      </c>
      <c r="E1181" s="7">
        <v>2</v>
      </c>
      <c r="F1181">
        <v>143</v>
      </c>
      <c r="G1181">
        <v>66</v>
      </c>
      <c r="H1181">
        <v>45.94</v>
      </c>
      <c r="I1181">
        <v>68</v>
      </c>
      <c r="J1181">
        <v>47.29</v>
      </c>
      <c r="K1181">
        <v>3943</v>
      </c>
      <c r="L1181">
        <v>307</v>
      </c>
      <c r="M1181">
        <v>3636</v>
      </c>
      <c r="N1181">
        <v>3269.43</v>
      </c>
      <c r="O1181">
        <v>2.17</v>
      </c>
      <c r="P1181">
        <v>27.33</v>
      </c>
      <c r="Q1181">
        <v>0.89</v>
      </c>
      <c r="R1181">
        <v>12.92</v>
      </c>
      <c r="S1181">
        <v>5416</v>
      </c>
      <c r="T1181">
        <v>165714</v>
      </c>
      <c r="U1181">
        <v>11452</v>
      </c>
      <c r="V1181">
        <v>77</v>
      </c>
      <c r="W1181">
        <v>42.16</v>
      </c>
      <c r="X1181" s="10">
        <v>0.13943222800794663</v>
      </c>
      <c r="Y1181" s="9">
        <v>162500</v>
      </c>
      <c r="Z1181" s="9">
        <v>138000</v>
      </c>
      <c r="AA1181" s="9">
        <v>162500</v>
      </c>
      <c r="AB1181">
        <v>1</v>
      </c>
      <c r="AC1181" s="11">
        <v>107.96054459572103</v>
      </c>
      <c r="AD1181" s="9">
        <v>143465.53672316385</v>
      </c>
      <c r="AE1181" s="8">
        <v>0.11301369863013698</v>
      </c>
    </row>
    <row r="1182" spans="1:31" x14ac:dyDescent="0.35">
      <c r="A1182" s="6" t="s">
        <v>1203</v>
      </c>
      <c r="B1182" s="7">
        <v>12</v>
      </c>
      <c r="C1182" s="7">
        <v>1</v>
      </c>
      <c r="D1182" s="7">
        <v>4</v>
      </c>
      <c r="E1182" s="7">
        <v>1</v>
      </c>
      <c r="F1182">
        <v>3996</v>
      </c>
      <c r="G1182">
        <v>515</v>
      </c>
      <c r="H1182">
        <v>12.89</v>
      </c>
      <c r="I1182">
        <v>391</v>
      </c>
      <c r="J1182">
        <v>9.7899999999999991</v>
      </c>
      <c r="K1182">
        <v>7582</v>
      </c>
      <c r="L1182">
        <v>1972</v>
      </c>
      <c r="M1182">
        <v>5609</v>
      </c>
      <c r="N1182">
        <v>3304.45</v>
      </c>
      <c r="O1182">
        <v>6.99</v>
      </c>
      <c r="P1182">
        <v>10.23</v>
      </c>
      <c r="Q1182">
        <v>0.77</v>
      </c>
      <c r="R1182">
        <v>1</v>
      </c>
      <c r="S1182">
        <v>11881</v>
      </c>
      <c r="T1182">
        <v>156894</v>
      </c>
      <c r="U1182">
        <v>121303</v>
      </c>
      <c r="V1182">
        <v>681</v>
      </c>
      <c r="W1182">
        <v>5.88</v>
      </c>
      <c r="X1182" s="10">
        <v>0.17819393612756934</v>
      </c>
      <c r="Y1182" s="9">
        <v>124000</v>
      </c>
      <c r="Z1182" s="9">
        <v>110000</v>
      </c>
      <c r="AA1182" s="9">
        <v>114500</v>
      </c>
      <c r="AB1182">
        <v>0.32142857142857145</v>
      </c>
      <c r="AC1182" s="11">
        <v>-79.74437343706586</v>
      </c>
      <c r="AD1182" s="9">
        <v>119148.87005649718</v>
      </c>
      <c r="AE1182" s="8">
        <v>-8.658008658008658E-3</v>
      </c>
    </row>
    <row r="1183" spans="1:31" x14ac:dyDescent="0.35">
      <c r="A1183" s="6" t="s">
        <v>1204</v>
      </c>
      <c r="B1183" s="7">
        <v>8</v>
      </c>
      <c r="C1183" s="7">
        <v>0</v>
      </c>
      <c r="D1183" s="7">
        <v>4</v>
      </c>
      <c r="E1183" s="7">
        <v>6</v>
      </c>
      <c r="F1183">
        <v>3716</v>
      </c>
      <c r="G1183">
        <v>190</v>
      </c>
      <c r="H1183">
        <v>5.12</v>
      </c>
      <c r="I1183">
        <v>153</v>
      </c>
      <c r="J1183">
        <v>4.1100000000000003</v>
      </c>
      <c r="K1183">
        <v>5777</v>
      </c>
      <c r="L1183">
        <v>1174</v>
      </c>
      <c r="M1183">
        <v>4603</v>
      </c>
      <c r="N1183">
        <v>928.6</v>
      </c>
      <c r="O1183">
        <v>3.36</v>
      </c>
      <c r="P1183">
        <v>14.09</v>
      </c>
      <c r="Q1183">
        <v>0.47</v>
      </c>
      <c r="R1183">
        <v>0.57999999999999996</v>
      </c>
      <c r="S1183">
        <v>1710</v>
      </c>
      <c r="T1183">
        <v>51138</v>
      </c>
      <c r="U1183">
        <v>41607</v>
      </c>
      <c r="V1183">
        <v>363</v>
      </c>
      <c r="W1183">
        <v>5.97</v>
      </c>
      <c r="X1183" s="10">
        <v>0.7410062129169136</v>
      </c>
      <c r="Y1183" s="9">
        <v>32050</v>
      </c>
      <c r="Z1183" s="9">
        <v>21300</v>
      </c>
      <c r="AA1183" s="9">
        <v>32050</v>
      </c>
      <c r="AB1183">
        <v>1</v>
      </c>
      <c r="AC1183" s="11">
        <v>120.17088080022228</v>
      </c>
      <c r="AD1183" s="9">
        <v>21792.288135593219</v>
      </c>
      <c r="AE1183" s="8">
        <v>0.3216494845360825</v>
      </c>
    </row>
    <row r="1184" spans="1:31" x14ac:dyDescent="0.35">
      <c r="A1184" s="6" t="s">
        <v>1205</v>
      </c>
      <c r="B1184" s="7">
        <v>3</v>
      </c>
      <c r="C1184" s="7">
        <v>2</v>
      </c>
      <c r="D1184" s="7">
        <v>4</v>
      </c>
      <c r="E1184" s="7">
        <v>9</v>
      </c>
      <c r="F1184">
        <v>371</v>
      </c>
      <c r="G1184">
        <v>-5</v>
      </c>
      <c r="H1184">
        <v>-1.38</v>
      </c>
      <c r="I1184">
        <v>-4</v>
      </c>
      <c r="J1184">
        <v>-1.1599999999999999</v>
      </c>
      <c r="K1184">
        <v>1237</v>
      </c>
      <c r="L1184">
        <v>396</v>
      </c>
      <c r="M1184">
        <v>841</v>
      </c>
      <c r="N1184">
        <v>861.57</v>
      </c>
      <c r="O1184">
        <v>-1.02</v>
      </c>
      <c r="P1184">
        <v>0</v>
      </c>
      <c r="Q1184">
        <v>0.6</v>
      </c>
      <c r="R1184">
        <v>0.68</v>
      </c>
      <c r="S1184">
        <v>-50</v>
      </c>
      <c r="T1184">
        <v>4803</v>
      </c>
      <c r="U1184">
        <v>4240</v>
      </c>
      <c r="V1184">
        <v>7</v>
      </c>
      <c r="W1184">
        <v>79.64</v>
      </c>
      <c r="X1184" s="10">
        <v>0.36876029600931393</v>
      </c>
      <c r="Y1184" s="9">
        <v>3130</v>
      </c>
      <c r="Z1184" s="9">
        <v>2745</v>
      </c>
      <c r="AA1184" s="9">
        <v>3010</v>
      </c>
      <c r="AB1184">
        <v>0.68831168831168832</v>
      </c>
      <c r="AC1184" s="11">
        <v>3.1499027507641015</v>
      </c>
      <c r="AD1184" s="9">
        <v>2807.3446327683614</v>
      </c>
      <c r="AE1184" s="8">
        <v>3.9723661485319514E-2</v>
      </c>
    </row>
    <row r="1185" spans="1:31" x14ac:dyDescent="0.35">
      <c r="A1185" s="6" t="s">
        <v>1206</v>
      </c>
      <c r="B1185" s="7">
        <v>1</v>
      </c>
      <c r="C1185" s="7">
        <v>7</v>
      </c>
      <c r="D1185" s="7">
        <v>3</v>
      </c>
      <c r="E1185" s="7">
        <v>7</v>
      </c>
      <c r="F1185">
        <v>506</v>
      </c>
      <c r="G1185">
        <v>-21</v>
      </c>
      <c r="H1185">
        <v>-4.07</v>
      </c>
      <c r="I1185">
        <v>-57</v>
      </c>
      <c r="J1185">
        <v>-11.27</v>
      </c>
      <c r="K1185">
        <v>1026</v>
      </c>
      <c r="L1185">
        <v>767</v>
      </c>
      <c r="M1185">
        <v>259</v>
      </c>
      <c r="N1185">
        <v>420.44</v>
      </c>
      <c r="O1185">
        <v>-28.58</v>
      </c>
      <c r="P1185">
        <v>0</v>
      </c>
      <c r="Q1185">
        <v>0</v>
      </c>
      <c r="R1185">
        <v>0</v>
      </c>
      <c r="S1185">
        <v>-763</v>
      </c>
      <c r="T1185">
        <v>2154</v>
      </c>
      <c r="U1185">
        <v>5876</v>
      </c>
      <c r="V1185">
        <v>0</v>
      </c>
      <c r="W1185">
        <v>0</v>
      </c>
      <c r="X1185" s="10">
        <v>0.81533907152232155</v>
      </c>
      <c r="Y1185" s="9">
        <v>16100</v>
      </c>
      <c r="Z1185" s="9">
        <v>7280</v>
      </c>
      <c r="AA1185" s="9">
        <v>13950</v>
      </c>
      <c r="AB1185">
        <v>0.75623582766439912</v>
      </c>
      <c r="AC1185" s="11">
        <v>131.14615170880799</v>
      </c>
      <c r="AD1185" s="9">
        <v>8334.5423728813566</v>
      </c>
      <c r="AE1185" s="8">
        <v>0.91620879120879117</v>
      </c>
    </row>
    <row r="1186" spans="1:31" x14ac:dyDescent="0.35">
      <c r="A1186" s="6" t="s">
        <v>1207</v>
      </c>
      <c r="B1186" s="7">
        <v>2</v>
      </c>
      <c r="C1186" s="7">
        <v>5</v>
      </c>
      <c r="D1186" s="7">
        <v>0</v>
      </c>
      <c r="E1186" s="7">
        <v>11</v>
      </c>
      <c r="F1186">
        <v>4</v>
      </c>
      <c r="G1186">
        <v>4</v>
      </c>
      <c r="H1186">
        <v>91.6</v>
      </c>
      <c r="I1186">
        <v>4</v>
      </c>
      <c r="J1186">
        <v>91.61</v>
      </c>
      <c r="K1186">
        <v>132</v>
      </c>
      <c r="L1186">
        <v>1</v>
      </c>
      <c r="M1186">
        <v>130</v>
      </c>
      <c r="N1186">
        <v>-0.09</v>
      </c>
      <c r="O1186">
        <v>6.02</v>
      </c>
      <c r="P1186">
        <v>14.83</v>
      </c>
      <c r="Q1186">
        <v>0.89</v>
      </c>
      <c r="R1186">
        <v>13.57</v>
      </c>
      <c r="S1186">
        <v>300</v>
      </c>
      <c r="T1186">
        <v>4996</v>
      </c>
      <c r="U1186">
        <v>328</v>
      </c>
      <c r="V1186">
        <v>8</v>
      </c>
      <c r="W1186">
        <v>14.79</v>
      </c>
      <c r="X1186" s="10">
        <v>0.91097510526575021</v>
      </c>
      <c r="Y1186" s="9">
        <v>5080</v>
      </c>
      <c r="Z1186" s="9">
        <v>4570</v>
      </c>
      <c r="AA1186" s="9">
        <v>5080</v>
      </c>
      <c r="AB1186">
        <v>1</v>
      </c>
      <c r="AC1186" s="11">
        <v>8.8914976382328419</v>
      </c>
      <c r="AD1186" s="9">
        <v>4575.5593220338978</v>
      </c>
      <c r="AE1186" s="8">
        <v>8.8960342979635579E-2</v>
      </c>
    </row>
    <row r="1187" spans="1:31" x14ac:dyDescent="0.35">
      <c r="A1187" s="6" t="s">
        <v>1208</v>
      </c>
      <c r="B1187" s="7">
        <v>2</v>
      </c>
      <c r="C1187" s="7">
        <v>7</v>
      </c>
      <c r="D1187" s="7">
        <v>0</v>
      </c>
      <c r="E1187" s="7">
        <v>9</v>
      </c>
      <c r="F1187">
        <v>4</v>
      </c>
      <c r="G1187">
        <v>4</v>
      </c>
      <c r="H1187">
        <v>91.59</v>
      </c>
      <c r="I1187">
        <v>4</v>
      </c>
      <c r="J1187">
        <v>91.55</v>
      </c>
      <c r="K1187">
        <v>131</v>
      </c>
      <c r="L1187">
        <v>1</v>
      </c>
      <c r="M1187">
        <v>130</v>
      </c>
      <c r="N1187">
        <v>-0.12</v>
      </c>
      <c r="O1187">
        <v>6.06</v>
      </c>
      <c r="P1187">
        <v>15.38</v>
      </c>
      <c r="Q1187">
        <v>0.93</v>
      </c>
      <c r="R1187">
        <v>14.08</v>
      </c>
      <c r="S1187">
        <v>302</v>
      </c>
      <c r="T1187">
        <v>4994</v>
      </c>
      <c r="U1187">
        <v>330</v>
      </c>
      <c r="V1187">
        <v>8</v>
      </c>
      <c r="W1187">
        <v>15.35</v>
      </c>
      <c r="X1187" s="10">
        <v>0.92899924860591987</v>
      </c>
      <c r="Y1187" s="9">
        <v>5060</v>
      </c>
      <c r="Z1187" s="9">
        <v>4600</v>
      </c>
      <c r="AA1187" s="9">
        <v>4965</v>
      </c>
      <c r="AB1187">
        <v>0.79347826086956519</v>
      </c>
      <c r="AC1187" s="11">
        <v>7.7239510975270909</v>
      </c>
      <c r="AD1187" s="9">
        <v>4604.6694915254238</v>
      </c>
      <c r="AE1187" s="8">
        <v>6.7741935483870974E-2</v>
      </c>
    </row>
    <row r="1188" spans="1:31" x14ac:dyDescent="0.35">
      <c r="A1188" s="6" t="s">
        <v>1209</v>
      </c>
      <c r="B1188" s="7">
        <v>2</v>
      </c>
      <c r="C1188" s="7">
        <v>7</v>
      </c>
      <c r="D1188" s="7">
        <v>0</v>
      </c>
      <c r="E1188" s="7">
        <v>9</v>
      </c>
      <c r="F1188">
        <v>4</v>
      </c>
      <c r="G1188">
        <v>4</v>
      </c>
      <c r="H1188">
        <v>91.51</v>
      </c>
      <c r="I1188">
        <v>4</v>
      </c>
      <c r="J1188">
        <v>91.59</v>
      </c>
      <c r="K1188">
        <v>131</v>
      </c>
      <c r="L1188">
        <v>1</v>
      </c>
      <c r="M1188">
        <v>130</v>
      </c>
      <c r="N1188">
        <v>-0.12</v>
      </c>
      <c r="O1188">
        <v>6.06</v>
      </c>
      <c r="P1188">
        <v>15.4</v>
      </c>
      <c r="Q1188">
        <v>0.93</v>
      </c>
      <c r="R1188">
        <v>14.09</v>
      </c>
      <c r="S1188">
        <v>302</v>
      </c>
      <c r="T1188">
        <v>4994</v>
      </c>
      <c r="U1188">
        <v>330</v>
      </c>
      <c r="V1188">
        <v>8</v>
      </c>
      <c r="W1188">
        <v>15.39</v>
      </c>
      <c r="X1188" s="10">
        <v>0.92029263857949917</v>
      </c>
      <c r="Y1188" s="9">
        <v>5040</v>
      </c>
      <c r="Z1188" s="9">
        <v>4550</v>
      </c>
      <c r="AA1188" s="9">
        <v>4965</v>
      </c>
      <c r="AB1188">
        <v>0.84693877551020413</v>
      </c>
      <c r="AC1188" s="11">
        <v>8.257571547652125</v>
      </c>
      <c r="AD1188" s="9">
        <v>4598.9774011299432</v>
      </c>
      <c r="AE1188" s="8">
        <v>6.7741935483870974E-2</v>
      </c>
    </row>
    <row r="1189" spans="1:31" x14ac:dyDescent="0.35">
      <c r="A1189" s="6" t="s">
        <v>1210</v>
      </c>
      <c r="B1189" s="7">
        <v>2</v>
      </c>
      <c r="C1189" s="7">
        <v>5</v>
      </c>
      <c r="D1189" s="7">
        <v>0</v>
      </c>
      <c r="E1189" s="7">
        <v>11</v>
      </c>
      <c r="F1189">
        <v>4</v>
      </c>
      <c r="G1189">
        <v>4</v>
      </c>
      <c r="H1189">
        <v>91.67</v>
      </c>
      <c r="I1189">
        <v>4</v>
      </c>
      <c r="J1189">
        <v>91.68</v>
      </c>
      <c r="K1189">
        <v>132</v>
      </c>
      <c r="L1189">
        <v>2</v>
      </c>
      <c r="M1189">
        <v>130</v>
      </c>
      <c r="N1189">
        <v>-0.06</v>
      </c>
      <c r="O1189">
        <v>6.02</v>
      </c>
      <c r="P1189">
        <v>14.83</v>
      </c>
      <c r="Q1189">
        <v>0.89</v>
      </c>
      <c r="R1189">
        <v>13.57</v>
      </c>
      <c r="S1189">
        <v>300</v>
      </c>
      <c r="T1189">
        <v>4997</v>
      </c>
      <c r="U1189">
        <v>328</v>
      </c>
      <c r="V1189">
        <v>8</v>
      </c>
      <c r="W1189">
        <v>14.79</v>
      </c>
      <c r="X1189" s="10">
        <v>0.89920910212387595</v>
      </c>
      <c r="Y1189" s="9">
        <v>5050</v>
      </c>
      <c r="Z1189" s="9">
        <v>4560</v>
      </c>
      <c r="AA1189" s="9">
        <v>5020</v>
      </c>
      <c r="AB1189">
        <v>0.93877551020408168</v>
      </c>
      <c r="AC1189" s="11">
        <v>8.6500416782439569</v>
      </c>
      <c r="AD1189" s="9">
        <v>4586.5903954802261</v>
      </c>
      <c r="AE1189" s="8">
        <v>8.4233261339092869E-2</v>
      </c>
    </row>
    <row r="1190" spans="1:31" x14ac:dyDescent="0.35">
      <c r="A1190" s="6" t="s">
        <v>1211</v>
      </c>
      <c r="B1190" s="7">
        <v>5</v>
      </c>
      <c r="C1190" s="7">
        <v>2</v>
      </c>
      <c r="D1190" s="7">
        <v>1</v>
      </c>
      <c r="E1190" s="7">
        <v>10</v>
      </c>
      <c r="F1190">
        <v>2</v>
      </c>
      <c r="G1190">
        <v>1</v>
      </c>
      <c r="H1190">
        <v>87.86</v>
      </c>
      <c r="I1190">
        <v>1</v>
      </c>
      <c r="J1190">
        <v>88.07</v>
      </c>
      <c r="K1190">
        <v>98</v>
      </c>
      <c r="L1190">
        <v>1</v>
      </c>
      <c r="M1190">
        <v>97</v>
      </c>
      <c r="N1190">
        <v>0.01</v>
      </c>
      <c r="O1190">
        <v>5.95</v>
      </c>
      <c r="P1190">
        <v>16.89</v>
      </c>
      <c r="Q1190">
        <v>1</v>
      </c>
      <c r="R1190">
        <v>14.88</v>
      </c>
      <c r="S1190">
        <v>296</v>
      </c>
      <c r="T1190">
        <v>5001</v>
      </c>
      <c r="U1190">
        <v>336</v>
      </c>
      <c r="V1190">
        <v>6</v>
      </c>
      <c r="W1190">
        <v>16.850000000000001</v>
      </c>
      <c r="X1190" s="10">
        <v>0.17843661785088558</v>
      </c>
      <c r="Y1190" s="9">
        <v>5230</v>
      </c>
      <c r="Z1190" s="9">
        <v>4900</v>
      </c>
      <c r="AA1190" s="9">
        <v>5050</v>
      </c>
      <c r="AB1190">
        <v>0.45454545454545453</v>
      </c>
      <c r="AC1190" s="11">
        <v>0.94234509585996107</v>
      </c>
      <c r="AD1190" s="9">
        <v>4998.1751412429385</v>
      </c>
      <c r="AE1190" s="8">
        <v>1.9172552976791119E-2</v>
      </c>
    </row>
    <row r="1191" spans="1:31" x14ac:dyDescent="0.35">
      <c r="A1191" s="6" t="s">
        <v>1212</v>
      </c>
      <c r="B1191" s="7">
        <v>6</v>
      </c>
      <c r="C1191" s="7">
        <v>1</v>
      </c>
      <c r="D1191" s="7">
        <v>0</v>
      </c>
      <c r="E1191" s="7">
        <v>11</v>
      </c>
      <c r="F1191">
        <v>2</v>
      </c>
      <c r="G1191">
        <v>1</v>
      </c>
      <c r="H1191">
        <v>88.18</v>
      </c>
      <c r="I1191">
        <v>1</v>
      </c>
      <c r="J1191">
        <v>88.1</v>
      </c>
      <c r="K1191">
        <v>98</v>
      </c>
      <c r="L1191">
        <v>1</v>
      </c>
      <c r="M1191">
        <v>97</v>
      </c>
      <c r="N1191">
        <v>0.08</v>
      </c>
      <c r="O1191">
        <v>5.88</v>
      </c>
      <c r="P1191">
        <v>16.64</v>
      </c>
      <c r="Q1191">
        <v>0.98</v>
      </c>
      <c r="R1191">
        <v>14.83</v>
      </c>
      <c r="S1191">
        <v>296</v>
      </c>
      <c r="T1191">
        <v>5004</v>
      </c>
      <c r="U1191">
        <v>332</v>
      </c>
      <c r="V1191">
        <v>6</v>
      </c>
      <c r="W1191">
        <v>16.73</v>
      </c>
      <c r="X1191" s="10">
        <v>0.74874075841929155</v>
      </c>
      <c r="Y1191" s="9">
        <v>5080</v>
      </c>
      <c r="Z1191" s="9">
        <v>4970</v>
      </c>
      <c r="AA1191" s="9">
        <v>5080</v>
      </c>
      <c r="AB1191">
        <v>1</v>
      </c>
      <c r="AC1191" s="11">
        <v>1.3644067796610169</v>
      </c>
      <c r="AD1191" s="9">
        <v>4982.6355932203387</v>
      </c>
      <c r="AE1191" s="8">
        <v>2.2132796780684104E-2</v>
      </c>
    </row>
    <row r="1192" spans="1:31" x14ac:dyDescent="0.35">
      <c r="A1192" s="6" t="s">
        <v>1213</v>
      </c>
      <c r="B1192" s="7">
        <v>2</v>
      </c>
      <c r="C1192" s="7">
        <v>11</v>
      </c>
      <c r="D1192" s="7">
        <v>1</v>
      </c>
      <c r="E1192" s="7">
        <v>4</v>
      </c>
      <c r="F1192">
        <v>55527</v>
      </c>
      <c r="G1192">
        <v>422</v>
      </c>
      <c r="H1192">
        <v>0.76</v>
      </c>
      <c r="I1192">
        <v>-952</v>
      </c>
      <c r="J1192">
        <v>-1.72</v>
      </c>
      <c r="K1192">
        <v>64803</v>
      </c>
      <c r="L1192">
        <v>56856</v>
      </c>
      <c r="M1192">
        <v>7947</v>
      </c>
      <c r="N1192">
        <v>-18.53</v>
      </c>
      <c r="O1192">
        <v>-11.83</v>
      </c>
      <c r="P1192">
        <v>0</v>
      </c>
      <c r="Q1192">
        <v>1.82</v>
      </c>
      <c r="R1192">
        <v>0.25</v>
      </c>
      <c r="S1192">
        <v>-488</v>
      </c>
      <c r="T1192">
        <v>3928</v>
      </c>
      <c r="U1192">
        <v>28460</v>
      </c>
      <c r="V1192">
        <v>3865</v>
      </c>
      <c r="W1192">
        <v>13.16</v>
      </c>
      <c r="X1192" s="10">
        <v>0.70201903764308871</v>
      </c>
      <c r="Y1192" s="9">
        <v>9180</v>
      </c>
      <c r="Z1192" s="9">
        <v>6660</v>
      </c>
      <c r="AA1192" s="9">
        <v>8520</v>
      </c>
      <c r="AB1192">
        <v>0.73809523809523814</v>
      </c>
      <c r="AC1192" s="11">
        <v>32.821894970825227</v>
      </c>
      <c r="AD1192" s="9">
        <v>7235.9322033898306</v>
      </c>
      <c r="AE1192" s="8">
        <v>0.27927927927927926</v>
      </c>
    </row>
    <row r="1193" spans="1:31" x14ac:dyDescent="0.35">
      <c r="A1193" s="6" t="s">
        <v>1214</v>
      </c>
      <c r="B1193" s="7">
        <v>1</v>
      </c>
      <c r="C1193" s="7">
        <v>2</v>
      </c>
      <c r="D1193" s="7">
        <v>6</v>
      </c>
      <c r="E1193" s="7">
        <v>9</v>
      </c>
      <c r="F1193">
        <v>91</v>
      </c>
      <c r="G1193">
        <v>-10</v>
      </c>
      <c r="H1193">
        <v>-10.95</v>
      </c>
      <c r="I1193">
        <v>-9</v>
      </c>
      <c r="J1193">
        <v>-10.4</v>
      </c>
      <c r="K1193">
        <v>165</v>
      </c>
      <c r="L1193">
        <v>84</v>
      </c>
      <c r="M1193">
        <v>81</v>
      </c>
      <c r="N1193">
        <v>107.91</v>
      </c>
      <c r="O1193">
        <v>-15.99</v>
      </c>
      <c r="P1193">
        <v>0</v>
      </c>
      <c r="Q1193">
        <v>2.2400000000000002</v>
      </c>
      <c r="R1193">
        <v>1.21</v>
      </c>
      <c r="S1193">
        <v>-183</v>
      </c>
      <c r="T1193">
        <v>946</v>
      </c>
      <c r="U1193">
        <v>1753</v>
      </c>
      <c r="V1193">
        <v>0</v>
      </c>
      <c r="W1193">
        <v>-302.3</v>
      </c>
      <c r="X1193" s="10">
        <v>0.76326539990717468</v>
      </c>
      <c r="Y1193" s="9">
        <v>20450</v>
      </c>
      <c r="Z1193" s="9">
        <v>1755</v>
      </c>
      <c r="AA1193" s="9">
        <v>13150</v>
      </c>
      <c r="AB1193">
        <v>0.60952126236961757</v>
      </c>
      <c r="AC1193" s="11">
        <v>312.07988330091695</v>
      </c>
      <c r="AD1193" s="9">
        <v>-1773.6864406779678</v>
      </c>
      <c r="AE1193" s="8">
        <v>6.3463687150837993</v>
      </c>
    </row>
    <row r="1194" spans="1:31" x14ac:dyDescent="0.35">
      <c r="A1194" s="6" t="s">
        <v>1215</v>
      </c>
      <c r="B1194" s="7">
        <v>4</v>
      </c>
      <c r="C1194" s="7">
        <v>3</v>
      </c>
      <c r="D1194" s="7">
        <v>0</v>
      </c>
      <c r="E1194" s="7">
        <v>11</v>
      </c>
      <c r="F1194">
        <v>1170</v>
      </c>
      <c r="G1194">
        <v>104</v>
      </c>
      <c r="H1194">
        <v>8.93</v>
      </c>
      <c r="I1194">
        <v>109</v>
      </c>
      <c r="J1194">
        <v>9.27</v>
      </c>
      <c r="K1194">
        <v>1549</v>
      </c>
      <c r="L1194">
        <v>135</v>
      </c>
      <c r="M1194">
        <v>1414</v>
      </c>
      <c r="N1194">
        <v>2539.37</v>
      </c>
      <c r="O1194">
        <v>7.88</v>
      </c>
      <c r="P1194">
        <v>12.29</v>
      </c>
      <c r="Q1194">
        <v>1</v>
      </c>
      <c r="R1194">
        <v>1.1399999999999999</v>
      </c>
      <c r="S1194">
        <v>1013</v>
      </c>
      <c r="T1194">
        <v>12462</v>
      </c>
      <c r="U1194">
        <v>10923</v>
      </c>
      <c r="V1194">
        <v>170</v>
      </c>
      <c r="W1194">
        <v>7.86</v>
      </c>
      <c r="X1194" s="10">
        <v>0.87425022453793932</v>
      </c>
      <c r="Y1194" s="9">
        <v>17300</v>
      </c>
      <c r="Z1194" s="9">
        <v>12100</v>
      </c>
      <c r="AA1194" s="9">
        <v>16700</v>
      </c>
      <c r="AB1194">
        <v>0.88461538461538458</v>
      </c>
      <c r="AC1194" s="11">
        <v>96.085023617671581</v>
      </c>
      <c r="AD1194" s="9">
        <v>12042.74011299435</v>
      </c>
      <c r="AE1194" s="8">
        <v>0.33600000000000002</v>
      </c>
    </row>
    <row r="1195" spans="1:31" x14ac:dyDescent="0.35">
      <c r="A1195" s="6" t="s">
        <v>1216</v>
      </c>
      <c r="B1195" s="7">
        <v>6</v>
      </c>
      <c r="C1195" s="7">
        <v>0</v>
      </c>
      <c r="D1195" s="7">
        <v>8</v>
      </c>
      <c r="E1195" s="7">
        <v>4</v>
      </c>
      <c r="F1195">
        <v>101</v>
      </c>
      <c r="G1195">
        <v>64</v>
      </c>
      <c r="H1195">
        <v>63.22</v>
      </c>
      <c r="I1195">
        <v>-138</v>
      </c>
      <c r="J1195">
        <v>-136.59</v>
      </c>
      <c r="K1195">
        <v>1808</v>
      </c>
      <c r="L1195">
        <v>192</v>
      </c>
      <c r="M1195">
        <v>1617</v>
      </c>
      <c r="N1195">
        <v>3303.8</v>
      </c>
      <c r="O1195">
        <v>-8.18</v>
      </c>
      <c r="P1195">
        <v>0</v>
      </c>
      <c r="Q1195">
        <v>0.91</v>
      </c>
      <c r="R1195">
        <v>12.98</v>
      </c>
      <c r="S1195">
        <v>-1494</v>
      </c>
      <c r="T1195">
        <v>15607</v>
      </c>
      <c r="U1195">
        <v>1094</v>
      </c>
      <c r="V1195">
        <v>72</v>
      </c>
      <c r="W1195">
        <v>20.87</v>
      </c>
      <c r="X1195" s="10">
        <v>0.68600930294789031</v>
      </c>
      <c r="Y1195" s="9">
        <v>15950</v>
      </c>
      <c r="Z1195" s="9">
        <v>14000</v>
      </c>
      <c r="AA1195" s="9">
        <v>15950</v>
      </c>
      <c r="AB1195">
        <v>1</v>
      </c>
      <c r="AC1195" s="11">
        <v>28.696860238955264</v>
      </c>
      <c r="AD1195" s="9">
        <v>13963.079096045198</v>
      </c>
      <c r="AE1195" s="8">
        <v>0.12323943661971831</v>
      </c>
    </row>
    <row r="1196" spans="1:31" x14ac:dyDescent="0.35">
      <c r="A1196" s="6" t="s">
        <v>1217</v>
      </c>
      <c r="B1196" s="7">
        <v>0</v>
      </c>
      <c r="C1196" s="7">
        <v>3</v>
      </c>
      <c r="D1196" s="7">
        <v>0</v>
      </c>
      <c r="E1196" s="7">
        <v>15</v>
      </c>
      <c r="F1196">
        <v>862</v>
      </c>
      <c r="G1196">
        <v>-233</v>
      </c>
      <c r="H1196">
        <v>-27.1</v>
      </c>
      <c r="I1196">
        <v>-683</v>
      </c>
      <c r="J1196">
        <v>-79.31</v>
      </c>
      <c r="K1196">
        <v>499</v>
      </c>
      <c r="L1196">
        <v>461</v>
      </c>
      <c r="M1196">
        <v>37</v>
      </c>
      <c r="N1196">
        <v>2.4900000000000002</v>
      </c>
      <c r="O1196">
        <v>-202.49</v>
      </c>
      <c r="P1196">
        <v>0</v>
      </c>
      <c r="Q1196">
        <v>4.2300000000000004</v>
      </c>
      <c r="R1196">
        <v>0.13</v>
      </c>
      <c r="S1196">
        <v>-3966</v>
      </c>
      <c r="T1196">
        <v>153</v>
      </c>
      <c r="U1196">
        <v>5001</v>
      </c>
      <c r="V1196">
        <v>-217</v>
      </c>
      <c r="W1196">
        <v>-2.34</v>
      </c>
      <c r="X1196" s="10">
        <v>0.68590923271790627</v>
      </c>
      <c r="Y1196" s="9">
        <v>808</v>
      </c>
      <c r="Z1196" s="9">
        <v>387</v>
      </c>
      <c r="AA1196" s="9">
        <v>387</v>
      </c>
      <c r="AB1196">
        <v>0</v>
      </c>
      <c r="AC1196" s="11">
        <v>-4.4199499861072509</v>
      </c>
      <c r="AD1196" s="9">
        <v>798.2418079096044</v>
      </c>
      <c r="AE1196" s="8">
        <v>-0.43088235294117649</v>
      </c>
    </row>
    <row r="1197" spans="1:31" x14ac:dyDescent="0.35">
      <c r="A1197" s="6" t="s">
        <v>1218</v>
      </c>
      <c r="B1197" s="7">
        <v>5</v>
      </c>
      <c r="C1197" s="7">
        <v>11</v>
      </c>
      <c r="D1197" s="7">
        <v>0</v>
      </c>
      <c r="E1197" s="7">
        <v>2</v>
      </c>
      <c r="F1197">
        <v>447</v>
      </c>
      <c r="G1197">
        <v>18</v>
      </c>
      <c r="H1197">
        <v>3.98</v>
      </c>
      <c r="I1197">
        <v>20</v>
      </c>
      <c r="J1197">
        <v>4.4800000000000004</v>
      </c>
      <c r="K1197">
        <v>653</v>
      </c>
      <c r="L1197">
        <v>160</v>
      </c>
      <c r="M1197">
        <v>492</v>
      </c>
      <c r="N1197">
        <v>217.21</v>
      </c>
      <c r="O1197">
        <v>5.73</v>
      </c>
      <c r="P1197">
        <v>82.73</v>
      </c>
      <c r="Q1197">
        <v>4.26</v>
      </c>
      <c r="R1197">
        <v>3.71</v>
      </c>
      <c r="S1197">
        <v>77</v>
      </c>
      <c r="T1197">
        <v>1496</v>
      </c>
      <c r="U1197">
        <v>1719</v>
      </c>
      <c r="V1197">
        <v>34</v>
      </c>
      <c r="W1197">
        <v>48.32</v>
      </c>
      <c r="X1197" s="10">
        <v>0.12209313998552809</v>
      </c>
      <c r="Y1197" s="9">
        <v>7300</v>
      </c>
      <c r="Z1197" s="9">
        <v>5380</v>
      </c>
      <c r="AA1197" s="9">
        <v>6000</v>
      </c>
      <c r="AB1197">
        <v>0.32291666666666669</v>
      </c>
      <c r="AC1197" s="11">
        <v>8.833009169213673</v>
      </c>
      <c r="AD1197" s="9">
        <v>6002.926553672316</v>
      </c>
      <c r="AE1197" s="8">
        <v>-5.2132701421800945E-2</v>
      </c>
    </row>
    <row r="1198" spans="1:31" x14ac:dyDescent="0.35">
      <c r="A1198" s="6" t="s">
        <v>1219</v>
      </c>
      <c r="B1198" s="7">
        <v>7</v>
      </c>
      <c r="C1198" s="7">
        <v>4</v>
      </c>
      <c r="D1198" s="7">
        <v>4</v>
      </c>
      <c r="E1198" s="7">
        <v>3</v>
      </c>
      <c r="F1198">
        <v>24561</v>
      </c>
      <c r="G1198">
        <v>456</v>
      </c>
      <c r="H1198">
        <v>1.86</v>
      </c>
      <c r="I1198">
        <v>359</v>
      </c>
      <c r="J1198">
        <v>1.46</v>
      </c>
      <c r="K1198">
        <v>8591</v>
      </c>
      <c r="L1198">
        <v>4930</v>
      </c>
      <c r="M1198">
        <v>3661</v>
      </c>
      <c r="N1198">
        <v>1966.33</v>
      </c>
      <c r="O1198">
        <v>10.06</v>
      </c>
      <c r="P1198">
        <v>28.4</v>
      </c>
      <c r="Q1198">
        <v>2.98</v>
      </c>
      <c r="R1198">
        <v>0.42</v>
      </c>
      <c r="S1198">
        <v>1000</v>
      </c>
      <c r="T1198">
        <v>9543</v>
      </c>
      <c r="U1198">
        <v>68398</v>
      </c>
      <c r="V1198">
        <v>541</v>
      </c>
      <c r="W1198">
        <v>18.86</v>
      </c>
      <c r="X1198" s="10">
        <v>2.0561704192985936E-2</v>
      </c>
      <c r="Y1198" s="9">
        <v>29000</v>
      </c>
      <c r="Z1198" s="9">
        <v>24500</v>
      </c>
      <c r="AA1198" s="9">
        <v>24900</v>
      </c>
      <c r="AB1198">
        <v>8.8888888888888892E-2</v>
      </c>
      <c r="AC1198" s="11">
        <v>-8.8510697415948876</v>
      </c>
      <c r="AD1198" s="9">
        <v>26647.457627118645</v>
      </c>
      <c r="AE1198" s="8">
        <v>-0.14137931034482759</v>
      </c>
    </row>
    <row r="1199" spans="1:31" x14ac:dyDescent="0.35">
      <c r="A1199" s="6" t="s">
        <v>1220</v>
      </c>
      <c r="B1199" s="7">
        <v>9</v>
      </c>
      <c r="C1199" s="7">
        <v>0</v>
      </c>
      <c r="D1199" s="7">
        <v>9</v>
      </c>
      <c r="E1199" s="7">
        <v>0</v>
      </c>
      <c r="F1199">
        <v>686</v>
      </c>
      <c r="G1199">
        <v>132</v>
      </c>
      <c r="H1199">
        <v>19.22</v>
      </c>
      <c r="I1199">
        <v>113</v>
      </c>
      <c r="J1199">
        <v>16.420000000000002</v>
      </c>
      <c r="K1199">
        <v>1480</v>
      </c>
      <c r="L1199">
        <v>325</v>
      </c>
      <c r="M1199">
        <v>1155</v>
      </c>
      <c r="N1199">
        <v>2438.35</v>
      </c>
      <c r="O1199">
        <v>13.7</v>
      </c>
      <c r="P1199">
        <v>34.299999999999997</v>
      </c>
      <c r="Q1199">
        <v>4.55</v>
      </c>
      <c r="R1199">
        <v>5.63</v>
      </c>
      <c r="S1199">
        <v>1659</v>
      </c>
      <c r="T1199">
        <v>12503</v>
      </c>
      <c r="U1199">
        <v>10101</v>
      </c>
      <c r="V1199">
        <v>176</v>
      </c>
      <c r="W1199">
        <v>29.83</v>
      </c>
      <c r="X1199" s="10">
        <v>0.79138524774365215</v>
      </c>
      <c r="Y1199" s="9">
        <v>69500</v>
      </c>
      <c r="Z1199" s="9">
        <v>48400</v>
      </c>
      <c r="AA1199" s="9">
        <v>48400</v>
      </c>
      <c r="AB1199">
        <v>0</v>
      </c>
      <c r="AC1199" s="11">
        <v>-240.84745762711859</v>
      </c>
      <c r="AD1199" s="9">
        <v>67414.180790960454</v>
      </c>
      <c r="AE1199" s="8">
        <v>-0.2</v>
      </c>
    </row>
    <row r="1200" spans="1:31" x14ac:dyDescent="0.35">
      <c r="A1200" s="6" t="s">
        <v>1221</v>
      </c>
      <c r="B1200" s="7">
        <v>0</v>
      </c>
      <c r="C1200" s="7">
        <v>12</v>
      </c>
      <c r="D1200" s="7">
        <v>1</v>
      </c>
      <c r="E1200" s="7">
        <v>5</v>
      </c>
      <c r="F1200">
        <v>129</v>
      </c>
      <c r="G1200">
        <v>-1</v>
      </c>
      <c r="H1200">
        <v>-0.92</v>
      </c>
      <c r="I1200">
        <v>1</v>
      </c>
      <c r="J1200">
        <v>0.66</v>
      </c>
      <c r="K1200">
        <v>1051</v>
      </c>
      <c r="L1200">
        <v>126</v>
      </c>
      <c r="M1200">
        <v>925</v>
      </c>
      <c r="N1200">
        <v>1079.55</v>
      </c>
      <c r="O1200">
        <v>0.37</v>
      </c>
      <c r="P1200">
        <v>320</v>
      </c>
      <c r="Q1200">
        <v>1.49</v>
      </c>
      <c r="R1200">
        <v>1.99</v>
      </c>
      <c r="S1200">
        <v>20</v>
      </c>
      <c r="T1200">
        <v>4302</v>
      </c>
      <c r="U1200">
        <v>3216</v>
      </c>
      <c r="V1200">
        <v>39</v>
      </c>
      <c r="W1200">
        <v>27.31</v>
      </c>
      <c r="X1200" s="10">
        <v>0.45670111773936067</v>
      </c>
      <c r="Y1200" s="9">
        <v>9510</v>
      </c>
      <c r="Z1200" s="9">
        <v>6350</v>
      </c>
      <c r="AA1200" s="9">
        <v>8210</v>
      </c>
      <c r="AB1200">
        <v>0.58860759493670889</v>
      </c>
      <c r="AC1200" s="11">
        <v>28.035009724923583</v>
      </c>
      <c r="AD1200" s="9">
        <v>7172.2655367231637</v>
      </c>
      <c r="AE1200" s="8">
        <v>0.29291338582677168</v>
      </c>
    </row>
    <row r="1201" spans="1:31" x14ac:dyDescent="0.35">
      <c r="A1201" s="6" t="s">
        <v>1222</v>
      </c>
      <c r="B1201" s="7">
        <v>5</v>
      </c>
      <c r="C1201" s="7">
        <v>2</v>
      </c>
      <c r="D1201" s="7">
        <v>1</v>
      </c>
      <c r="E1201" s="7">
        <v>10</v>
      </c>
      <c r="F1201">
        <v>201</v>
      </c>
      <c r="G1201">
        <v>-3</v>
      </c>
      <c r="H1201">
        <v>-1.4</v>
      </c>
      <c r="I1201">
        <v>1</v>
      </c>
      <c r="J1201">
        <v>0.28000000000000003</v>
      </c>
      <c r="K1201">
        <v>393</v>
      </c>
      <c r="L1201">
        <v>89</v>
      </c>
      <c r="M1201">
        <v>305</v>
      </c>
      <c r="N1201">
        <v>388.73</v>
      </c>
      <c r="O1201">
        <v>0.24</v>
      </c>
      <c r="P1201">
        <v>861</v>
      </c>
      <c r="Q1201">
        <v>1.82</v>
      </c>
      <c r="R1201">
        <v>2.0099999999999998</v>
      </c>
      <c r="S1201">
        <v>5</v>
      </c>
      <c r="T1201">
        <v>2371</v>
      </c>
      <c r="U1201">
        <v>2147</v>
      </c>
      <c r="V1201">
        <v>8</v>
      </c>
      <c r="W1201">
        <v>70.55</v>
      </c>
      <c r="X1201" s="10">
        <v>0.69787991096760538</v>
      </c>
      <c r="Y1201" s="9">
        <v>5640</v>
      </c>
      <c r="Z1201" s="9">
        <v>3500</v>
      </c>
      <c r="AA1201" s="9">
        <v>3840</v>
      </c>
      <c r="AB1201">
        <v>0.15887850467289719</v>
      </c>
      <c r="AC1201" s="11">
        <v>-29.42622950819672</v>
      </c>
      <c r="AD1201" s="9">
        <v>5431</v>
      </c>
      <c r="AE1201" s="8">
        <v>-0.15789473684210525</v>
      </c>
    </row>
    <row r="1202" spans="1:31" x14ac:dyDescent="0.35">
      <c r="A1202" s="6" t="s">
        <v>1223</v>
      </c>
      <c r="B1202" s="7">
        <v>0</v>
      </c>
      <c r="C1202" s="7">
        <v>1</v>
      </c>
      <c r="D1202" s="7">
        <v>4</v>
      </c>
      <c r="E1202" s="7">
        <v>13</v>
      </c>
      <c r="F1202">
        <v>58</v>
      </c>
      <c r="G1202">
        <v>-96</v>
      </c>
      <c r="H1202">
        <v>-167.7</v>
      </c>
      <c r="I1202">
        <v>-147</v>
      </c>
      <c r="J1202">
        <v>-255.42</v>
      </c>
      <c r="K1202">
        <v>704</v>
      </c>
      <c r="L1202">
        <v>128</v>
      </c>
      <c r="M1202">
        <v>577</v>
      </c>
      <c r="N1202">
        <v>806.24</v>
      </c>
      <c r="O1202">
        <v>-22.63</v>
      </c>
      <c r="P1202">
        <v>0</v>
      </c>
      <c r="Q1202">
        <v>1.07</v>
      </c>
      <c r="R1202">
        <v>6.57</v>
      </c>
      <c r="S1202">
        <v>-1108</v>
      </c>
      <c r="T1202">
        <v>2671</v>
      </c>
      <c r="U1202">
        <v>434</v>
      </c>
      <c r="V1202">
        <v>-75</v>
      </c>
      <c r="W1202">
        <v>-5.23</v>
      </c>
      <c r="X1202" s="10">
        <v>0.32485345103771618</v>
      </c>
      <c r="Y1202" s="9">
        <v>3205</v>
      </c>
      <c r="Z1202" s="9">
        <v>2515</v>
      </c>
      <c r="AA1202" s="9">
        <v>3085</v>
      </c>
      <c r="AB1202">
        <v>0.82608695652173914</v>
      </c>
      <c r="AC1202" s="11">
        <v>6.229369269241456</v>
      </c>
      <c r="AD1202" s="9">
        <v>2633.4209039548023</v>
      </c>
      <c r="AE1202" s="8">
        <v>7.8671328671328672E-2</v>
      </c>
    </row>
    <row r="1203" spans="1:31" x14ac:dyDescent="0.35">
      <c r="A1203" s="6" t="s">
        <v>1224</v>
      </c>
      <c r="B1203" s="7">
        <v>14</v>
      </c>
      <c r="C1203" s="7">
        <v>4</v>
      </c>
      <c r="D1203" s="7">
        <v>0</v>
      </c>
      <c r="E1203" s="7">
        <v>0</v>
      </c>
      <c r="F1203">
        <v>6642</v>
      </c>
      <c r="G1203">
        <v>703</v>
      </c>
      <c r="H1203">
        <v>10.58</v>
      </c>
      <c r="I1203">
        <v>489</v>
      </c>
      <c r="J1203">
        <v>7.36</v>
      </c>
      <c r="K1203">
        <v>9695</v>
      </c>
      <c r="L1203">
        <v>5425</v>
      </c>
      <c r="M1203">
        <v>4269</v>
      </c>
      <c r="N1203">
        <v>3244.17</v>
      </c>
      <c r="O1203">
        <v>12.12</v>
      </c>
      <c r="P1203">
        <v>26.1</v>
      </c>
      <c r="Q1203">
        <v>3.02</v>
      </c>
      <c r="R1203">
        <v>1.92</v>
      </c>
      <c r="S1203">
        <v>1914</v>
      </c>
      <c r="T1203">
        <v>16545</v>
      </c>
      <c r="U1203">
        <v>26015</v>
      </c>
      <c r="V1203">
        <v>757</v>
      </c>
      <c r="W1203">
        <v>19.649999999999999</v>
      </c>
      <c r="X1203" s="10">
        <v>0.89987010548383473</v>
      </c>
      <c r="Y1203" s="9">
        <v>73700</v>
      </c>
      <c r="Z1203" s="9">
        <v>49950</v>
      </c>
      <c r="AA1203" s="9">
        <v>73700</v>
      </c>
      <c r="AB1203">
        <v>1</v>
      </c>
      <c r="AC1203" s="11">
        <v>321.97415948874692</v>
      </c>
      <c r="AD1203" s="9">
        <v>51165.621468926554</v>
      </c>
      <c r="AE1203" s="8">
        <v>0.46520874751491054</v>
      </c>
    </row>
    <row r="1204" spans="1:31" x14ac:dyDescent="0.35">
      <c r="A1204" s="6" t="s">
        <v>1225</v>
      </c>
      <c r="B1204" s="7">
        <v>3</v>
      </c>
      <c r="C1204" s="7">
        <v>12</v>
      </c>
      <c r="D1204" s="7">
        <v>0</v>
      </c>
      <c r="E1204" s="7">
        <v>3</v>
      </c>
      <c r="F1204">
        <v>139</v>
      </c>
      <c r="G1204">
        <v>13</v>
      </c>
      <c r="H1204">
        <v>9.0399999999999991</v>
      </c>
      <c r="I1204">
        <v>2</v>
      </c>
      <c r="J1204">
        <v>1.61</v>
      </c>
      <c r="K1204">
        <v>351</v>
      </c>
      <c r="L1204">
        <v>240</v>
      </c>
      <c r="M1204">
        <v>111</v>
      </c>
      <c r="N1204">
        <v>77.67</v>
      </c>
      <c r="O1204">
        <v>2.71</v>
      </c>
      <c r="P1204">
        <v>159.38</v>
      </c>
      <c r="Q1204">
        <v>5.52</v>
      </c>
      <c r="R1204">
        <v>2.58</v>
      </c>
      <c r="S1204">
        <v>24</v>
      </c>
      <c r="T1204">
        <v>693</v>
      </c>
      <c r="U1204">
        <v>1484</v>
      </c>
      <c r="V1204">
        <v>20</v>
      </c>
      <c r="W1204">
        <v>30.95</v>
      </c>
      <c r="X1204" s="10">
        <v>0.83056571736729423</v>
      </c>
      <c r="Y1204" s="9">
        <v>5020</v>
      </c>
      <c r="Z1204" s="9">
        <v>1800</v>
      </c>
      <c r="AA1204" s="9">
        <v>4630</v>
      </c>
      <c r="AB1204">
        <v>0.8788819875776398</v>
      </c>
      <c r="AC1204" s="11">
        <v>53.558349541539314</v>
      </c>
      <c r="AD1204" s="9">
        <v>1420.5536723163843</v>
      </c>
      <c r="AE1204" s="8">
        <v>1.5163043478260869</v>
      </c>
    </row>
    <row r="1205" spans="1:31" x14ac:dyDescent="0.35">
      <c r="A1205" s="6" t="s">
        <v>1226</v>
      </c>
      <c r="B1205" s="7">
        <v>10</v>
      </c>
      <c r="C1205" s="7">
        <v>0</v>
      </c>
      <c r="D1205" s="7">
        <v>6</v>
      </c>
      <c r="E1205" s="7">
        <v>2</v>
      </c>
      <c r="F1205">
        <v>559</v>
      </c>
      <c r="G1205">
        <v>21</v>
      </c>
      <c r="H1205">
        <v>3.67</v>
      </c>
      <c r="I1205">
        <v>-44</v>
      </c>
      <c r="J1205">
        <v>-7.81</v>
      </c>
      <c r="K1205">
        <v>500</v>
      </c>
      <c r="L1205">
        <v>398</v>
      </c>
      <c r="M1205">
        <v>102</v>
      </c>
      <c r="N1205">
        <v>-32.659999999999997</v>
      </c>
      <c r="O1205">
        <v>-38.130000000000003</v>
      </c>
      <c r="P1205">
        <v>0</v>
      </c>
      <c r="Q1205">
        <v>123.8</v>
      </c>
      <c r="R1205">
        <v>1.68</v>
      </c>
      <c r="S1205">
        <v>-144</v>
      </c>
      <c r="T1205">
        <v>25</v>
      </c>
      <c r="U1205">
        <v>1847</v>
      </c>
      <c r="V1205">
        <v>40</v>
      </c>
      <c r="W1205">
        <v>29.12</v>
      </c>
      <c r="X1205" s="10">
        <v>0.80577676655540942</v>
      </c>
      <c r="Y1205" s="9">
        <v>5050</v>
      </c>
      <c r="Z1205" s="9">
        <v>2950</v>
      </c>
      <c r="AA1205" s="9">
        <v>4120</v>
      </c>
      <c r="AB1205">
        <v>0.55714285714285716</v>
      </c>
      <c r="AC1205" s="11">
        <v>33.839121978327313</v>
      </c>
      <c r="AD1205" s="9">
        <v>2770.5734463276835</v>
      </c>
      <c r="AE1205" s="8">
        <v>0.28951486697965573</v>
      </c>
    </row>
    <row r="1206" spans="1:31" x14ac:dyDescent="0.35">
      <c r="A1206" s="6" t="s">
        <v>1227</v>
      </c>
      <c r="B1206" s="7">
        <v>0</v>
      </c>
      <c r="C1206" s="7">
        <v>4</v>
      </c>
      <c r="D1206" s="7">
        <v>12</v>
      </c>
      <c r="E1206" s="7">
        <v>2</v>
      </c>
      <c r="F1206">
        <v>962</v>
      </c>
      <c r="G1206">
        <v>-9</v>
      </c>
      <c r="H1206">
        <v>-0.89</v>
      </c>
      <c r="I1206">
        <v>-13</v>
      </c>
      <c r="J1206">
        <v>-1.4</v>
      </c>
      <c r="K1206">
        <v>1062</v>
      </c>
      <c r="L1206">
        <v>502</v>
      </c>
      <c r="M1206">
        <v>559</v>
      </c>
      <c r="N1206">
        <v>543.24</v>
      </c>
      <c r="O1206">
        <v>-3.17</v>
      </c>
      <c r="P1206">
        <v>0</v>
      </c>
      <c r="Q1206">
        <v>1.34</v>
      </c>
      <c r="R1206">
        <v>0.56999999999999995</v>
      </c>
      <c r="S1206">
        <v>-100</v>
      </c>
      <c r="T1206">
        <v>3024</v>
      </c>
      <c r="U1206">
        <v>7116</v>
      </c>
      <c r="V1206">
        <v>-11</v>
      </c>
      <c r="W1206">
        <v>-81.239999999999995</v>
      </c>
      <c r="X1206" s="10">
        <v>0.7402744920081431</v>
      </c>
      <c r="Y1206" s="9">
        <v>4100</v>
      </c>
      <c r="Z1206" s="9">
        <v>3000</v>
      </c>
      <c r="AA1206" s="9">
        <v>4040</v>
      </c>
      <c r="AB1206">
        <v>0.94545454545454544</v>
      </c>
      <c r="AC1206" s="11">
        <v>15.742011669908305</v>
      </c>
      <c r="AD1206" s="9">
        <v>3223.2853107344631</v>
      </c>
      <c r="AE1206" s="8">
        <v>0.34666666666666668</v>
      </c>
    </row>
    <row r="1207" spans="1:31" x14ac:dyDescent="0.35">
      <c r="A1207" s="6" t="s">
        <v>1228</v>
      </c>
      <c r="B1207" s="7">
        <v>11</v>
      </c>
      <c r="C1207" s="7">
        <v>3</v>
      </c>
      <c r="D1207" s="7">
        <v>4</v>
      </c>
      <c r="E1207" s="7">
        <v>0</v>
      </c>
      <c r="F1207">
        <v>522</v>
      </c>
      <c r="G1207">
        <v>73</v>
      </c>
      <c r="H1207">
        <v>14.01</v>
      </c>
      <c r="I1207">
        <v>79</v>
      </c>
      <c r="J1207">
        <v>15.21</v>
      </c>
      <c r="K1207">
        <v>1082</v>
      </c>
      <c r="L1207">
        <v>560</v>
      </c>
      <c r="M1207">
        <v>522</v>
      </c>
      <c r="N1207">
        <v>990.6</v>
      </c>
      <c r="O1207">
        <v>21.87</v>
      </c>
      <c r="P1207">
        <v>13.49</v>
      </c>
      <c r="Q1207">
        <v>2.81</v>
      </c>
      <c r="R1207">
        <v>2.0499999999999998</v>
      </c>
      <c r="S1207">
        <v>1108</v>
      </c>
      <c r="T1207">
        <v>5328</v>
      </c>
      <c r="U1207">
        <v>7281</v>
      </c>
      <c r="V1207">
        <v>156</v>
      </c>
      <c r="W1207">
        <v>11.91</v>
      </c>
      <c r="X1207" s="10">
        <v>0.89490633743593151</v>
      </c>
      <c r="Y1207" s="9">
        <v>24750</v>
      </c>
      <c r="Z1207" s="9">
        <v>13300</v>
      </c>
      <c r="AA1207" s="9">
        <v>23850</v>
      </c>
      <c r="AB1207">
        <v>0.92139737991266379</v>
      </c>
      <c r="AC1207" s="11">
        <v>179.9638788552376</v>
      </c>
      <c r="AD1207" s="9">
        <v>12702.768361581922</v>
      </c>
      <c r="AE1207" s="8">
        <v>0.79323308270676696</v>
      </c>
    </row>
    <row r="1208" spans="1:31" x14ac:dyDescent="0.35">
      <c r="A1208" s="6" t="s">
        <v>1229</v>
      </c>
      <c r="B1208" s="7">
        <v>9</v>
      </c>
      <c r="C1208" s="7">
        <v>1</v>
      </c>
      <c r="D1208" s="7">
        <v>6</v>
      </c>
      <c r="E1208" s="7">
        <v>2</v>
      </c>
      <c r="F1208">
        <v>478</v>
      </c>
      <c r="G1208">
        <v>15</v>
      </c>
      <c r="H1208">
        <v>3.04</v>
      </c>
      <c r="I1208">
        <v>14</v>
      </c>
      <c r="J1208">
        <v>3.01</v>
      </c>
      <c r="K1208">
        <v>681</v>
      </c>
      <c r="L1208">
        <v>63</v>
      </c>
      <c r="M1208">
        <v>618</v>
      </c>
      <c r="N1208">
        <v>724.35</v>
      </c>
      <c r="O1208">
        <v>2.35</v>
      </c>
      <c r="P1208">
        <v>33.299999999999997</v>
      </c>
      <c r="Q1208">
        <v>0.83</v>
      </c>
      <c r="R1208">
        <v>1</v>
      </c>
      <c r="S1208">
        <v>97</v>
      </c>
      <c r="T1208">
        <v>3887</v>
      </c>
      <c r="U1208">
        <v>3214</v>
      </c>
      <c r="V1208">
        <v>21</v>
      </c>
      <c r="W1208">
        <v>24.43</v>
      </c>
      <c r="X1208" s="10">
        <v>0.67026921455483457</v>
      </c>
      <c r="Y1208" s="9">
        <v>3230</v>
      </c>
      <c r="Z1208" s="9">
        <v>2430</v>
      </c>
      <c r="AA1208" s="9">
        <v>2470</v>
      </c>
      <c r="AB1208">
        <v>0.05</v>
      </c>
      <c r="AC1208" s="11">
        <v>-8.7531258682967472</v>
      </c>
      <c r="AD1208" s="9">
        <v>2948.5536723163841</v>
      </c>
      <c r="AE1208" s="8">
        <v>-0.21337579617834396</v>
      </c>
    </row>
    <row r="1209" spans="1:31" x14ac:dyDescent="0.35">
      <c r="A1209" s="6" t="s">
        <v>1230</v>
      </c>
      <c r="B1209" s="7">
        <v>9</v>
      </c>
      <c r="C1209" s="7">
        <v>5</v>
      </c>
      <c r="D1209" s="7">
        <v>0</v>
      </c>
      <c r="E1209" s="7">
        <v>4</v>
      </c>
      <c r="F1209">
        <v>216</v>
      </c>
      <c r="G1209">
        <v>-4</v>
      </c>
      <c r="H1209">
        <v>-2.0699999999999998</v>
      </c>
      <c r="I1209">
        <v>-15</v>
      </c>
      <c r="J1209">
        <v>-6.83</v>
      </c>
      <c r="K1209">
        <v>563</v>
      </c>
      <c r="L1209">
        <v>296</v>
      </c>
      <c r="M1209">
        <v>267</v>
      </c>
      <c r="N1209">
        <v>701.35</v>
      </c>
      <c r="O1209">
        <v>-7.95</v>
      </c>
      <c r="P1209">
        <v>0</v>
      </c>
      <c r="Q1209">
        <v>4.1399999999999997</v>
      </c>
      <c r="R1209">
        <v>2.86</v>
      </c>
      <c r="S1209">
        <v>-319</v>
      </c>
      <c r="T1209">
        <v>3221</v>
      </c>
      <c r="U1209">
        <v>4667</v>
      </c>
      <c r="V1209">
        <v>39</v>
      </c>
      <c r="W1209">
        <v>27.42</v>
      </c>
      <c r="X1209" s="10">
        <v>0.64950971036068439</v>
      </c>
      <c r="Y1209" s="9">
        <v>23000</v>
      </c>
      <c r="Z1209" s="9">
        <v>15150</v>
      </c>
      <c r="AA1209" s="9">
        <v>21300</v>
      </c>
      <c r="AB1209">
        <v>0.78343949044585992</v>
      </c>
      <c r="AC1209" s="11">
        <v>118.05640455682136</v>
      </c>
      <c r="AD1209" s="9">
        <v>14993.446327683616</v>
      </c>
      <c r="AE1209" s="8">
        <v>0.30275229357798167</v>
      </c>
    </row>
    <row r="1210" spans="1:31" x14ac:dyDescent="0.35">
      <c r="A1210" s="6" t="s">
        <v>1231</v>
      </c>
      <c r="B1210" s="7">
        <v>6</v>
      </c>
      <c r="C1210" s="7">
        <v>6</v>
      </c>
      <c r="D1210" s="7">
        <v>2</v>
      </c>
      <c r="E1210" s="7">
        <v>4</v>
      </c>
      <c r="F1210">
        <v>534</v>
      </c>
      <c r="G1210">
        <v>15</v>
      </c>
      <c r="H1210">
        <v>2.86</v>
      </c>
      <c r="I1210">
        <v>12</v>
      </c>
      <c r="J1210">
        <v>2.34</v>
      </c>
      <c r="K1210">
        <v>420</v>
      </c>
      <c r="L1210">
        <v>97</v>
      </c>
      <c r="M1210">
        <v>324</v>
      </c>
      <c r="N1210">
        <v>747.42</v>
      </c>
      <c r="O1210">
        <v>3.92</v>
      </c>
      <c r="P1210">
        <v>17.12</v>
      </c>
      <c r="Q1210">
        <v>0.84</v>
      </c>
      <c r="R1210">
        <v>0.4</v>
      </c>
      <c r="S1210">
        <v>177</v>
      </c>
      <c r="T1210">
        <v>3589</v>
      </c>
      <c r="U1210">
        <v>7564</v>
      </c>
      <c r="V1210">
        <v>17</v>
      </c>
      <c r="W1210">
        <v>14</v>
      </c>
      <c r="X1210" s="10">
        <v>0.44560892590531848</v>
      </c>
      <c r="Y1210" s="9">
        <v>3980</v>
      </c>
      <c r="Z1210" s="9">
        <v>2775</v>
      </c>
      <c r="AA1210" s="9">
        <v>3430</v>
      </c>
      <c r="AB1210">
        <v>0.54356846473029041</v>
      </c>
      <c r="AC1210" s="11">
        <v>11.86398999722145</v>
      </c>
      <c r="AD1210" s="9">
        <v>2692.8983050847455</v>
      </c>
      <c r="AE1210" s="8">
        <v>0.13388429752066117</v>
      </c>
    </row>
    <row r="1211" spans="1:31" x14ac:dyDescent="0.35">
      <c r="A1211" s="6" t="s">
        <v>1232</v>
      </c>
      <c r="B1211" s="7">
        <v>6</v>
      </c>
      <c r="C1211" s="7">
        <v>3</v>
      </c>
      <c r="D1211" s="7">
        <v>9</v>
      </c>
      <c r="E1211" s="7">
        <v>0</v>
      </c>
      <c r="F1211">
        <v>244</v>
      </c>
      <c r="G1211">
        <v>8</v>
      </c>
      <c r="H1211">
        <v>3.14</v>
      </c>
      <c r="I1211">
        <v>9</v>
      </c>
      <c r="J1211">
        <v>3.57</v>
      </c>
      <c r="K1211">
        <v>605</v>
      </c>
      <c r="L1211">
        <v>368</v>
      </c>
      <c r="M1211">
        <v>237</v>
      </c>
      <c r="N1211">
        <v>811.09</v>
      </c>
      <c r="O1211">
        <v>3.71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8</v>
      </c>
      <c r="W1211">
        <v>51.49</v>
      </c>
      <c r="X1211" s="10">
        <v>0.77287724631028787</v>
      </c>
      <c r="Y1211" s="9">
        <v>3450</v>
      </c>
      <c r="Z1211" s="9">
        <v>2455</v>
      </c>
      <c r="AA1211" s="9">
        <v>3050</v>
      </c>
      <c r="AB1211">
        <v>0.59798994974874375</v>
      </c>
      <c r="AC1211" s="11">
        <v>13.785495971103087</v>
      </c>
      <c r="AD1211" s="9">
        <v>2438.8757062146892</v>
      </c>
      <c r="AE1211" s="8">
        <v>0.20553359683794467</v>
      </c>
    </row>
    <row r="1212" spans="1:31" x14ac:dyDescent="0.35">
      <c r="A1212" s="6" t="s">
        <v>1233</v>
      </c>
      <c r="B1212" s="7">
        <v>4</v>
      </c>
      <c r="C1212" s="7">
        <v>5</v>
      </c>
      <c r="D1212" s="7">
        <v>2</v>
      </c>
      <c r="E1212" s="7">
        <v>7</v>
      </c>
      <c r="F1212">
        <v>1092</v>
      </c>
      <c r="G1212">
        <v>13</v>
      </c>
      <c r="H1212">
        <v>1.17</v>
      </c>
      <c r="I1212">
        <v>3</v>
      </c>
      <c r="J1212">
        <v>0.31</v>
      </c>
      <c r="K1212">
        <v>989</v>
      </c>
      <c r="L1212">
        <v>740</v>
      </c>
      <c r="M1212">
        <v>249</v>
      </c>
      <c r="N1212">
        <v>1066.55</v>
      </c>
      <c r="O1212">
        <v>2.13</v>
      </c>
      <c r="P1212">
        <v>56.94</v>
      </c>
      <c r="Q1212">
        <v>1.51</v>
      </c>
      <c r="R1212">
        <v>0.18</v>
      </c>
      <c r="S1212">
        <v>144</v>
      </c>
      <c r="T1212">
        <v>5424</v>
      </c>
      <c r="U1212">
        <v>46727</v>
      </c>
      <c r="V1212">
        <v>25</v>
      </c>
      <c r="W1212">
        <v>22.28</v>
      </c>
      <c r="X1212" s="10">
        <v>0.93693053008435545</v>
      </c>
      <c r="Y1212" s="9">
        <v>23850</v>
      </c>
      <c r="Z1212" s="9">
        <v>7730</v>
      </c>
      <c r="AA1212" s="9">
        <v>23850</v>
      </c>
      <c r="AB1212">
        <v>1</v>
      </c>
      <c r="AC1212" s="11">
        <v>263.83439844401221</v>
      </c>
      <c r="AD1212" s="9">
        <v>8702.3841807909594</v>
      </c>
      <c r="AE1212" s="8">
        <v>2.0853816300129364</v>
      </c>
    </row>
    <row r="1213" spans="1:31" x14ac:dyDescent="0.35">
      <c r="A1213" s="6" t="s">
        <v>1234</v>
      </c>
      <c r="B1213" s="7">
        <v>7</v>
      </c>
      <c r="C1213" s="7">
        <v>6</v>
      </c>
      <c r="D1213" s="7">
        <v>1</v>
      </c>
      <c r="E1213" s="7">
        <v>4</v>
      </c>
      <c r="F1213">
        <v>6112</v>
      </c>
      <c r="G1213">
        <v>330</v>
      </c>
      <c r="H1213">
        <v>5.39</v>
      </c>
      <c r="I1213">
        <v>241</v>
      </c>
      <c r="J1213">
        <v>3.94</v>
      </c>
      <c r="K1213">
        <v>54420</v>
      </c>
      <c r="L1213">
        <v>47673</v>
      </c>
      <c r="M1213">
        <v>6747</v>
      </c>
      <c r="N1213">
        <v>135.16999999999999</v>
      </c>
      <c r="O1213">
        <v>3.6</v>
      </c>
      <c r="P1213">
        <v>15.3</v>
      </c>
      <c r="Q1213">
        <v>0.56999999999999995</v>
      </c>
      <c r="R1213">
        <v>0.6</v>
      </c>
      <c r="S1213">
        <v>421</v>
      </c>
      <c r="T1213">
        <v>11396</v>
      </c>
      <c r="U1213">
        <v>10673</v>
      </c>
      <c r="V1213">
        <v>0</v>
      </c>
      <c r="W1213">
        <v>0</v>
      </c>
      <c r="X1213" s="10">
        <v>0.41950401321259689</v>
      </c>
      <c r="Y1213" s="9">
        <v>6680</v>
      </c>
      <c r="Z1213" s="9">
        <v>5490</v>
      </c>
      <c r="AA1213" s="9">
        <v>6250</v>
      </c>
      <c r="AB1213">
        <v>0.6386554621848739</v>
      </c>
      <c r="AC1213" s="11">
        <v>-12.306196165601555</v>
      </c>
      <c r="AD1213" s="9">
        <v>6368.3389830508477</v>
      </c>
      <c r="AE1213" s="8">
        <v>-4.1411042944785273E-2</v>
      </c>
    </row>
    <row r="1214" spans="1:31" x14ac:dyDescent="0.35">
      <c r="A1214" s="6" t="s">
        <v>1235</v>
      </c>
      <c r="B1214" s="7">
        <v>0</v>
      </c>
      <c r="C1214" s="7">
        <v>16</v>
      </c>
      <c r="D1214" s="7">
        <v>0</v>
      </c>
      <c r="E1214" s="7">
        <v>2</v>
      </c>
      <c r="F1214">
        <v>476</v>
      </c>
      <c r="G1214">
        <v>14</v>
      </c>
      <c r="H1214">
        <v>2.98</v>
      </c>
      <c r="I1214">
        <v>20</v>
      </c>
      <c r="J1214">
        <v>4.0999999999999996</v>
      </c>
      <c r="K1214">
        <v>873</v>
      </c>
      <c r="L1214">
        <v>131</v>
      </c>
      <c r="M1214">
        <v>742</v>
      </c>
      <c r="N1214">
        <v>823.01</v>
      </c>
      <c r="O1214">
        <v>2.68</v>
      </c>
      <c r="P1214">
        <v>16.12</v>
      </c>
      <c r="Q1214">
        <v>0.44</v>
      </c>
      <c r="R1214">
        <v>0.66</v>
      </c>
      <c r="S1214">
        <v>125</v>
      </c>
      <c r="T1214">
        <v>4587</v>
      </c>
      <c r="U1214">
        <v>3038</v>
      </c>
      <c r="V1214">
        <v>20</v>
      </c>
      <c r="W1214">
        <v>16.079999999999998</v>
      </c>
      <c r="X1214" s="10">
        <v>0.76558893267281902</v>
      </c>
      <c r="Y1214" s="9">
        <v>2750</v>
      </c>
      <c r="Z1214" s="9">
        <v>1980</v>
      </c>
      <c r="AA1214" s="9">
        <v>2430</v>
      </c>
      <c r="AB1214">
        <v>0.58441558441558439</v>
      </c>
      <c r="AC1214" s="11">
        <v>10.385523756599053</v>
      </c>
      <c r="AD1214" s="9">
        <v>1947.6581920903955</v>
      </c>
      <c r="AE1214" s="8">
        <v>0.215</v>
      </c>
    </row>
    <row r="1215" spans="1:31" x14ac:dyDescent="0.35">
      <c r="A1215" s="6" t="s">
        <v>1236</v>
      </c>
      <c r="B1215" s="7">
        <v>5</v>
      </c>
      <c r="C1215" s="7">
        <v>2</v>
      </c>
      <c r="D1215" s="7">
        <v>10</v>
      </c>
      <c r="E1215" s="7">
        <v>1</v>
      </c>
      <c r="F1215">
        <v>201</v>
      </c>
      <c r="G1215">
        <v>28</v>
      </c>
      <c r="H1215">
        <v>13.8</v>
      </c>
      <c r="I1215">
        <v>29</v>
      </c>
      <c r="J1215">
        <v>14.46</v>
      </c>
      <c r="K1215">
        <v>293</v>
      </c>
      <c r="L1215">
        <v>42</v>
      </c>
      <c r="M1215">
        <v>252</v>
      </c>
      <c r="N1215">
        <v>793.92</v>
      </c>
      <c r="O1215">
        <v>14.22</v>
      </c>
      <c r="P1215">
        <v>7.36</v>
      </c>
      <c r="Q1215">
        <v>1.08</v>
      </c>
      <c r="R1215">
        <v>1.06</v>
      </c>
      <c r="S1215">
        <v>576</v>
      </c>
      <c r="T1215">
        <v>3908</v>
      </c>
      <c r="U1215">
        <v>3983</v>
      </c>
      <c r="V1215">
        <v>37</v>
      </c>
      <c r="W1215">
        <v>6.44</v>
      </c>
      <c r="X1215" s="10">
        <v>0.75747298063827861</v>
      </c>
      <c r="Y1215" s="9">
        <v>5820</v>
      </c>
      <c r="Z1215" s="9">
        <v>4090</v>
      </c>
      <c r="AA1215" s="9">
        <v>5500</v>
      </c>
      <c r="AB1215">
        <v>0.81502890173410403</v>
      </c>
      <c r="AC1215" s="11">
        <v>24.208669074742982</v>
      </c>
      <c r="AD1215" s="9">
        <v>4338.4689265536717</v>
      </c>
      <c r="AE1215" s="8">
        <v>0.30641330166270786</v>
      </c>
    </row>
    <row r="1216" spans="1:31" x14ac:dyDescent="0.35">
      <c r="A1216" s="6" t="s">
        <v>1237</v>
      </c>
      <c r="B1216" s="7">
        <v>1</v>
      </c>
      <c r="C1216" s="7">
        <v>9</v>
      </c>
      <c r="D1216" s="7">
        <v>2</v>
      </c>
      <c r="E1216" s="7">
        <v>6</v>
      </c>
      <c r="F1216">
        <v>99</v>
      </c>
      <c r="G1216">
        <v>-19</v>
      </c>
      <c r="H1216">
        <v>-18.8</v>
      </c>
      <c r="I1216">
        <v>-26</v>
      </c>
      <c r="J1216">
        <v>-26.82</v>
      </c>
      <c r="K1216">
        <v>373</v>
      </c>
      <c r="L1216">
        <v>249</v>
      </c>
      <c r="M1216">
        <v>124</v>
      </c>
      <c r="N1216">
        <v>72.819999999999993</v>
      </c>
      <c r="O1216">
        <v>-30.15</v>
      </c>
      <c r="P1216">
        <v>0</v>
      </c>
      <c r="Q1216">
        <v>3.44</v>
      </c>
      <c r="R1216">
        <v>1.4</v>
      </c>
      <c r="S1216">
        <v>-141</v>
      </c>
      <c r="T1216">
        <v>213</v>
      </c>
      <c r="U1216">
        <v>525</v>
      </c>
      <c r="V1216">
        <v>-16</v>
      </c>
      <c r="W1216">
        <v>-24.36</v>
      </c>
      <c r="X1216" s="10">
        <v>0.30658974301806607</v>
      </c>
      <c r="Y1216" s="9">
        <v>2430</v>
      </c>
      <c r="Z1216" s="9">
        <v>1375</v>
      </c>
      <c r="AA1216" s="9">
        <v>1485</v>
      </c>
      <c r="AB1216">
        <v>0.10426540284360189</v>
      </c>
      <c r="AC1216" s="11">
        <v>8.5473742706307316</v>
      </c>
      <c r="AD1216" s="9">
        <v>1452.4717514124295</v>
      </c>
      <c r="AE1216" s="8">
        <v>-5.4140127388535034E-2</v>
      </c>
    </row>
    <row r="1217" spans="1:31" x14ac:dyDescent="0.35">
      <c r="A1217" s="6" t="s">
        <v>1238</v>
      </c>
      <c r="B1217" s="7">
        <v>6</v>
      </c>
      <c r="C1217" s="7">
        <v>0</v>
      </c>
      <c r="D1217" s="7">
        <v>5</v>
      </c>
      <c r="E1217" s="7">
        <v>7</v>
      </c>
      <c r="F1217">
        <v>4652</v>
      </c>
      <c r="G1217">
        <v>553</v>
      </c>
      <c r="H1217">
        <v>11.88</v>
      </c>
      <c r="I1217">
        <v>507</v>
      </c>
      <c r="J1217">
        <v>10.91</v>
      </c>
      <c r="K1217">
        <v>4745</v>
      </c>
      <c r="L1217">
        <v>831</v>
      </c>
      <c r="M1217">
        <v>3915</v>
      </c>
      <c r="N1217">
        <v>4178.1499999999996</v>
      </c>
      <c r="O1217">
        <v>13.7</v>
      </c>
      <c r="P1217">
        <v>6.97</v>
      </c>
      <c r="Q1217">
        <v>0.91</v>
      </c>
      <c r="R1217">
        <v>0.76</v>
      </c>
      <c r="S1217">
        <v>5546</v>
      </c>
      <c r="T1217">
        <v>42243</v>
      </c>
      <c r="U1217">
        <v>50837</v>
      </c>
      <c r="V1217">
        <v>649</v>
      </c>
      <c r="W1217">
        <v>5.45</v>
      </c>
      <c r="X1217" s="10">
        <v>0.18126176706168171</v>
      </c>
      <c r="Y1217" s="9">
        <v>44850</v>
      </c>
      <c r="Z1217" s="9">
        <v>38550</v>
      </c>
      <c r="AA1217" s="9">
        <v>44850</v>
      </c>
      <c r="AB1217">
        <v>1</v>
      </c>
      <c r="AC1217" s="11">
        <v>34.402611836621283</v>
      </c>
      <c r="AD1217" s="9">
        <v>39674.887005649718</v>
      </c>
      <c r="AE1217" s="8">
        <v>0.15592783505154639</v>
      </c>
    </row>
    <row r="1218" spans="1:31" x14ac:dyDescent="0.35">
      <c r="A1218" s="6" t="s">
        <v>1239</v>
      </c>
      <c r="B1218" s="7">
        <v>1</v>
      </c>
      <c r="C1218" s="7">
        <v>5</v>
      </c>
      <c r="D1218" s="7">
        <v>4</v>
      </c>
      <c r="E1218" s="7">
        <v>8</v>
      </c>
      <c r="F1218">
        <v>118</v>
      </c>
      <c r="G1218">
        <v>-13</v>
      </c>
      <c r="H1218">
        <v>-10.85</v>
      </c>
      <c r="I1218">
        <v>-16</v>
      </c>
      <c r="J1218">
        <v>-13.71</v>
      </c>
      <c r="K1218">
        <v>71</v>
      </c>
      <c r="L1218">
        <v>30</v>
      </c>
      <c r="M1218">
        <v>41</v>
      </c>
      <c r="N1218">
        <v>-37.61</v>
      </c>
      <c r="O1218">
        <v>-41.37</v>
      </c>
      <c r="P1218">
        <v>0</v>
      </c>
      <c r="Q1218">
        <v>4.0999999999999996</v>
      </c>
      <c r="R1218">
        <v>1.21</v>
      </c>
      <c r="S1218">
        <v>-141</v>
      </c>
      <c r="T1218">
        <v>305</v>
      </c>
      <c r="U1218">
        <v>1030</v>
      </c>
      <c r="V1218">
        <v>-12</v>
      </c>
      <c r="W1218">
        <v>-14.34</v>
      </c>
      <c r="X1218" s="10">
        <v>0.83411986293360085</v>
      </c>
      <c r="Y1218" s="9">
        <v>2420</v>
      </c>
      <c r="Z1218" s="9">
        <v>1245</v>
      </c>
      <c r="AA1218" s="9">
        <v>2420</v>
      </c>
      <c r="AB1218">
        <v>1</v>
      </c>
      <c r="AC1218" s="11">
        <v>15.753542650736316</v>
      </c>
      <c r="AD1218" s="9">
        <v>1120.6836158192091</v>
      </c>
      <c r="AE1218" s="8">
        <v>0.94377510040160639</v>
      </c>
    </row>
    <row r="1219" spans="1:31" x14ac:dyDescent="0.35">
      <c r="A1219" s="6" t="s">
        <v>1240</v>
      </c>
      <c r="B1219" s="7">
        <v>10</v>
      </c>
      <c r="C1219" s="7">
        <v>5</v>
      </c>
      <c r="D1219" s="7">
        <v>1</v>
      </c>
      <c r="E1219" s="7">
        <v>2</v>
      </c>
      <c r="F1219">
        <v>499</v>
      </c>
      <c r="G1219">
        <v>70</v>
      </c>
      <c r="H1219">
        <v>14.03</v>
      </c>
      <c r="I1219">
        <v>35</v>
      </c>
      <c r="J1219">
        <v>7.09</v>
      </c>
      <c r="K1219">
        <v>628</v>
      </c>
      <c r="L1219">
        <v>191</v>
      </c>
      <c r="M1219">
        <v>437</v>
      </c>
      <c r="N1219">
        <v>795.01</v>
      </c>
      <c r="O1219">
        <v>8.7899999999999991</v>
      </c>
      <c r="P1219">
        <v>74.72</v>
      </c>
      <c r="Q1219">
        <v>7.05</v>
      </c>
      <c r="R1219">
        <v>5.3</v>
      </c>
      <c r="S1219">
        <v>358</v>
      </c>
      <c r="T1219">
        <v>3792</v>
      </c>
      <c r="U1219">
        <v>5049</v>
      </c>
      <c r="V1219">
        <v>105</v>
      </c>
      <c r="W1219">
        <v>26.4</v>
      </c>
      <c r="X1219" s="10">
        <v>0.77107823113002805</v>
      </c>
      <c r="Y1219" s="9">
        <v>28450</v>
      </c>
      <c r="Z1219" s="9">
        <v>21300</v>
      </c>
      <c r="AA1219" s="9">
        <v>24100</v>
      </c>
      <c r="AB1219">
        <v>0.39160839160839161</v>
      </c>
      <c r="AC1219" s="11">
        <v>-114.78605168102253</v>
      </c>
      <c r="AD1219" s="9">
        <v>28531.807909604518</v>
      </c>
      <c r="AE1219" s="8">
        <v>-9.9065420560747658E-2</v>
      </c>
    </row>
    <row r="1220" spans="1:31" x14ac:dyDescent="0.35">
      <c r="A1220" s="6" t="s">
        <v>1241</v>
      </c>
      <c r="B1220" s="7">
        <v>6</v>
      </c>
      <c r="C1220" s="7">
        <v>3</v>
      </c>
      <c r="D1220" s="7">
        <v>8</v>
      </c>
      <c r="E1220" s="7">
        <v>1</v>
      </c>
      <c r="F1220">
        <v>1642</v>
      </c>
      <c r="G1220">
        <v>98</v>
      </c>
      <c r="H1220">
        <v>5.94</v>
      </c>
      <c r="I1220">
        <v>-11</v>
      </c>
      <c r="J1220">
        <v>-0.66</v>
      </c>
      <c r="K1220">
        <v>1750</v>
      </c>
      <c r="L1220">
        <v>541</v>
      </c>
      <c r="M1220">
        <v>1209</v>
      </c>
      <c r="N1220">
        <v>1831.54</v>
      </c>
      <c r="O1220">
        <v>-0.89</v>
      </c>
      <c r="P1220">
        <v>0</v>
      </c>
      <c r="Q1220">
        <v>1.31</v>
      </c>
      <c r="R1220">
        <v>0.83</v>
      </c>
      <c r="S1220">
        <v>-96</v>
      </c>
      <c r="T1220">
        <v>9151</v>
      </c>
      <c r="U1220">
        <v>14484</v>
      </c>
      <c r="V1220">
        <v>121</v>
      </c>
      <c r="W1220">
        <v>12.83</v>
      </c>
      <c r="X1220" s="10">
        <v>0.87530365564363488</v>
      </c>
      <c r="Y1220" s="9">
        <v>16100</v>
      </c>
      <c r="Z1220" s="9">
        <v>11900</v>
      </c>
      <c r="AA1220" s="9">
        <v>15300</v>
      </c>
      <c r="AB1220">
        <v>0.80952380952380953</v>
      </c>
      <c r="AC1220" s="11">
        <v>70.971103084190034</v>
      </c>
      <c r="AD1220" s="9">
        <v>11664.54802259887</v>
      </c>
      <c r="AE1220" s="8">
        <v>0.23387096774193547</v>
      </c>
    </row>
    <row r="1221" spans="1:31" x14ac:dyDescent="0.35">
      <c r="A1221" s="6" t="s">
        <v>1242</v>
      </c>
      <c r="B1221" s="7">
        <v>4</v>
      </c>
      <c r="C1221" s="7">
        <v>3</v>
      </c>
      <c r="D1221" s="7">
        <v>6</v>
      </c>
      <c r="E1221" s="7">
        <v>5</v>
      </c>
      <c r="F1221">
        <v>1329</v>
      </c>
      <c r="G1221">
        <v>111</v>
      </c>
      <c r="H1221">
        <v>8.33</v>
      </c>
      <c r="I1221">
        <v>52</v>
      </c>
      <c r="J1221">
        <v>3.9</v>
      </c>
      <c r="K1221">
        <v>1879</v>
      </c>
      <c r="L1221">
        <v>363</v>
      </c>
      <c r="M1221">
        <v>1516</v>
      </c>
      <c r="N1221">
        <v>3233.73</v>
      </c>
      <c r="O1221">
        <v>3.47</v>
      </c>
      <c r="P1221">
        <v>60.2</v>
      </c>
      <c r="Q1221">
        <v>2.42</v>
      </c>
      <c r="R1221">
        <v>2.35</v>
      </c>
      <c r="S1221">
        <v>598</v>
      </c>
      <c r="T1221">
        <v>14895</v>
      </c>
      <c r="U1221">
        <v>15305</v>
      </c>
      <c r="V1221">
        <v>190</v>
      </c>
      <c r="W1221">
        <v>18.98</v>
      </c>
      <c r="X1221" s="10">
        <v>0.55353234341985591</v>
      </c>
      <c r="Y1221" s="9">
        <v>48400</v>
      </c>
      <c r="Z1221" s="9">
        <v>35900</v>
      </c>
      <c r="AA1221" s="9">
        <v>45250</v>
      </c>
      <c r="AB1221">
        <v>0.748</v>
      </c>
      <c r="AC1221" s="11">
        <v>122.86190608502362</v>
      </c>
      <c r="AD1221" s="9">
        <v>40711.045197740117</v>
      </c>
      <c r="AE1221" s="8">
        <v>0.26044568245125349</v>
      </c>
    </row>
    <row r="1222" spans="1:31" x14ac:dyDescent="0.35">
      <c r="A1222" s="6" t="s">
        <v>1243</v>
      </c>
      <c r="B1222" s="7">
        <v>4</v>
      </c>
      <c r="C1222" s="7">
        <v>0</v>
      </c>
      <c r="D1222" s="7">
        <v>7</v>
      </c>
      <c r="E1222" s="7">
        <v>7</v>
      </c>
      <c r="F1222">
        <v>164</v>
      </c>
      <c r="G1222">
        <v>0</v>
      </c>
      <c r="H1222">
        <v>-0.01</v>
      </c>
      <c r="I1222">
        <v>-4</v>
      </c>
      <c r="J1222">
        <v>-2.17</v>
      </c>
      <c r="K1222">
        <v>581</v>
      </c>
      <c r="L1222">
        <v>39</v>
      </c>
      <c r="M1222">
        <v>542</v>
      </c>
      <c r="N1222">
        <v>936.94</v>
      </c>
      <c r="O1222">
        <v>-0.66</v>
      </c>
      <c r="P1222">
        <v>0</v>
      </c>
      <c r="Q1222">
        <v>3.44</v>
      </c>
      <c r="R1222">
        <v>11.04</v>
      </c>
      <c r="S1222">
        <v>-7</v>
      </c>
      <c r="T1222">
        <v>1006</v>
      </c>
      <c r="U1222">
        <v>314</v>
      </c>
      <c r="V1222">
        <v>5</v>
      </c>
      <c r="W1222">
        <v>343.1</v>
      </c>
      <c r="X1222" s="10">
        <v>0.33906827103596715</v>
      </c>
      <c r="Y1222" s="9">
        <v>3630</v>
      </c>
      <c r="Z1222" s="9">
        <v>2865</v>
      </c>
      <c r="AA1222" s="9">
        <v>2920</v>
      </c>
      <c r="AB1222">
        <v>7.1895424836601302E-2</v>
      </c>
      <c r="AC1222" s="11">
        <v>-7.5491803278688527</v>
      </c>
      <c r="AD1222" s="9">
        <v>3426.1666666666665</v>
      </c>
      <c r="AE1222" s="8">
        <v>-3.150912106135987E-2</v>
      </c>
    </row>
    <row r="1223" spans="1:31" x14ac:dyDescent="0.35">
      <c r="A1223" s="6" t="s">
        <v>1244</v>
      </c>
      <c r="B1223" s="7">
        <v>7</v>
      </c>
      <c r="C1223" s="7">
        <v>2</v>
      </c>
      <c r="D1223" s="7">
        <v>6</v>
      </c>
      <c r="E1223" s="7">
        <v>3</v>
      </c>
      <c r="F1223">
        <v>558</v>
      </c>
      <c r="G1223">
        <v>36</v>
      </c>
      <c r="H1223">
        <v>6.51</v>
      </c>
      <c r="I1223">
        <v>25</v>
      </c>
      <c r="J1223">
        <v>4.5</v>
      </c>
      <c r="K1223">
        <v>877</v>
      </c>
      <c r="L1223">
        <v>357</v>
      </c>
      <c r="M1223">
        <v>520</v>
      </c>
      <c r="N1223">
        <v>1180.1199999999999</v>
      </c>
      <c r="O1223">
        <v>4.92</v>
      </c>
      <c r="P1223">
        <v>24.6</v>
      </c>
      <c r="Q1223">
        <v>1.29</v>
      </c>
      <c r="R1223">
        <v>1.1100000000000001</v>
      </c>
      <c r="S1223">
        <v>309</v>
      </c>
      <c r="T1223">
        <v>5882</v>
      </c>
      <c r="U1223">
        <v>6874</v>
      </c>
      <c r="V1223">
        <v>83</v>
      </c>
      <c r="W1223">
        <v>9.93</v>
      </c>
      <c r="X1223" s="10">
        <v>2.7537129537917419E-2</v>
      </c>
      <c r="Y1223" s="9">
        <v>9200</v>
      </c>
      <c r="Z1223" s="9">
        <v>7040</v>
      </c>
      <c r="AA1223" s="9">
        <v>7820</v>
      </c>
      <c r="AB1223">
        <v>0.3611111111111111</v>
      </c>
      <c r="AC1223" s="11">
        <v>-3.9474854126146153</v>
      </c>
      <c r="AD1223" s="9">
        <v>8001.8983050847455</v>
      </c>
      <c r="AE1223" s="8">
        <v>-0.08</v>
      </c>
    </row>
    <row r="1224" spans="1:31" x14ac:dyDescent="0.35">
      <c r="A1224" s="6" t="s">
        <v>1245</v>
      </c>
      <c r="B1224" s="7">
        <v>6</v>
      </c>
      <c r="C1224" s="7">
        <v>1</v>
      </c>
      <c r="D1224" s="7">
        <v>1</v>
      </c>
      <c r="E1224" s="7">
        <v>10</v>
      </c>
      <c r="F1224">
        <v>2125</v>
      </c>
      <c r="G1224">
        <v>52</v>
      </c>
      <c r="H1224">
        <v>2.44</v>
      </c>
      <c r="I1224">
        <v>45</v>
      </c>
      <c r="J1224">
        <v>2.12</v>
      </c>
      <c r="K1224">
        <v>1636</v>
      </c>
      <c r="L1224">
        <v>605</v>
      </c>
      <c r="M1224">
        <v>1032</v>
      </c>
      <c r="N1224">
        <v>1853.16</v>
      </c>
      <c r="O1224">
        <v>4.47</v>
      </c>
      <c r="P1224">
        <v>17.03</v>
      </c>
      <c r="Q1224">
        <v>0.78</v>
      </c>
      <c r="R1224">
        <v>0.36</v>
      </c>
      <c r="S1224">
        <v>427</v>
      </c>
      <c r="T1224">
        <v>9313</v>
      </c>
      <c r="U1224">
        <v>20119</v>
      </c>
      <c r="V1224">
        <v>81</v>
      </c>
      <c r="W1224">
        <v>10.130000000000001</v>
      </c>
      <c r="X1224" s="10">
        <v>0.40401708152053234</v>
      </c>
      <c r="Y1224" s="9">
        <v>10000</v>
      </c>
      <c r="Z1224" s="9">
        <v>7250</v>
      </c>
      <c r="AA1224" s="9">
        <v>8720</v>
      </c>
      <c r="AB1224">
        <v>0.53454545454545455</v>
      </c>
      <c r="AC1224" s="11">
        <v>22.52264517921645</v>
      </c>
      <c r="AD1224" s="9">
        <v>8207.5593220338978</v>
      </c>
      <c r="AE1224" s="8">
        <v>0.20275862068965517</v>
      </c>
    </row>
    <row r="1225" spans="1:31" x14ac:dyDescent="0.35">
      <c r="A1225" s="6" t="s">
        <v>1246</v>
      </c>
      <c r="B1225" s="7">
        <v>3</v>
      </c>
      <c r="C1225" s="7">
        <v>1</v>
      </c>
      <c r="D1225" s="7">
        <v>2</v>
      </c>
      <c r="E1225" s="7">
        <v>12</v>
      </c>
      <c r="F1225">
        <v>35</v>
      </c>
      <c r="G1225">
        <v>8</v>
      </c>
      <c r="H1225">
        <v>21.63</v>
      </c>
      <c r="I1225">
        <v>7</v>
      </c>
      <c r="J1225">
        <v>19.510000000000002</v>
      </c>
      <c r="K1225">
        <v>149</v>
      </c>
      <c r="L1225">
        <v>34</v>
      </c>
      <c r="M1225">
        <v>115</v>
      </c>
      <c r="N1225">
        <v>421.52</v>
      </c>
      <c r="O1225">
        <v>15.76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 s="10">
        <v>0.7124893433319327</v>
      </c>
      <c r="Y1225" s="9">
        <v>46000</v>
      </c>
      <c r="Z1225" s="9">
        <v>25100</v>
      </c>
      <c r="AA1225" s="9">
        <v>39750</v>
      </c>
      <c r="AB1225">
        <v>0.70095693779904311</v>
      </c>
      <c r="AC1225" s="11">
        <v>309.13448180050011</v>
      </c>
      <c r="AD1225" s="9">
        <v>27693.898305084746</v>
      </c>
      <c r="AE1225" s="8">
        <v>0.57425742574257421</v>
      </c>
    </row>
    <row r="1226" spans="1:31" x14ac:dyDescent="0.35">
      <c r="A1226" s="6" t="s">
        <v>1247</v>
      </c>
      <c r="B1226" s="7">
        <v>5</v>
      </c>
      <c r="C1226" s="7">
        <v>11</v>
      </c>
      <c r="D1226" s="7">
        <v>2</v>
      </c>
      <c r="E1226" s="7">
        <v>0</v>
      </c>
      <c r="F1226">
        <v>531</v>
      </c>
      <c r="G1226">
        <v>70</v>
      </c>
      <c r="H1226">
        <v>13.26</v>
      </c>
      <c r="I1226">
        <v>57</v>
      </c>
      <c r="J1226">
        <v>10.65</v>
      </c>
      <c r="K1226">
        <v>734</v>
      </c>
      <c r="L1226">
        <v>220</v>
      </c>
      <c r="M1226">
        <v>514</v>
      </c>
      <c r="N1226">
        <v>815.11</v>
      </c>
      <c r="O1226">
        <v>15.95</v>
      </c>
      <c r="P1226">
        <v>17.809999999999999</v>
      </c>
      <c r="Q1226">
        <v>3</v>
      </c>
      <c r="R1226">
        <v>1.9</v>
      </c>
      <c r="S1226">
        <v>671</v>
      </c>
      <c r="T1226">
        <v>3988</v>
      </c>
      <c r="U1226">
        <v>6289</v>
      </c>
      <c r="V1226">
        <v>98</v>
      </c>
      <c r="W1226">
        <v>14.03</v>
      </c>
      <c r="X1226" s="10">
        <v>0.28764272260018403</v>
      </c>
      <c r="Y1226" s="9">
        <v>14300</v>
      </c>
      <c r="Z1226" s="9">
        <v>9980</v>
      </c>
      <c r="AA1226" s="9">
        <v>13800</v>
      </c>
      <c r="AB1226">
        <v>0.8842592592592593</v>
      </c>
      <c r="AC1226" s="11">
        <v>31.799666574048345</v>
      </c>
      <c r="AD1226" s="9">
        <v>10831.943502824859</v>
      </c>
      <c r="AE1226" s="8">
        <v>0.38276553106212424</v>
      </c>
    </row>
    <row r="1227" spans="1:31" x14ac:dyDescent="0.35">
      <c r="A1227" s="6" t="s">
        <v>1248</v>
      </c>
      <c r="B1227" s="7">
        <v>8</v>
      </c>
      <c r="C1227" s="7">
        <v>0</v>
      </c>
      <c r="D1227" s="7">
        <v>9</v>
      </c>
      <c r="E1227" s="7">
        <v>1</v>
      </c>
      <c r="F1227">
        <v>771</v>
      </c>
      <c r="G1227">
        <v>163</v>
      </c>
      <c r="H1227">
        <v>21.08</v>
      </c>
      <c r="I1227">
        <v>130</v>
      </c>
      <c r="J1227">
        <v>16.86</v>
      </c>
      <c r="K1227">
        <v>1097</v>
      </c>
      <c r="L1227">
        <v>130</v>
      </c>
      <c r="M1227">
        <v>967</v>
      </c>
      <c r="N1227">
        <v>868.23</v>
      </c>
      <c r="O1227">
        <v>14.21</v>
      </c>
      <c r="P1227">
        <v>15.82</v>
      </c>
      <c r="Q1227">
        <v>2.39</v>
      </c>
      <c r="R1227">
        <v>2.67</v>
      </c>
      <c r="S1227">
        <v>629</v>
      </c>
      <c r="T1227">
        <v>4168</v>
      </c>
      <c r="U1227">
        <v>3731</v>
      </c>
      <c r="V1227">
        <v>191</v>
      </c>
      <c r="W1227">
        <v>11.04</v>
      </c>
      <c r="X1227" s="10">
        <v>6.9163687777147572E-3</v>
      </c>
      <c r="Y1227" s="9">
        <v>11050</v>
      </c>
      <c r="Z1227" s="9">
        <v>9750</v>
      </c>
      <c r="AA1227" s="9">
        <v>10400</v>
      </c>
      <c r="AB1227">
        <v>0.5</v>
      </c>
      <c r="AC1227" s="11">
        <v>1.6229508196721314</v>
      </c>
      <c r="AD1227" s="9">
        <v>10254.666666666666</v>
      </c>
      <c r="AE1227" s="8">
        <v>4.8387096774193547E-2</v>
      </c>
    </row>
    <row r="1228" spans="1:31" x14ac:dyDescent="0.35">
      <c r="A1228" s="6" t="s">
        <v>1249</v>
      </c>
      <c r="B1228" s="7">
        <v>10</v>
      </c>
      <c r="C1228" s="7">
        <v>5</v>
      </c>
      <c r="D1228" s="7">
        <v>1</v>
      </c>
      <c r="E1228" s="7">
        <v>2</v>
      </c>
      <c r="F1228">
        <v>269</v>
      </c>
      <c r="G1228">
        <v>41</v>
      </c>
      <c r="H1228">
        <v>15.42</v>
      </c>
      <c r="I1228">
        <v>37</v>
      </c>
      <c r="J1228">
        <v>13.81</v>
      </c>
      <c r="K1228">
        <v>641</v>
      </c>
      <c r="L1228">
        <v>301</v>
      </c>
      <c r="M1228">
        <v>341</v>
      </c>
      <c r="N1228">
        <v>747.79</v>
      </c>
      <c r="O1228">
        <v>15.25</v>
      </c>
      <c r="P1228">
        <v>9.51</v>
      </c>
      <c r="Q1228">
        <v>1.44</v>
      </c>
      <c r="R1228">
        <v>1.31</v>
      </c>
      <c r="S1228">
        <v>617</v>
      </c>
      <c r="T1228">
        <v>4072</v>
      </c>
      <c r="U1228">
        <v>4465</v>
      </c>
      <c r="V1228">
        <v>63</v>
      </c>
      <c r="W1228">
        <v>9.2200000000000006</v>
      </c>
      <c r="X1228" s="10">
        <v>0.11607787636601608</v>
      </c>
      <c r="Y1228" s="9">
        <v>7190</v>
      </c>
      <c r="Z1228" s="9">
        <v>6150</v>
      </c>
      <c r="AA1228" s="9">
        <v>6160</v>
      </c>
      <c r="AB1228">
        <v>9.6153846153846159E-3</v>
      </c>
      <c r="AC1228" s="11">
        <v>-4.4065018060572383</v>
      </c>
      <c r="AD1228" s="9">
        <v>6630.8983050847455</v>
      </c>
      <c r="AE1228" s="8">
        <v>-2.066772655007949E-2</v>
      </c>
    </row>
    <row r="1229" spans="1:31" x14ac:dyDescent="0.35">
      <c r="A1229" s="6" t="s">
        <v>1250</v>
      </c>
      <c r="B1229" s="7">
        <v>3</v>
      </c>
      <c r="C1229" s="7">
        <v>8</v>
      </c>
      <c r="D1229" s="7">
        <v>2</v>
      </c>
      <c r="E1229" s="7">
        <v>5</v>
      </c>
      <c r="F1229">
        <v>624</v>
      </c>
      <c r="G1229">
        <v>10</v>
      </c>
      <c r="H1229">
        <v>1.55</v>
      </c>
      <c r="I1229">
        <v>-34</v>
      </c>
      <c r="J1229">
        <v>-5.46</v>
      </c>
      <c r="K1229">
        <v>1004</v>
      </c>
      <c r="L1229">
        <v>331</v>
      </c>
      <c r="M1229">
        <v>673</v>
      </c>
      <c r="N1229">
        <v>159.85</v>
      </c>
      <c r="O1229">
        <v>-8.6300000000000008</v>
      </c>
      <c r="P1229">
        <v>0</v>
      </c>
      <c r="Q1229">
        <v>1.91</v>
      </c>
      <c r="R1229">
        <v>1.05</v>
      </c>
      <c r="S1229">
        <v>-127</v>
      </c>
      <c r="T1229">
        <v>1275</v>
      </c>
      <c r="U1229">
        <v>2308</v>
      </c>
      <c r="V1229">
        <v>13</v>
      </c>
      <c r="W1229">
        <v>113.18</v>
      </c>
      <c r="X1229" s="10">
        <v>5.3695425848765046E-3</v>
      </c>
      <c r="Y1229" s="9">
        <v>2520</v>
      </c>
      <c r="Z1229" s="9">
        <v>2025</v>
      </c>
      <c r="AA1229" s="9">
        <v>2200</v>
      </c>
      <c r="AB1229">
        <v>0.35353535353535354</v>
      </c>
      <c r="AC1229" s="11">
        <v>-0.4510975270908586</v>
      </c>
      <c r="AD1229" s="9">
        <v>2322.6751412429376</v>
      </c>
      <c r="AE1229" s="8">
        <v>7.3170731707317069E-2</v>
      </c>
    </row>
    <row r="1230" spans="1:31" x14ac:dyDescent="0.35">
      <c r="A1230" s="6" t="s">
        <v>1251</v>
      </c>
      <c r="B1230" s="7">
        <v>6</v>
      </c>
      <c r="C1230" s="7">
        <v>2</v>
      </c>
      <c r="D1230" s="7">
        <v>6</v>
      </c>
      <c r="E1230" s="7">
        <v>4</v>
      </c>
      <c r="F1230">
        <v>9442</v>
      </c>
      <c r="G1230">
        <v>395</v>
      </c>
      <c r="H1230">
        <v>4.18</v>
      </c>
      <c r="I1230">
        <v>273</v>
      </c>
      <c r="J1230">
        <v>2.89</v>
      </c>
      <c r="K1230">
        <v>3544</v>
      </c>
      <c r="L1230">
        <v>1702</v>
      </c>
      <c r="M1230">
        <v>1841</v>
      </c>
      <c r="N1230">
        <v>1049.97</v>
      </c>
      <c r="O1230">
        <v>15.73</v>
      </c>
      <c r="P1230">
        <v>7.33</v>
      </c>
      <c r="Q1230">
        <v>1.1100000000000001</v>
      </c>
      <c r="R1230">
        <v>0.21</v>
      </c>
      <c r="S1230">
        <v>8521</v>
      </c>
      <c r="T1230">
        <v>56510</v>
      </c>
      <c r="U1230">
        <v>294825</v>
      </c>
      <c r="V1230">
        <v>468</v>
      </c>
      <c r="W1230">
        <v>5.59</v>
      </c>
      <c r="X1230" s="10">
        <v>0.19097571213939499</v>
      </c>
      <c r="Y1230" s="9">
        <v>68000</v>
      </c>
      <c r="Z1230" s="9">
        <v>61200</v>
      </c>
      <c r="AA1230" s="9">
        <v>68000</v>
      </c>
      <c r="AB1230">
        <v>1</v>
      </c>
      <c r="AC1230" s="11">
        <v>52.425673798277309</v>
      </c>
      <c r="AD1230" s="9">
        <v>62874.350282485881</v>
      </c>
      <c r="AE1230" s="8">
        <v>9.3247588424437297E-2</v>
      </c>
    </row>
    <row r="1231" spans="1:31" x14ac:dyDescent="0.35">
      <c r="A1231" s="6" t="s">
        <v>1252</v>
      </c>
      <c r="B1231" s="7">
        <v>1</v>
      </c>
      <c r="C1231" s="7">
        <v>2</v>
      </c>
      <c r="D1231" s="7">
        <v>8</v>
      </c>
      <c r="E1231" s="7">
        <v>7</v>
      </c>
      <c r="F1231">
        <v>790</v>
      </c>
      <c r="G1231">
        <v>1</v>
      </c>
      <c r="H1231">
        <v>0.14000000000000001</v>
      </c>
      <c r="I1231">
        <v>-636</v>
      </c>
      <c r="J1231">
        <v>-80.56</v>
      </c>
      <c r="K1231">
        <v>1592</v>
      </c>
      <c r="L1231">
        <v>249</v>
      </c>
      <c r="M1231">
        <v>1343</v>
      </c>
      <c r="N1231">
        <v>2297.12</v>
      </c>
      <c r="O1231">
        <v>-38.51</v>
      </c>
      <c r="P1231">
        <v>0</v>
      </c>
      <c r="Q1231">
        <v>2.87</v>
      </c>
      <c r="R1231">
        <v>4.72</v>
      </c>
      <c r="S1231">
        <v>-5719</v>
      </c>
      <c r="T1231">
        <v>11687</v>
      </c>
      <c r="U1231">
        <v>7098</v>
      </c>
      <c r="V1231">
        <v>11</v>
      </c>
      <c r="W1231">
        <v>333.28</v>
      </c>
      <c r="X1231" s="10">
        <v>0.46468108917222894</v>
      </c>
      <c r="Y1231" s="9">
        <v>40000</v>
      </c>
      <c r="Z1231" s="9">
        <v>29450</v>
      </c>
      <c r="AA1231" s="9">
        <v>30850</v>
      </c>
      <c r="AB1231">
        <v>0.13270142180094788</v>
      </c>
      <c r="AC1231" s="11">
        <v>-109.48457904973604</v>
      </c>
      <c r="AD1231" s="9">
        <v>36898.44632768361</v>
      </c>
      <c r="AE1231" s="8">
        <v>-8.9970501474926259E-2</v>
      </c>
    </row>
    <row r="1232" spans="1:31" x14ac:dyDescent="0.35">
      <c r="A1232" s="6" t="s">
        <v>1253</v>
      </c>
      <c r="B1232" s="7">
        <v>0</v>
      </c>
      <c r="C1232" s="7">
        <v>1</v>
      </c>
      <c r="D1232" s="7">
        <v>13</v>
      </c>
      <c r="E1232" s="7">
        <v>4</v>
      </c>
      <c r="F1232">
        <v>451</v>
      </c>
      <c r="G1232">
        <v>-22</v>
      </c>
      <c r="H1232">
        <v>-4.8899999999999997</v>
      </c>
      <c r="I1232">
        <v>-33</v>
      </c>
      <c r="J1232">
        <v>-7.42</v>
      </c>
      <c r="K1232">
        <v>685</v>
      </c>
      <c r="L1232">
        <v>318</v>
      </c>
      <c r="M1232">
        <v>368</v>
      </c>
      <c r="N1232">
        <v>429.69</v>
      </c>
      <c r="O1232">
        <v>-11.52</v>
      </c>
      <c r="P1232">
        <v>0</v>
      </c>
      <c r="Q1232">
        <v>0.77</v>
      </c>
      <c r="R1232">
        <v>0.43</v>
      </c>
      <c r="S1232">
        <v>-320</v>
      </c>
      <c r="T1232">
        <v>2429</v>
      </c>
      <c r="U1232">
        <v>4321</v>
      </c>
      <c r="V1232">
        <v>-11</v>
      </c>
      <c r="W1232">
        <v>-34.07</v>
      </c>
      <c r="X1232" s="10">
        <v>0.52706281703177515</v>
      </c>
      <c r="Y1232" s="9">
        <v>1895</v>
      </c>
      <c r="Z1232" s="9">
        <v>1545</v>
      </c>
      <c r="AA1232" s="9">
        <v>1785</v>
      </c>
      <c r="AB1232">
        <v>0.68571428571428572</v>
      </c>
      <c r="AC1232" s="11">
        <v>3.8356487913309252</v>
      </c>
      <c r="AD1232" s="9">
        <v>1612.4293785310736</v>
      </c>
      <c r="AE1232" s="8">
        <v>7.5301204819277115E-2</v>
      </c>
    </row>
    <row r="1233" spans="1:31" x14ac:dyDescent="0.35">
      <c r="A1233" s="6" t="s">
        <v>1254</v>
      </c>
      <c r="B1233" s="7">
        <v>1</v>
      </c>
      <c r="C1233" s="7">
        <v>6</v>
      </c>
      <c r="D1233" s="7">
        <v>3</v>
      </c>
      <c r="E1233" s="7">
        <v>8</v>
      </c>
      <c r="F1233">
        <v>291</v>
      </c>
      <c r="G1233">
        <v>9</v>
      </c>
      <c r="H1233">
        <v>2.99</v>
      </c>
      <c r="I1233">
        <v>0</v>
      </c>
      <c r="J1233">
        <v>0.06</v>
      </c>
      <c r="K1233">
        <v>931</v>
      </c>
      <c r="L1233">
        <v>312</v>
      </c>
      <c r="M1233">
        <v>619</v>
      </c>
      <c r="N1233">
        <v>702.94</v>
      </c>
      <c r="O1233">
        <v>0.06</v>
      </c>
      <c r="P1233">
        <v>1022.5</v>
      </c>
      <c r="Q1233">
        <v>0.55000000000000004</v>
      </c>
      <c r="R1233">
        <v>0.48</v>
      </c>
      <c r="S1233">
        <v>2</v>
      </c>
      <c r="T1233">
        <v>3696</v>
      </c>
      <c r="U1233">
        <v>4232</v>
      </c>
      <c r="V1233">
        <v>46</v>
      </c>
      <c r="W1233">
        <v>9.39</v>
      </c>
      <c r="X1233" s="10">
        <v>0.66209789869545121</v>
      </c>
      <c r="Y1233" s="9">
        <v>15200</v>
      </c>
      <c r="Z1233" s="9">
        <v>2005</v>
      </c>
      <c r="AA1233" s="9">
        <v>6800</v>
      </c>
      <c r="AB1233">
        <v>0.36339522546419101</v>
      </c>
      <c r="AC1233" s="11">
        <v>168.96179494303973</v>
      </c>
      <c r="AD1233" s="9">
        <v>-146.58474576271146</v>
      </c>
      <c r="AE1233" s="8">
        <v>2.383084577114428</v>
      </c>
    </row>
    <row r="1234" spans="1:31" x14ac:dyDescent="0.35">
      <c r="A1234" s="6" t="s">
        <v>1255</v>
      </c>
      <c r="B1234" s="7">
        <v>8</v>
      </c>
      <c r="C1234" s="7">
        <v>3</v>
      </c>
      <c r="D1234" s="7">
        <v>7</v>
      </c>
      <c r="E1234" s="7">
        <v>0</v>
      </c>
      <c r="F1234">
        <v>885</v>
      </c>
      <c r="G1234">
        <v>67</v>
      </c>
      <c r="H1234">
        <v>7.61</v>
      </c>
      <c r="I1234">
        <v>64</v>
      </c>
      <c r="J1234">
        <v>7.28</v>
      </c>
      <c r="K1234">
        <v>873</v>
      </c>
      <c r="L1234">
        <v>174</v>
      </c>
      <c r="M1234">
        <v>699</v>
      </c>
      <c r="N1234">
        <v>713.77</v>
      </c>
      <c r="O1234">
        <v>9.61</v>
      </c>
      <c r="P1234">
        <v>18.78</v>
      </c>
      <c r="Q1234">
        <v>2.75</v>
      </c>
      <c r="R1234">
        <v>1.37</v>
      </c>
      <c r="S1234">
        <v>378</v>
      </c>
      <c r="T1234">
        <v>2585</v>
      </c>
      <c r="U1234">
        <v>5187</v>
      </c>
      <c r="V1234">
        <v>100</v>
      </c>
      <c r="W1234">
        <v>12.34</v>
      </c>
      <c r="X1234" s="10">
        <v>0.75638336740852752</v>
      </c>
      <c r="Y1234" s="9">
        <v>7480</v>
      </c>
      <c r="Z1234" s="9">
        <v>6050</v>
      </c>
      <c r="AA1234" s="9">
        <v>6110</v>
      </c>
      <c r="AB1234">
        <v>4.195804195804196E-2</v>
      </c>
      <c r="AC1234" s="11">
        <v>-21.408446790775212</v>
      </c>
      <c r="AD1234" s="9">
        <v>7272.1242937853112</v>
      </c>
      <c r="AE1234" s="8">
        <v>-0.14185393258426968</v>
      </c>
    </row>
    <row r="1235" spans="1:31" x14ac:dyDescent="0.35">
      <c r="A1235" s="6" t="s">
        <v>1256</v>
      </c>
      <c r="B1235" s="7">
        <v>8</v>
      </c>
      <c r="C1235" s="7">
        <v>5</v>
      </c>
      <c r="D1235" s="7">
        <v>4</v>
      </c>
      <c r="E1235" s="7">
        <v>1</v>
      </c>
      <c r="F1235">
        <v>178</v>
      </c>
      <c r="G1235">
        <v>1</v>
      </c>
      <c r="H1235">
        <v>0.41</v>
      </c>
      <c r="I1235">
        <v>1</v>
      </c>
      <c r="J1235">
        <v>0.71</v>
      </c>
      <c r="K1235">
        <v>345</v>
      </c>
      <c r="L1235">
        <v>223</v>
      </c>
      <c r="M1235">
        <v>122</v>
      </c>
      <c r="N1235">
        <v>70.22</v>
      </c>
      <c r="O1235">
        <v>1.46</v>
      </c>
      <c r="P1235">
        <v>94.62</v>
      </c>
      <c r="Q1235">
        <v>1.35</v>
      </c>
      <c r="R1235">
        <v>0.69</v>
      </c>
      <c r="S1235">
        <v>13</v>
      </c>
      <c r="T1235">
        <v>909</v>
      </c>
      <c r="U1235">
        <v>1787</v>
      </c>
      <c r="V1235">
        <v>1</v>
      </c>
      <c r="W1235">
        <v>261.5</v>
      </c>
      <c r="X1235" s="10">
        <v>0.55103625966343384</v>
      </c>
      <c r="Y1235" s="9">
        <v>2380</v>
      </c>
      <c r="Z1235" s="9">
        <v>1240</v>
      </c>
      <c r="AA1235" s="9">
        <v>2370</v>
      </c>
      <c r="AB1235">
        <v>0.99122807017543857</v>
      </c>
      <c r="AC1235" s="11">
        <v>12.164073353709364</v>
      </c>
      <c r="AD1235" s="9">
        <v>1372.7457627118645</v>
      </c>
      <c r="AE1235" s="8">
        <v>0.75555555555555554</v>
      </c>
    </row>
    <row r="1236" spans="1:31" x14ac:dyDescent="0.35">
      <c r="A1236" s="6" t="s">
        <v>1257</v>
      </c>
      <c r="B1236" s="7">
        <v>5</v>
      </c>
      <c r="C1236" s="7">
        <v>6</v>
      </c>
      <c r="D1236" s="7">
        <v>1</v>
      </c>
      <c r="E1236" s="7">
        <v>6</v>
      </c>
      <c r="F1236">
        <v>320</v>
      </c>
      <c r="G1236">
        <v>36</v>
      </c>
      <c r="H1236">
        <v>11.32</v>
      </c>
      <c r="I1236">
        <v>28</v>
      </c>
      <c r="J1236">
        <v>8.66</v>
      </c>
      <c r="K1236">
        <v>368</v>
      </c>
      <c r="L1236">
        <v>53</v>
      </c>
      <c r="M1236">
        <v>315</v>
      </c>
      <c r="N1236">
        <v>713.39</v>
      </c>
      <c r="O1236">
        <v>9.08</v>
      </c>
      <c r="P1236">
        <v>10.81</v>
      </c>
      <c r="Q1236">
        <v>0.98</v>
      </c>
      <c r="R1236">
        <v>0.94</v>
      </c>
      <c r="S1236">
        <v>356</v>
      </c>
      <c r="T1236">
        <v>3932</v>
      </c>
      <c r="U1236">
        <v>4113</v>
      </c>
      <c r="V1236">
        <v>50</v>
      </c>
      <c r="W1236">
        <v>6.03</v>
      </c>
      <c r="X1236" s="10">
        <v>0.64507264004578502</v>
      </c>
      <c r="Y1236" s="9">
        <v>5000</v>
      </c>
      <c r="Z1236" s="9">
        <v>3850</v>
      </c>
      <c r="AA1236" s="9">
        <v>4390</v>
      </c>
      <c r="AB1236">
        <v>0.46956521739130436</v>
      </c>
      <c r="AC1236" s="11">
        <v>14.47026951931092</v>
      </c>
      <c r="AD1236" s="9">
        <v>3732.7401129943501</v>
      </c>
      <c r="AE1236" s="8">
        <v>0.11139240506329114</v>
      </c>
    </row>
    <row r="1237" spans="1:31" x14ac:dyDescent="0.35">
      <c r="A1237" s="6" t="s">
        <v>1258</v>
      </c>
      <c r="B1237" s="7">
        <v>15</v>
      </c>
      <c r="C1237" s="7">
        <v>2</v>
      </c>
      <c r="D1237" s="7">
        <v>1</v>
      </c>
      <c r="E1237" s="7">
        <v>0</v>
      </c>
      <c r="F1237">
        <v>2583</v>
      </c>
      <c r="G1237">
        <v>61</v>
      </c>
      <c r="H1237">
        <v>2.35</v>
      </c>
      <c r="I1237">
        <v>53</v>
      </c>
      <c r="J1237">
        <v>2.04</v>
      </c>
      <c r="K1237">
        <v>1250</v>
      </c>
      <c r="L1237">
        <v>711</v>
      </c>
      <c r="M1237">
        <v>539</v>
      </c>
      <c r="N1237">
        <v>96.01</v>
      </c>
      <c r="O1237">
        <v>10.83</v>
      </c>
      <c r="P1237">
        <v>15.62</v>
      </c>
      <c r="Q1237">
        <v>1.73</v>
      </c>
      <c r="R1237">
        <v>0.32</v>
      </c>
      <c r="S1237">
        <v>97</v>
      </c>
      <c r="T1237">
        <v>875</v>
      </c>
      <c r="U1237">
        <v>4776</v>
      </c>
      <c r="V1237">
        <v>78</v>
      </c>
      <c r="W1237">
        <v>12.46</v>
      </c>
      <c r="X1237" s="10">
        <v>0.81756163731522602</v>
      </c>
      <c r="Y1237" s="9">
        <v>2740</v>
      </c>
      <c r="Z1237" s="9">
        <v>1310</v>
      </c>
      <c r="AA1237" s="9">
        <v>2625</v>
      </c>
      <c r="AB1237">
        <v>0.91958041958041958</v>
      </c>
      <c r="AC1237" s="11">
        <v>22.989302584051124</v>
      </c>
      <c r="AD1237" s="9">
        <v>1123.4096045197739</v>
      </c>
      <c r="AE1237" s="8">
        <v>0.72131147540983609</v>
      </c>
    </row>
    <row r="1238" spans="1:31" x14ac:dyDescent="0.35">
      <c r="A1238" s="6" t="s">
        <v>1259</v>
      </c>
      <c r="B1238" s="7">
        <v>0</v>
      </c>
      <c r="C1238" s="7">
        <v>9</v>
      </c>
      <c r="D1238" s="7">
        <v>1</v>
      </c>
      <c r="E1238" s="7">
        <v>8</v>
      </c>
      <c r="F1238">
        <v>229</v>
      </c>
      <c r="G1238">
        <v>-8</v>
      </c>
      <c r="H1238">
        <v>-3.5</v>
      </c>
      <c r="I1238">
        <v>-47</v>
      </c>
      <c r="J1238">
        <v>-20.48</v>
      </c>
      <c r="K1238">
        <v>299</v>
      </c>
      <c r="L1238">
        <v>225</v>
      </c>
      <c r="M1238">
        <v>74</v>
      </c>
      <c r="N1238">
        <v>41.57</v>
      </c>
      <c r="O1238">
        <v>-72.599999999999994</v>
      </c>
      <c r="P1238">
        <v>0</v>
      </c>
      <c r="Q1238">
        <v>0</v>
      </c>
      <c r="R1238">
        <v>0.81</v>
      </c>
      <c r="S1238">
        <v>-597</v>
      </c>
      <c r="T1238">
        <v>-6</v>
      </c>
      <c r="U1238">
        <v>2916</v>
      </c>
      <c r="V1238">
        <v>34</v>
      </c>
      <c r="W1238">
        <v>11.54</v>
      </c>
      <c r="X1238" s="10">
        <v>7.2458700429690229E-2</v>
      </c>
      <c r="Y1238" s="9">
        <v>3825</v>
      </c>
      <c r="Z1238" s="9">
        <v>2570</v>
      </c>
      <c r="AA1238" s="9">
        <v>2660</v>
      </c>
      <c r="AB1238">
        <v>7.1713147410358571E-2</v>
      </c>
      <c r="AC1238" s="11">
        <v>-4.5693248124479036</v>
      </c>
      <c r="AD1238" s="9">
        <v>3424.1977401129943</v>
      </c>
      <c r="AE1238" s="8">
        <v>-0.11036789297658862</v>
      </c>
    </row>
    <row r="1239" spans="1:31" x14ac:dyDescent="0.35">
      <c r="A1239" s="6" t="s">
        <v>1260</v>
      </c>
      <c r="B1239" s="7">
        <v>3</v>
      </c>
      <c r="C1239" s="7">
        <v>6</v>
      </c>
      <c r="D1239" s="7">
        <v>5</v>
      </c>
      <c r="E1239" s="7">
        <v>4</v>
      </c>
      <c r="F1239">
        <v>344</v>
      </c>
      <c r="G1239">
        <v>25</v>
      </c>
      <c r="H1239">
        <v>7.13</v>
      </c>
      <c r="I1239">
        <v>22</v>
      </c>
      <c r="J1239">
        <v>6.31</v>
      </c>
      <c r="K1239">
        <v>925</v>
      </c>
      <c r="L1239">
        <v>276</v>
      </c>
      <c r="M1239">
        <v>648</v>
      </c>
      <c r="N1239">
        <v>840.17</v>
      </c>
      <c r="O1239">
        <v>7.03</v>
      </c>
      <c r="P1239">
        <v>6.31</v>
      </c>
      <c r="Q1239">
        <v>0.44</v>
      </c>
      <c r="R1239">
        <v>0.4</v>
      </c>
      <c r="S1239">
        <v>324</v>
      </c>
      <c r="T1239">
        <v>4625</v>
      </c>
      <c r="U1239">
        <v>5152</v>
      </c>
      <c r="V1239">
        <v>52</v>
      </c>
      <c r="W1239">
        <v>5.46</v>
      </c>
      <c r="X1239" s="10">
        <v>0.41440396773581739</v>
      </c>
      <c r="Y1239" s="9">
        <v>2305</v>
      </c>
      <c r="Z1239" s="9">
        <v>2000</v>
      </c>
      <c r="AA1239" s="9">
        <v>2305</v>
      </c>
      <c r="AB1239">
        <v>1</v>
      </c>
      <c r="AC1239" s="11">
        <v>2.6368435676576829</v>
      </c>
      <c r="AD1239" s="9">
        <v>2082.2429378531074</v>
      </c>
      <c r="AE1239" s="8">
        <v>0.12713936430317849</v>
      </c>
    </row>
    <row r="1240" spans="1:31" x14ac:dyDescent="0.35">
      <c r="A1240" s="6" t="s">
        <v>1261</v>
      </c>
      <c r="B1240" s="7">
        <v>4</v>
      </c>
      <c r="C1240" s="7">
        <v>13</v>
      </c>
      <c r="D1240" s="7">
        <v>1</v>
      </c>
      <c r="E1240" s="7">
        <v>0</v>
      </c>
      <c r="F1240">
        <v>480</v>
      </c>
      <c r="G1240">
        <v>123</v>
      </c>
      <c r="H1240">
        <v>25.69</v>
      </c>
      <c r="I1240">
        <v>57</v>
      </c>
      <c r="J1240">
        <v>11.95</v>
      </c>
      <c r="K1240">
        <v>2959</v>
      </c>
      <c r="L1240">
        <v>2460</v>
      </c>
      <c r="M1240">
        <v>498</v>
      </c>
      <c r="N1240">
        <v>808.43</v>
      </c>
      <c r="O1240">
        <v>14.92</v>
      </c>
      <c r="P1240">
        <v>23.37</v>
      </c>
      <c r="Q1240">
        <v>2.73</v>
      </c>
      <c r="R1240">
        <v>2.79</v>
      </c>
      <c r="S1240">
        <v>522</v>
      </c>
      <c r="T1240">
        <v>4477</v>
      </c>
      <c r="U1240">
        <v>4370</v>
      </c>
      <c r="V1240">
        <v>160</v>
      </c>
      <c r="W1240">
        <v>9.9</v>
      </c>
      <c r="X1240" s="10">
        <v>0.88496003221001285</v>
      </c>
      <c r="Y1240" s="9">
        <v>24050</v>
      </c>
      <c r="Z1240" s="9">
        <v>11350</v>
      </c>
      <c r="AA1240" s="9">
        <v>22000</v>
      </c>
      <c r="AB1240">
        <v>0.83858267716535428</v>
      </c>
      <c r="AC1240" s="11">
        <v>202.61322589608224</v>
      </c>
      <c r="AD1240" s="9">
        <v>9677.796610169491</v>
      </c>
      <c r="AE1240" s="8">
        <v>0.81069958847736623</v>
      </c>
    </row>
    <row r="1241" spans="1:31" x14ac:dyDescent="0.35">
      <c r="A1241" s="6" t="s">
        <v>1262</v>
      </c>
      <c r="B1241" s="7">
        <v>8</v>
      </c>
      <c r="C1241" s="7">
        <v>1</v>
      </c>
      <c r="D1241" s="7">
        <v>5</v>
      </c>
      <c r="E1241" s="7">
        <v>4</v>
      </c>
      <c r="F1241">
        <v>2916</v>
      </c>
      <c r="G1241">
        <v>185</v>
      </c>
      <c r="H1241">
        <v>6.34</v>
      </c>
      <c r="I1241">
        <v>129</v>
      </c>
      <c r="J1241">
        <v>4.43</v>
      </c>
      <c r="K1241">
        <v>2890</v>
      </c>
      <c r="L1241">
        <v>1445</v>
      </c>
      <c r="M1241">
        <v>1444</v>
      </c>
      <c r="N1241">
        <v>1527.28</v>
      </c>
      <c r="O1241">
        <v>9.2100000000000009</v>
      </c>
      <c r="P1241">
        <v>9.66</v>
      </c>
      <c r="Q1241">
        <v>0.89</v>
      </c>
      <c r="R1241">
        <v>0.43</v>
      </c>
      <c r="S1241">
        <v>733</v>
      </c>
      <c r="T1241">
        <v>7916</v>
      </c>
      <c r="U1241">
        <v>16555</v>
      </c>
      <c r="V1241">
        <v>233</v>
      </c>
      <c r="W1241">
        <v>8.91</v>
      </c>
      <c r="X1241" s="10">
        <v>0.64546249282320001</v>
      </c>
      <c r="Y1241" s="9">
        <v>7300</v>
      </c>
      <c r="Z1241" s="9">
        <v>6500</v>
      </c>
      <c r="AA1241" s="9">
        <v>6600</v>
      </c>
      <c r="AB1241">
        <v>0.125</v>
      </c>
      <c r="AC1241" s="11">
        <v>-11.648235621005835</v>
      </c>
      <c r="AD1241" s="9">
        <v>7210.6045197740114</v>
      </c>
      <c r="AE1241" s="8">
        <v>-7.1729957805907171E-2</v>
      </c>
    </row>
    <row r="1242" spans="1:31" x14ac:dyDescent="0.35">
      <c r="A1242" s="6" t="s">
        <v>1263</v>
      </c>
      <c r="B1242" s="7">
        <v>7</v>
      </c>
      <c r="C1242" s="7">
        <v>6</v>
      </c>
      <c r="D1242" s="7">
        <v>5</v>
      </c>
      <c r="E1242" s="7">
        <v>0</v>
      </c>
      <c r="F1242">
        <v>1325</v>
      </c>
      <c r="G1242">
        <v>17</v>
      </c>
      <c r="H1242">
        <v>1.27</v>
      </c>
      <c r="I1242">
        <v>30</v>
      </c>
      <c r="J1242">
        <v>2.2799999999999998</v>
      </c>
      <c r="K1242">
        <v>1046</v>
      </c>
      <c r="L1242">
        <v>427</v>
      </c>
      <c r="M1242">
        <v>619</v>
      </c>
      <c r="N1242">
        <v>707.11</v>
      </c>
      <c r="O1242">
        <v>4.97</v>
      </c>
      <c r="P1242">
        <v>42.08</v>
      </c>
      <c r="Q1242">
        <v>2.2599999999999998</v>
      </c>
      <c r="R1242">
        <v>0.96</v>
      </c>
      <c r="S1242">
        <v>202</v>
      </c>
      <c r="T1242">
        <v>3761</v>
      </c>
      <c r="U1242">
        <v>8864</v>
      </c>
      <c r="V1242">
        <v>22</v>
      </c>
      <c r="W1242">
        <v>60.82</v>
      </c>
      <c r="X1242" s="10">
        <v>0.37428316120928734</v>
      </c>
      <c r="Y1242" s="9">
        <v>10050</v>
      </c>
      <c r="Z1242" s="9">
        <v>7500</v>
      </c>
      <c r="AA1242" s="9">
        <v>7540</v>
      </c>
      <c r="AB1242">
        <v>1.5686274509803921E-2</v>
      </c>
      <c r="AC1242" s="11">
        <v>-20.778549597110313</v>
      </c>
      <c r="AD1242" s="9">
        <v>9292.0790960451977</v>
      </c>
      <c r="AE1242" s="8">
        <v>-9.375E-2</v>
      </c>
    </row>
    <row r="1243" spans="1:31" x14ac:dyDescent="0.35">
      <c r="A1243" s="6" t="s">
        <v>1264</v>
      </c>
      <c r="B1243" s="7">
        <v>0</v>
      </c>
      <c r="C1243" s="7">
        <v>15</v>
      </c>
      <c r="D1243" s="7">
        <v>0</v>
      </c>
      <c r="E1243" s="7">
        <v>3</v>
      </c>
      <c r="F1243">
        <v>526</v>
      </c>
      <c r="G1243">
        <v>22</v>
      </c>
      <c r="H1243">
        <v>4.2300000000000004</v>
      </c>
      <c r="I1243">
        <v>33</v>
      </c>
      <c r="J1243">
        <v>6.2</v>
      </c>
      <c r="K1243">
        <v>430</v>
      </c>
      <c r="L1243">
        <v>147</v>
      </c>
      <c r="M1243">
        <v>283</v>
      </c>
      <c r="N1243">
        <v>1598.65</v>
      </c>
      <c r="O1243">
        <v>12.22</v>
      </c>
      <c r="P1243">
        <v>4.0599999999999996</v>
      </c>
      <c r="Q1243">
        <v>0.55000000000000004</v>
      </c>
      <c r="R1243">
        <v>0.25</v>
      </c>
      <c r="S1243">
        <v>980</v>
      </c>
      <c r="T1243">
        <v>7271</v>
      </c>
      <c r="U1243">
        <v>15812</v>
      </c>
      <c r="V1243">
        <v>24</v>
      </c>
      <c r="W1243">
        <v>6.22</v>
      </c>
      <c r="X1243" s="10">
        <v>0.79981361537169338</v>
      </c>
      <c r="Y1243" s="9">
        <v>6350</v>
      </c>
      <c r="Z1243" s="9">
        <v>3975</v>
      </c>
      <c r="AA1243" s="9">
        <v>6100</v>
      </c>
      <c r="AB1243">
        <v>0.89473684210526316</v>
      </c>
      <c r="AC1243" s="11">
        <v>39.664073353709362</v>
      </c>
      <c r="AD1243" s="9">
        <v>3944.7457627118647</v>
      </c>
      <c r="AE1243" s="8">
        <v>0.49326805385556916</v>
      </c>
    </row>
    <row r="1244" spans="1:31" x14ac:dyDescent="0.35">
      <c r="A1244" s="6" t="s">
        <v>1265</v>
      </c>
      <c r="B1244" s="7">
        <v>0</v>
      </c>
      <c r="C1244" s="7">
        <v>1</v>
      </c>
      <c r="D1244" s="7">
        <v>13</v>
      </c>
      <c r="E1244" s="7">
        <v>4</v>
      </c>
      <c r="F1244">
        <v>2067</v>
      </c>
      <c r="G1244">
        <v>-21</v>
      </c>
      <c r="H1244">
        <v>-1.01</v>
      </c>
      <c r="I1244">
        <v>-127</v>
      </c>
      <c r="J1244">
        <v>-6.16</v>
      </c>
      <c r="K1244">
        <v>1872</v>
      </c>
      <c r="L1244">
        <v>661</v>
      </c>
      <c r="M1244">
        <v>1211</v>
      </c>
      <c r="N1244">
        <v>1252.6600000000001</v>
      </c>
      <c r="O1244">
        <v>-13.22</v>
      </c>
      <c r="P1244">
        <v>0</v>
      </c>
      <c r="Q1244">
        <v>0.73</v>
      </c>
      <c r="R1244">
        <v>0.32</v>
      </c>
      <c r="S1244">
        <v>-944</v>
      </c>
      <c r="T1244">
        <v>6629</v>
      </c>
      <c r="U1244">
        <v>15325</v>
      </c>
      <c r="V1244">
        <v>107</v>
      </c>
      <c r="W1244">
        <v>9.5</v>
      </c>
      <c r="X1244" s="10">
        <v>0.26568118404306745</v>
      </c>
      <c r="Y1244" s="9">
        <v>6760</v>
      </c>
      <c r="Z1244" s="9">
        <v>4245</v>
      </c>
      <c r="AA1244" s="9">
        <v>6760</v>
      </c>
      <c r="AB1244">
        <v>1</v>
      </c>
      <c r="AC1244" s="11">
        <v>14.90052792442345</v>
      </c>
      <c r="AD1244" s="9">
        <v>4517.3672316384182</v>
      </c>
      <c r="AE1244" s="8">
        <v>0.46004319654427644</v>
      </c>
    </row>
    <row r="1245" spans="1:31" x14ac:dyDescent="0.35">
      <c r="A1245" s="6" t="s">
        <v>1266</v>
      </c>
      <c r="B1245" s="7">
        <v>13</v>
      </c>
      <c r="C1245" s="7">
        <v>2</v>
      </c>
      <c r="D1245" s="7">
        <v>3</v>
      </c>
      <c r="E1245" s="7">
        <v>0</v>
      </c>
      <c r="F1245">
        <v>864</v>
      </c>
      <c r="G1245">
        <v>67</v>
      </c>
      <c r="H1245">
        <v>7.8</v>
      </c>
      <c r="I1245">
        <v>64</v>
      </c>
      <c r="J1245">
        <v>7.38</v>
      </c>
      <c r="K1245">
        <v>924</v>
      </c>
      <c r="L1245">
        <v>194</v>
      </c>
      <c r="M1245">
        <v>730</v>
      </c>
      <c r="N1245">
        <v>202.23</v>
      </c>
      <c r="O1245">
        <v>12.11</v>
      </c>
      <c r="P1245">
        <v>11.39</v>
      </c>
      <c r="Q1245">
        <v>1.33</v>
      </c>
      <c r="R1245">
        <v>0.84</v>
      </c>
      <c r="S1245">
        <v>176</v>
      </c>
      <c r="T1245">
        <v>1511</v>
      </c>
      <c r="U1245">
        <v>2383</v>
      </c>
      <c r="V1245">
        <v>116</v>
      </c>
      <c r="W1245">
        <v>8.3800000000000008</v>
      </c>
      <c r="X1245" s="10">
        <v>0.80615886000678738</v>
      </c>
      <c r="Y1245" s="9">
        <v>2300</v>
      </c>
      <c r="Z1245" s="9">
        <v>1750</v>
      </c>
      <c r="AA1245" s="9">
        <v>2245</v>
      </c>
      <c r="AB1245">
        <v>0.9</v>
      </c>
      <c r="AC1245" s="11">
        <v>7.759933314809671</v>
      </c>
      <c r="AD1245" s="9">
        <v>1733.4887005649719</v>
      </c>
      <c r="AE1245" s="8">
        <v>0.2612359550561798</v>
      </c>
    </row>
    <row r="1246" spans="1:31" x14ac:dyDescent="0.35">
      <c r="A1246" s="6" t="s">
        <v>1267</v>
      </c>
      <c r="B1246" s="7">
        <v>4</v>
      </c>
      <c r="C1246" s="7">
        <v>5</v>
      </c>
      <c r="D1246" s="7">
        <v>5</v>
      </c>
      <c r="E1246" s="7">
        <v>4</v>
      </c>
      <c r="F1246">
        <v>208</v>
      </c>
      <c r="G1246">
        <v>-4</v>
      </c>
      <c r="H1246">
        <v>-2.12</v>
      </c>
      <c r="I1246">
        <v>0</v>
      </c>
      <c r="J1246">
        <v>0.16</v>
      </c>
      <c r="K1246">
        <v>486</v>
      </c>
      <c r="L1246">
        <v>114</v>
      </c>
      <c r="M1246">
        <v>372</v>
      </c>
      <c r="N1246">
        <v>24.64</v>
      </c>
      <c r="O1246">
        <v>0.12</v>
      </c>
      <c r="P1246">
        <v>805</v>
      </c>
      <c r="Q1246">
        <v>1.3</v>
      </c>
      <c r="R1246">
        <v>1.74</v>
      </c>
      <c r="S1246">
        <v>1</v>
      </c>
      <c r="T1246">
        <v>619</v>
      </c>
      <c r="U1246">
        <v>463</v>
      </c>
      <c r="V1246">
        <v>-6</v>
      </c>
      <c r="W1246">
        <v>-92.6</v>
      </c>
      <c r="X1246" s="10">
        <v>0.64071056237639812</v>
      </c>
      <c r="Y1246" s="9">
        <v>860</v>
      </c>
      <c r="Z1246" s="9">
        <v>523</v>
      </c>
      <c r="AA1246" s="9">
        <v>752</v>
      </c>
      <c r="AB1246">
        <v>0.67952522255192882</v>
      </c>
      <c r="AC1246" s="11">
        <v>-3.8338427340928019</v>
      </c>
      <c r="AD1246" s="9">
        <v>823.89887005649712</v>
      </c>
      <c r="AE1246" s="8">
        <v>-0.10369487485101311</v>
      </c>
    </row>
    <row r="1247" spans="1:31" x14ac:dyDescent="0.35">
      <c r="A1247" s="6" t="s">
        <v>1268</v>
      </c>
      <c r="B1247" s="7">
        <v>1</v>
      </c>
      <c r="C1247" s="7">
        <v>4</v>
      </c>
      <c r="D1247" s="7">
        <v>5</v>
      </c>
      <c r="E1247" s="7">
        <v>8</v>
      </c>
      <c r="F1247">
        <v>361</v>
      </c>
      <c r="G1247">
        <v>0</v>
      </c>
      <c r="H1247">
        <v>-0.06</v>
      </c>
      <c r="I1247">
        <v>-1</v>
      </c>
      <c r="J1247">
        <v>-0.33</v>
      </c>
      <c r="K1247">
        <v>753</v>
      </c>
      <c r="L1247">
        <v>202</v>
      </c>
      <c r="M1247">
        <v>552</v>
      </c>
      <c r="N1247">
        <v>1432.84</v>
      </c>
      <c r="O1247">
        <v>-0.28999999999999998</v>
      </c>
      <c r="P1247">
        <v>0</v>
      </c>
      <c r="Q1247">
        <v>0.31</v>
      </c>
      <c r="R1247">
        <v>0.35</v>
      </c>
      <c r="S1247">
        <v>-23</v>
      </c>
      <c r="T1247">
        <v>7615</v>
      </c>
      <c r="U1247">
        <v>6691</v>
      </c>
      <c r="V1247">
        <v>29</v>
      </c>
      <c r="W1247">
        <v>8.51</v>
      </c>
      <c r="X1247" s="10">
        <v>0.77215222512271864</v>
      </c>
      <c r="Y1247" s="9">
        <v>6700</v>
      </c>
      <c r="Z1247" s="9">
        <v>2000</v>
      </c>
      <c r="AA1247" s="9">
        <v>6700</v>
      </c>
      <c r="AB1247">
        <v>1</v>
      </c>
      <c r="AC1247" s="11">
        <v>65.625729369269223</v>
      </c>
      <c r="AD1247" s="9">
        <v>1151.5819209039553</v>
      </c>
      <c r="AE1247" s="8">
        <v>2.284313725490196</v>
      </c>
    </row>
    <row r="1248" spans="1:31" x14ac:dyDescent="0.35">
      <c r="A1248" s="6" t="s">
        <v>1269</v>
      </c>
      <c r="B1248" s="7">
        <v>0</v>
      </c>
      <c r="C1248" s="7">
        <v>0</v>
      </c>
      <c r="D1248" s="7">
        <v>0</v>
      </c>
      <c r="E1248" s="7">
        <v>18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 s="10">
        <v>6.0366646417263456E-4</v>
      </c>
      <c r="Y1248" s="9">
        <v>2720</v>
      </c>
      <c r="Z1248" s="9">
        <v>2255</v>
      </c>
      <c r="AA1248" s="9">
        <v>2475</v>
      </c>
      <c r="AB1248">
        <v>0.4731182795698925</v>
      </c>
      <c r="AC1248" s="11">
        <v>0.17379827729924979</v>
      </c>
      <c r="AD1248" s="9">
        <v>2471.9491525423728</v>
      </c>
      <c r="AE1248" s="8">
        <v>-6.6037735849056603E-2</v>
      </c>
    </row>
    <row r="1249" spans="1:31" x14ac:dyDescent="0.35">
      <c r="A1249" s="6" t="s">
        <v>1270</v>
      </c>
      <c r="B1249" s="7">
        <v>0</v>
      </c>
      <c r="C1249" s="7">
        <v>3</v>
      </c>
      <c r="D1249" s="7">
        <v>5</v>
      </c>
      <c r="E1249" s="7">
        <v>10</v>
      </c>
      <c r="F1249">
        <v>444</v>
      </c>
      <c r="G1249">
        <v>55</v>
      </c>
      <c r="H1249">
        <v>12.36</v>
      </c>
      <c r="I1249">
        <v>-106</v>
      </c>
      <c r="J1249">
        <v>-23.93</v>
      </c>
      <c r="K1249">
        <v>857</v>
      </c>
      <c r="L1249">
        <v>371</v>
      </c>
      <c r="M1249">
        <v>486</v>
      </c>
      <c r="N1249">
        <v>509.64</v>
      </c>
      <c r="O1249">
        <v>-19.899999999999999</v>
      </c>
      <c r="P1249">
        <v>0</v>
      </c>
      <c r="Q1249">
        <v>1.17</v>
      </c>
      <c r="R1249">
        <v>1.1599999999999999</v>
      </c>
      <c r="S1249">
        <v>-678</v>
      </c>
      <c r="T1249">
        <v>2818</v>
      </c>
      <c r="U1249">
        <v>2833</v>
      </c>
      <c r="V1249">
        <v>116</v>
      </c>
      <c r="W1249">
        <v>6.37</v>
      </c>
      <c r="X1249" s="10">
        <v>0.83999488762060004</v>
      </c>
      <c r="Y1249" s="9">
        <v>5780</v>
      </c>
      <c r="Z1249" s="9">
        <v>3000</v>
      </c>
      <c r="AA1249" s="9">
        <v>5380</v>
      </c>
      <c r="AB1249">
        <v>0.85611510791366907</v>
      </c>
      <c r="AC1249" s="11">
        <v>46.461933870519587</v>
      </c>
      <c r="AD1249" s="9">
        <v>2619.1610169491523</v>
      </c>
      <c r="AE1249" s="8">
        <v>0.79333333333333333</v>
      </c>
    </row>
    <row r="1250" spans="1:31" x14ac:dyDescent="0.35">
      <c r="A1250" s="6" t="s">
        <v>1271</v>
      </c>
      <c r="B1250" s="7">
        <v>5</v>
      </c>
      <c r="C1250" s="7">
        <v>2</v>
      </c>
      <c r="D1250" s="7">
        <v>3</v>
      </c>
      <c r="E1250" s="7">
        <v>8</v>
      </c>
      <c r="F1250">
        <v>2603</v>
      </c>
      <c r="G1250">
        <v>71</v>
      </c>
      <c r="H1250">
        <v>2.73</v>
      </c>
      <c r="I1250">
        <v>51</v>
      </c>
      <c r="J1250">
        <v>1.96</v>
      </c>
      <c r="K1250">
        <v>1940</v>
      </c>
      <c r="L1250">
        <v>1059</v>
      </c>
      <c r="M1250">
        <v>881</v>
      </c>
      <c r="N1250">
        <v>1614.47</v>
      </c>
      <c r="O1250">
        <v>5.94</v>
      </c>
      <c r="P1250">
        <v>13.97</v>
      </c>
      <c r="Q1250">
        <v>0.87</v>
      </c>
      <c r="R1250">
        <v>0.27</v>
      </c>
      <c r="S1250">
        <v>491</v>
      </c>
      <c r="T1250">
        <v>7915</v>
      </c>
      <c r="U1250">
        <v>25021</v>
      </c>
      <c r="V1250">
        <v>119</v>
      </c>
      <c r="W1250">
        <v>6.77</v>
      </c>
      <c r="X1250" s="10">
        <v>0.44435118420295061</v>
      </c>
      <c r="Y1250" s="9">
        <v>8580</v>
      </c>
      <c r="Z1250" s="9">
        <v>6820</v>
      </c>
      <c r="AA1250" s="9">
        <v>8100</v>
      </c>
      <c r="AB1250">
        <v>0.72727272727272729</v>
      </c>
      <c r="AC1250" s="11">
        <v>18.608780216726867</v>
      </c>
      <c r="AD1250" s="9">
        <v>7013.2655367231637</v>
      </c>
      <c r="AE1250" s="8">
        <v>0.18075801749271136</v>
      </c>
    </row>
    <row r="1251" spans="1:31" x14ac:dyDescent="0.35">
      <c r="A1251" s="6" t="s">
        <v>1272</v>
      </c>
      <c r="B1251" s="7">
        <v>2</v>
      </c>
      <c r="C1251" s="7">
        <v>0</v>
      </c>
      <c r="D1251" s="7">
        <v>11</v>
      </c>
      <c r="E1251" s="7">
        <v>5</v>
      </c>
      <c r="F1251">
        <v>7561</v>
      </c>
      <c r="G1251">
        <v>-10</v>
      </c>
      <c r="H1251">
        <v>-0.14000000000000001</v>
      </c>
      <c r="I1251">
        <v>-65</v>
      </c>
      <c r="J1251">
        <v>-0.86</v>
      </c>
      <c r="K1251">
        <v>2499</v>
      </c>
      <c r="L1251">
        <v>1871</v>
      </c>
      <c r="M1251">
        <v>628</v>
      </c>
      <c r="N1251">
        <v>70.239999999999995</v>
      </c>
      <c r="O1251">
        <v>-13.19</v>
      </c>
      <c r="P1251">
        <v>0</v>
      </c>
      <c r="Q1251">
        <v>2.42</v>
      </c>
      <c r="R1251">
        <v>0.14000000000000001</v>
      </c>
      <c r="S1251">
        <v>-111</v>
      </c>
      <c r="T1251">
        <v>746</v>
      </c>
      <c r="U1251">
        <v>12761</v>
      </c>
      <c r="V1251">
        <v>-9</v>
      </c>
      <c r="W1251">
        <v>-274.72000000000003</v>
      </c>
      <c r="X1251" s="10">
        <v>1.5173052907881219E-2</v>
      </c>
      <c r="Y1251" s="9">
        <v>2040</v>
      </c>
      <c r="Z1251" s="9">
        <v>1550</v>
      </c>
      <c r="AA1251" s="9">
        <v>1550</v>
      </c>
      <c r="AB1251">
        <v>0</v>
      </c>
      <c r="AC1251" s="11">
        <v>0.56168380105584903</v>
      </c>
      <c r="AD1251" s="9">
        <v>1788.2853107344633</v>
      </c>
      <c r="AE1251" s="8">
        <v>-3.125E-2</v>
      </c>
    </row>
    <row r="1252" spans="1:31" x14ac:dyDescent="0.35">
      <c r="A1252" s="6" t="s">
        <v>1273</v>
      </c>
      <c r="B1252" s="7">
        <v>5</v>
      </c>
      <c r="C1252" s="7">
        <v>8</v>
      </c>
      <c r="D1252" s="7">
        <v>1</v>
      </c>
      <c r="E1252" s="7">
        <v>4</v>
      </c>
      <c r="F1252">
        <v>164</v>
      </c>
      <c r="G1252">
        <v>17</v>
      </c>
      <c r="H1252">
        <v>10.37</v>
      </c>
      <c r="I1252">
        <v>29</v>
      </c>
      <c r="J1252">
        <v>17.37</v>
      </c>
      <c r="K1252">
        <v>621</v>
      </c>
      <c r="L1252">
        <v>150</v>
      </c>
      <c r="M1252">
        <v>471</v>
      </c>
      <c r="N1252">
        <v>426.76</v>
      </c>
      <c r="O1252">
        <v>6.77</v>
      </c>
      <c r="P1252">
        <v>7.06</v>
      </c>
      <c r="Q1252">
        <v>0.6</v>
      </c>
      <c r="R1252">
        <v>1.23</v>
      </c>
      <c r="S1252">
        <v>216</v>
      </c>
      <c r="T1252">
        <v>2554</v>
      </c>
      <c r="U1252">
        <v>1241</v>
      </c>
      <c r="V1252">
        <v>21</v>
      </c>
      <c r="W1252">
        <v>12.76</v>
      </c>
      <c r="X1252" s="10">
        <v>0.79703252898766186</v>
      </c>
      <c r="Y1252" s="9">
        <v>1875</v>
      </c>
      <c r="Z1252" s="9">
        <v>1445</v>
      </c>
      <c r="AA1252" s="9">
        <v>1860</v>
      </c>
      <c r="AB1252">
        <v>0.96511627906976749</v>
      </c>
      <c r="AC1252" s="11">
        <v>5.8869130313976106</v>
      </c>
      <c r="AD1252" s="9">
        <v>1474.4491525423728</v>
      </c>
      <c r="AE1252" s="8">
        <v>0.20388349514563106</v>
      </c>
    </row>
    <row r="1253" spans="1:31" x14ac:dyDescent="0.35">
      <c r="A1253" s="6" t="s">
        <v>1274</v>
      </c>
      <c r="B1253" s="7">
        <v>1</v>
      </c>
      <c r="C1253" s="7">
        <v>0</v>
      </c>
      <c r="D1253" s="7">
        <v>12</v>
      </c>
      <c r="E1253" s="7">
        <v>5</v>
      </c>
      <c r="F1253">
        <v>554</v>
      </c>
      <c r="G1253">
        <v>19</v>
      </c>
      <c r="H1253">
        <v>3.35</v>
      </c>
      <c r="I1253">
        <v>23</v>
      </c>
      <c r="J1253">
        <v>4.18</v>
      </c>
      <c r="K1253">
        <v>754</v>
      </c>
      <c r="L1253">
        <v>143</v>
      </c>
      <c r="M1253">
        <v>611</v>
      </c>
      <c r="N1253">
        <v>665.07</v>
      </c>
      <c r="O1253">
        <v>3.8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 s="10">
        <v>0.79188213002463315</v>
      </c>
      <c r="Y1253" s="9">
        <v>2950</v>
      </c>
      <c r="Z1253" s="9">
        <v>2220</v>
      </c>
      <c r="AA1253" s="9">
        <v>2730</v>
      </c>
      <c r="AB1253">
        <v>0.69863013698630139</v>
      </c>
      <c r="AC1253" s="11">
        <v>9.6701861628230059</v>
      </c>
      <c r="AD1253" s="9">
        <v>2233.0593220338983</v>
      </c>
      <c r="AE1253" s="8">
        <v>0.19736842105263158</v>
      </c>
    </row>
    <row r="1254" spans="1:31" x14ac:dyDescent="0.35">
      <c r="A1254" s="6" t="s">
        <v>1275</v>
      </c>
      <c r="B1254" s="7">
        <v>4</v>
      </c>
      <c r="C1254" s="7">
        <v>5</v>
      </c>
      <c r="D1254" s="7">
        <v>0</v>
      </c>
      <c r="E1254" s="7">
        <v>9</v>
      </c>
      <c r="F1254">
        <v>3785</v>
      </c>
      <c r="G1254">
        <v>387</v>
      </c>
      <c r="H1254">
        <v>10.24</v>
      </c>
      <c r="I1254">
        <v>379</v>
      </c>
      <c r="J1254">
        <v>10.029999999999999</v>
      </c>
      <c r="K1254">
        <v>5845</v>
      </c>
      <c r="L1254">
        <v>1285</v>
      </c>
      <c r="M1254">
        <v>4560</v>
      </c>
      <c r="N1254">
        <v>5229.53</v>
      </c>
      <c r="O1254">
        <v>8.44</v>
      </c>
      <c r="P1254">
        <v>22.98</v>
      </c>
      <c r="Q1254">
        <v>2.0499999999999998</v>
      </c>
      <c r="R1254">
        <v>2.2999999999999998</v>
      </c>
      <c r="S1254">
        <v>2161</v>
      </c>
      <c r="T1254">
        <v>24174</v>
      </c>
      <c r="U1254">
        <v>21557</v>
      </c>
      <c r="V1254">
        <v>480</v>
      </c>
      <c r="W1254">
        <v>18.59</v>
      </c>
      <c r="X1254" s="10">
        <v>0.5187178289466009</v>
      </c>
      <c r="Y1254" s="9">
        <v>56800</v>
      </c>
      <c r="Z1254" s="9">
        <v>45150</v>
      </c>
      <c r="AA1254" s="9">
        <v>55500</v>
      </c>
      <c r="AB1254">
        <v>0.88841201716738194</v>
      </c>
      <c r="AC1254" s="11">
        <v>118.54820783550987</v>
      </c>
      <c r="AD1254" s="9">
        <v>45695.112994350282</v>
      </c>
      <c r="AE1254" s="8">
        <v>0.14906832298136646</v>
      </c>
    </row>
    <row r="1255" spans="1:31" x14ac:dyDescent="0.35">
      <c r="A1255" s="6" t="s">
        <v>1276</v>
      </c>
      <c r="B1255" s="7">
        <v>1</v>
      </c>
      <c r="C1255" s="7">
        <v>1</v>
      </c>
      <c r="D1255" s="7">
        <v>15</v>
      </c>
      <c r="E1255" s="7">
        <v>1</v>
      </c>
      <c r="F1255">
        <v>689</v>
      </c>
      <c r="G1255">
        <v>-69</v>
      </c>
      <c r="H1255">
        <v>-10.08</v>
      </c>
      <c r="I1255">
        <v>-76</v>
      </c>
      <c r="J1255">
        <v>-11.03</v>
      </c>
      <c r="K1255">
        <v>1372</v>
      </c>
      <c r="L1255">
        <v>637</v>
      </c>
      <c r="M1255">
        <v>734</v>
      </c>
      <c r="N1255">
        <v>638.66</v>
      </c>
      <c r="O1255">
        <v>-13.11</v>
      </c>
      <c r="P1255">
        <v>0</v>
      </c>
      <c r="Q1255">
        <v>2</v>
      </c>
      <c r="R1255">
        <v>1.1200000000000001</v>
      </c>
      <c r="S1255">
        <v>-499</v>
      </c>
      <c r="T1255">
        <v>2525</v>
      </c>
      <c r="U1255">
        <v>4517</v>
      </c>
      <c r="V1255">
        <v>-30</v>
      </c>
      <c r="W1255">
        <v>-43.3</v>
      </c>
      <c r="X1255" s="10">
        <v>0.54143280308949715</v>
      </c>
      <c r="Y1255" s="9">
        <v>5540</v>
      </c>
      <c r="Z1255" s="9">
        <v>4030</v>
      </c>
      <c r="AA1255" s="9">
        <v>4925</v>
      </c>
      <c r="AB1255">
        <v>0.5927152317880795</v>
      </c>
      <c r="AC1255" s="11">
        <v>19.533064740205614</v>
      </c>
      <c r="AD1255" s="9">
        <v>4093.4915254237289</v>
      </c>
      <c r="AE1255" s="8">
        <v>0.12700228832951946</v>
      </c>
    </row>
    <row r="1256" spans="1:31" x14ac:dyDescent="0.35">
      <c r="A1256" s="6" t="s">
        <v>1277</v>
      </c>
      <c r="B1256" s="7">
        <v>8</v>
      </c>
      <c r="C1256" s="7">
        <v>5</v>
      </c>
      <c r="D1256" s="7">
        <v>2</v>
      </c>
      <c r="E1256" s="7">
        <v>3</v>
      </c>
      <c r="F1256">
        <v>5618</v>
      </c>
      <c r="G1256">
        <v>192</v>
      </c>
      <c r="H1256">
        <v>3.41</v>
      </c>
      <c r="I1256">
        <v>478</v>
      </c>
      <c r="J1256">
        <v>8.5</v>
      </c>
      <c r="K1256">
        <v>6989</v>
      </c>
      <c r="L1256">
        <v>1647</v>
      </c>
      <c r="M1256">
        <v>5342</v>
      </c>
      <c r="N1256">
        <v>3054.88</v>
      </c>
      <c r="O1256">
        <v>9.2200000000000006</v>
      </c>
      <c r="P1256">
        <v>12.34</v>
      </c>
      <c r="Q1256">
        <v>1.1399999999999999</v>
      </c>
      <c r="R1256">
        <v>1.05</v>
      </c>
      <c r="S1256">
        <v>1410</v>
      </c>
      <c r="T1256">
        <v>15248</v>
      </c>
      <c r="U1256">
        <v>16588</v>
      </c>
      <c r="V1256">
        <v>370</v>
      </c>
      <c r="W1256">
        <v>15.91</v>
      </c>
      <c r="X1256" s="10">
        <v>0.43200933993893548</v>
      </c>
      <c r="Y1256" s="9">
        <v>20500</v>
      </c>
      <c r="Z1256" s="9">
        <v>17050</v>
      </c>
      <c r="AA1256" s="9">
        <v>18100</v>
      </c>
      <c r="AB1256">
        <v>0.30434782608695654</v>
      </c>
      <c r="AC1256" s="11">
        <v>35.741872742428455</v>
      </c>
      <c r="AD1256" s="9">
        <v>17150.706214689264</v>
      </c>
      <c r="AE1256" s="8">
        <v>1.11731843575419E-2</v>
      </c>
    </row>
    <row r="1257" spans="1:31" x14ac:dyDescent="0.35">
      <c r="A1257" s="6" t="s">
        <v>1278</v>
      </c>
      <c r="B1257" s="7">
        <v>5</v>
      </c>
      <c r="C1257" s="7">
        <v>2</v>
      </c>
      <c r="D1257" s="7">
        <v>3</v>
      </c>
      <c r="E1257" s="7">
        <v>8</v>
      </c>
      <c r="F1257">
        <v>1695</v>
      </c>
      <c r="G1257">
        <v>236</v>
      </c>
      <c r="H1257">
        <v>13.91</v>
      </c>
      <c r="I1257">
        <v>19</v>
      </c>
      <c r="J1257">
        <v>1.1100000000000001</v>
      </c>
      <c r="K1257">
        <v>2869</v>
      </c>
      <c r="L1257">
        <v>502</v>
      </c>
      <c r="M1257">
        <v>2367</v>
      </c>
      <c r="N1257">
        <v>2222.2199999999998</v>
      </c>
      <c r="O1257">
        <v>0.81</v>
      </c>
      <c r="P1257">
        <v>369.57</v>
      </c>
      <c r="Q1257">
        <v>3.11</v>
      </c>
      <c r="R1257">
        <v>4.12</v>
      </c>
      <c r="S1257">
        <v>92</v>
      </c>
      <c r="T1257">
        <v>10942</v>
      </c>
      <c r="U1257">
        <v>8246</v>
      </c>
      <c r="V1257">
        <v>290</v>
      </c>
      <c r="W1257">
        <v>24.2</v>
      </c>
      <c r="X1257" s="10">
        <v>0.15830679604234274</v>
      </c>
      <c r="Y1257" s="9">
        <v>39400</v>
      </c>
      <c r="Z1257" s="9">
        <v>32200</v>
      </c>
      <c r="AA1257" s="9">
        <v>36600</v>
      </c>
      <c r="AB1257">
        <v>0.61111111111111116</v>
      </c>
      <c r="AC1257" s="11">
        <v>-45.23200889135871</v>
      </c>
      <c r="AD1257" s="9">
        <v>37131.242937853101</v>
      </c>
      <c r="AE1257" s="8">
        <v>8.7667161961367007E-2</v>
      </c>
    </row>
    <row r="1258" spans="1:31" x14ac:dyDescent="0.35">
      <c r="A1258" s="6" t="s">
        <v>1279</v>
      </c>
      <c r="B1258" s="7">
        <v>8</v>
      </c>
      <c r="C1258" s="7">
        <v>6</v>
      </c>
      <c r="D1258" s="7">
        <v>2</v>
      </c>
      <c r="E1258" s="7">
        <v>2</v>
      </c>
      <c r="F1258">
        <v>16198</v>
      </c>
      <c r="G1258">
        <v>1541</v>
      </c>
      <c r="H1258">
        <v>9.51</v>
      </c>
      <c r="I1258">
        <v>1046</v>
      </c>
      <c r="J1258">
        <v>6.46</v>
      </c>
      <c r="K1258">
        <v>13319</v>
      </c>
      <c r="L1258">
        <v>4856</v>
      </c>
      <c r="M1258">
        <v>8463</v>
      </c>
      <c r="N1258">
        <v>5173.88</v>
      </c>
      <c r="O1258">
        <v>12.86</v>
      </c>
      <c r="P1258">
        <v>23</v>
      </c>
      <c r="Q1258">
        <v>8.2799999999999994</v>
      </c>
      <c r="R1258">
        <v>1.49</v>
      </c>
      <c r="S1258">
        <v>3095</v>
      </c>
      <c r="T1258">
        <v>8604</v>
      </c>
      <c r="U1258">
        <v>47910</v>
      </c>
      <c r="V1258">
        <v>2932</v>
      </c>
      <c r="W1258">
        <v>9.66</v>
      </c>
      <c r="X1258" s="10">
        <v>0.44703986061286261</v>
      </c>
      <c r="Y1258" s="9">
        <v>82300</v>
      </c>
      <c r="Z1258" s="9">
        <v>67500</v>
      </c>
      <c r="AA1258" s="9">
        <v>80000</v>
      </c>
      <c r="AB1258">
        <v>0.84459459459459463</v>
      </c>
      <c r="AC1258" s="11">
        <v>168.74687413170324</v>
      </c>
      <c r="AD1258" s="9">
        <v>71493.220338983054</v>
      </c>
      <c r="AE1258" s="8">
        <v>0.11731843575418995</v>
      </c>
    </row>
    <row r="1259" spans="1:31" x14ac:dyDescent="0.35">
      <c r="A1259" s="6" t="s">
        <v>1280</v>
      </c>
      <c r="B1259" s="7">
        <v>3</v>
      </c>
      <c r="C1259" s="7">
        <v>1</v>
      </c>
      <c r="D1259" s="7">
        <v>13</v>
      </c>
      <c r="E1259" s="7">
        <v>1</v>
      </c>
      <c r="F1259">
        <v>1819</v>
      </c>
      <c r="G1259">
        <v>98</v>
      </c>
      <c r="H1259">
        <v>5.37</v>
      </c>
      <c r="I1259">
        <v>39</v>
      </c>
      <c r="J1259">
        <v>2.13</v>
      </c>
      <c r="K1259">
        <v>1361</v>
      </c>
      <c r="L1259">
        <v>724</v>
      </c>
      <c r="M1259">
        <v>636</v>
      </c>
      <c r="N1259">
        <v>438.57</v>
      </c>
      <c r="O1259">
        <v>5.98</v>
      </c>
      <c r="P1259">
        <v>17.7</v>
      </c>
      <c r="Q1259">
        <v>1.1499999999999999</v>
      </c>
      <c r="R1259">
        <v>0.38</v>
      </c>
      <c r="S1259">
        <v>63</v>
      </c>
      <c r="T1259">
        <v>969</v>
      </c>
      <c r="U1259">
        <v>2957</v>
      </c>
      <c r="V1259">
        <v>129</v>
      </c>
      <c r="W1259">
        <v>7</v>
      </c>
      <c r="X1259" s="10">
        <v>0.60018743866088964</v>
      </c>
      <c r="Y1259" s="9">
        <v>1465</v>
      </c>
      <c r="Z1259" s="9">
        <v>1085</v>
      </c>
      <c r="AA1259" s="9">
        <v>1465</v>
      </c>
      <c r="AB1259">
        <v>1</v>
      </c>
      <c r="AC1259" s="11">
        <v>4.9824951375382058</v>
      </c>
      <c r="AD1259" s="9">
        <v>1080.2005649717514</v>
      </c>
      <c r="AE1259" s="8">
        <v>0.34403669724770641</v>
      </c>
    </row>
    <row r="1260" spans="1:31" x14ac:dyDescent="0.35">
      <c r="A1260" s="6" t="s">
        <v>1281</v>
      </c>
      <c r="B1260" s="7">
        <v>6</v>
      </c>
      <c r="C1260" s="7">
        <v>8</v>
      </c>
      <c r="D1260" s="7">
        <v>4</v>
      </c>
      <c r="E1260" s="7">
        <v>0</v>
      </c>
      <c r="F1260">
        <v>2019</v>
      </c>
      <c r="G1260">
        <v>86</v>
      </c>
      <c r="H1260">
        <v>4.24</v>
      </c>
      <c r="I1260">
        <v>103</v>
      </c>
      <c r="J1260">
        <v>5.09</v>
      </c>
      <c r="K1260">
        <v>1265</v>
      </c>
      <c r="L1260">
        <v>400</v>
      </c>
      <c r="M1260">
        <v>865</v>
      </c>
      <c r="N1260">
        <v>1730.91</v>
      </c>
      <c r="O1260">
        <v>12.36</v>
      </c>
      <c r="P1260">
        <v>8</v>
      </c>
      <c r="Q1260">
        <v>1.25</v>
      </c>
      <c r="R1260">
        <v>0.41</v>
      </c>
      <c r="S1260">
        <v>1222</v>
      </c>
      <c r="T1260">
        <v>7803</v>
      </c>
      <c r="U1260">
        <v>24010</v>
      </c>
      <c r="V1260">
        <v>99</v>
      </c>
      <c r="W1260">
        <v>10.76</v>
      </c>
      <c r="X1260" s="10">
        <v>0.43764334579104924</v>
      </c>
      <c r="Y1260" s="9">
        <v>11000</v>
      </c>
      <c r="Z1260" s="9">
        <v>9260</v>
      </c>
      <c r="AA1260" s="9">
        <v>10750</v>
      </c>
      <c r="AB1260">
        <v>0.85632183908045978</v>
      </c>
      <c r="AC1260" s="11">
        <v>16.533759377604888</v>
      </c>
      <c r="AD1260" s="9">
        <v>9394.5536723163841</v>
      </c>
      <c r="AE1260" s="8">
        <v>8.5858585858585856E-2</v>
      </c>
    </row>
    <row r="1261" spans="1:31" x14ac:dyDescent="0.35">
      <c r="A1261" s="6" t="s">
        <v>1282</v>
      </c>
      <c r="B1261" s="7">
        <v>4</v>
      </c>
      <c r="C1261" s="7">
        <v>8</v>
      </c>
      <c r="D1261" s="7">
        <v>1</v>
      </c>
      <c r="E1261" s="7">
        <v>5</v>
      </c>
      <c r="F1261">
        <v>442</v>
      </c>
      <c r="G1261">
        <v>2</v>
      </c>
      <c r="H1261">
        <v>0.35</v>
      </c>
      <c r="I1261">
        <v>85</v>
      </c>
      <c r="J1261">
        <v>19.309999999999999</v>
      </c>
      <c r="K1261">
        <v>1146</v>
      </c>
      <c r="L1261">
        <v>386</v>
      </c>
      <c r="M1261">
        <v>760</v>
      </c>
      <c r="N1261">
        <v>1315.85</v>
      </c>
      <c r="O1261">
        <v>11.86</v>
      </c>
      <c r="P1261">
        <v>8.67</v>
      </c>
      <c r="Q1261">
        <v>1.04</v>
      </c>
      <c r="R1261">
        <v>1.67</v>
      </c>
      <c r="S1261">
        <v>795</v>
      </c>
      <c r="T1261">
        <v>6597</v>
      </c>
      <c r="U1261">
        <v>4119</v>
      </c>
      <c r="V1261">
        <v>39</v>
      </c>
      <c r="W1261">
        <v>20.190000000000001</v>
      </c>
      <c r="X1261" s="10">
        <v>0.76976239017301551</v>
      </c>
      <c r="Y1261" s="9">
        <v>12950</v>
      </c>
      <c r="Z1261" s="9">
        <v>6190</v>
      </c>
      <c r="AA1261" s="9">
        <v>12950</v>
      </c>
      <c r="AB1261">
        <v>1</v>
      </c>
      <c r="AC1261" s="11">
        <v>73.553209224784666</v>
      </c>
      <c r="AD1261" s="9">
        <v>5537.2937853107342</v>
      </c>
      <c r="AE1261" s="8">
        <v>0.93862275449101795</v>
      </c>
    </row>
    <row r="1262" spans="1:31" x14ac:dyDescent="0.35">
      <c r="A1262" s="6" t="s">
        <v>1283</v>
      </c>
      <c r="B1262" s="7">
        <v>11</v>
      </c>
      <c r="C1262" s="7">
        <v>1</v>
      </c>
      <c r="D1262" s="7">
        <v>5</v>
      </c>
      <c r="E1262" s="7">
        <v>1</v>
      </c>
      <c r="F1262">
        <v>1185</v>
      </c>
      <c r="G1262">
        <v>78</v>
      </c>
      <c r="H1262">
        <v>6.56</v>
      </c>
      <c r="I1262">
        <v>52</v>
      </c>
      <c r="J1262">
        <v>4.3499999999999996</v>
      </c>
      <c r="K1262">
        <v>728</v>
      </c>
      <c r="L1262">
        <v>341</v>
      </c>
      <c r="M1262">
        <v>387</v>
      </c>
      <c r="N1262">
        <v>560.03</v>
      </c>
      <c r="O1262">
        <v>14.6</v>
      </c>
      <c r="P1262">
        <v>13.2</v>
      </c>
      <c r="Q1262">
        <v>2.21</v>
      </c>
      <c r="R1262">
        <v>0.56999999999999995</v>
      </c>
      <c r="S1262">
        <v>431</v>
      </c>
      <c r="T1262">
        <v>2574</v>
      </c>
      <c r="U1262">
        <v>9913</v>
      </c>
      <c r="V1262">
        <v>94</v>
      </c>
      <c r="W1262">
        <v>7.3</v>
      </c>
      <c r="X1262" s="10">
        <v>0.63139393447409853</v>
      </c>
      <c r="Y1262" s="9">
        <v>7500</v>
      </c>
      <c r="Z1262" s="9">
        <v>5510</v>
      </c>
      <c r="AA1262" s="9">
        <v>6750</v>
      </c>
      <c r="AB1262">
        <v>0.62311557788944727</v>
      </c>
      <c r="AC1262" s="11">
        <v>27.879966657404839</v>
      </c>
      <c r="AD1262" s="9">
        <v>5670.3276836158193</v>
      </c>
      <c r="AE1262" s="8">
        <v>0.22504537205081671</v>
      </c>
    </row>
    <row r="1263" spans="1:31" x14ac:dyDescent="0.35">
      <c r="A1263" s="6" t="s">
        <v>1284</v>
      </c>
      <c r="B1263" s="7">
        <v>1</v>
      </c>
      <c r="C1263" s="7">
        <v>10</v>
      </c>
      <c r="D1263" s="7">
        <v>1</v>
      </c>
      <c r="E1263" s="7">
        <v>6</v>
      </c>
      <c r="F1263">
        <v>920</v>
      </c>
      <c r="G1263">
        <v>37</v>
      </c>
      <c r="H1263">
        <v>4.05</v>
      </c>
      <c r="I1263">
        <v>-11</v>
      </c>
      <c r="J1263">
        <v>-1.23</v>
      </c>
      <c r="K1263">
        <v>776</v>
      </c>
      <c r="L1263">
        <v>506</v>
      </c>
      <c r="M1263">
        <v>270</v>
      </c>
      <c r="N1263">
        <v>580.36</v>
      </c>
      <c r="O1263">
        <v>-4.1100000000000003</v>
      </c>
      <c r="P1263">
        <v>0</v>
      </c>
      <c r="Q1263">
        <v>0.6</v>
      </c>
      <c r="R1263">
        <v>0.16</v>
      </c>
      <c r="S1263">
        <v>-142</v>
      </c>
      <c r="T1263">
        <v>3139</v>
      </c>
      <c r="U1263">
        <v>11487</v>
      </c>
      <c r="V1263">
        <v>67</v>
      </c>
      <c r="W1263">
        <v>5.67</v>
      </c>
      <c r="X1263" s="10">
        <v>0.66836007393289132</v>
      </c>
      <c r="Y1263" s="9">
        <v>4460</v>
      </c>
      <c r="Z1263" s="9">
        <v>1835</v>
      </c>
      <c r="AA1263" s="9">
        <v>3040</v>
      </c>
      <c r="AB1263">
        <v>0.45904761904761904</v>
      </c>
      <c r="AC1263" s="11">
        <v>30.973048068908032</v>
      </c>
      <c r="AD1263" s="9">
        <v>1578.4887005649716</v>
      </c>
      <c r="AE1263" s="8">
        <v>0.60846560846560849</v>
      </c>
    </row>
    <row r="1264" spans="1:31" x14ac:dyDescent="0.35">
      <c r="A1264" s="6" t="s">
        <v>1285</v>
      </c>
      <c r="B1264" s="7">
        <v>2</v>
      </c>
      <c r="C1264" s="7">
        <v>9</v>
      </c>
      <c r="D1264" s="7">
        <v>2</v>
      </c>
      <c r="E1264" s="7">
        <v>5</v>
      </c>
      <c r="F1264">
        <v>55</v>
      </c>
      <c r="G1264">
        <v>-41</v>
      </c>
      <c r="H1264">
        <v>-75.010000000000005</v>
      </c>
      <c r="I1264">
        <v>-101</v>
      </c>
      <c r="J1264">
        <v>-183.69</v>
      </c>
      <c r="K1264">
        <v>314</v>
      </c>
      <c r="L1264">
        <v>97</v>
      </c>
      <c r="M1264">
        <v>218</v>
      </c>
      <c r="N1264">
        <v>102.9</v>
      </c>
      <c r="O1264">
        <v>-60.75</v>
      </c>
      <c r="P1264">
        <v>0</v>
      </c>
      <c r="Q1264">
        <v>2.31</v>
      </c>
      <c r="R1264">
        <v>5.84</v>
      </c>
      <c r="S1264">
        <v>-676</v>
      </c>
      <c r="T1264">
        <v>932</v>
      </c>
      <c r="U1264">
        <v>368</v>
      </c>
      <c r="V1264">
        <v>-36</v>
      </c>
      <c r="W1264">
        <v>-8.67</v>
      </c>
      <c r="X1264" s="10">
        <v>0.57851684131067216</v>
      </c>
      <c r="Y1264" s="9">
        <v>2470</v>
      </c>
      <c r="Z1264" s="9">
        <v>1935</v>
      </c>
      <c r="AA1264" s="9">
        <v>2360</v>
      </c>
      <c r="AB1264">
        <v>0.79439252336448596</v>
      </c>
      <c r="AC1264" s="11">
        <v>5.5729369269241458</v>
      </c>
      <c r="AD1264" s="9">
        <v>2027.0254237288136</v>
      </c>
      <c r="AE1264" s="8">
        <v>0.107981220657277</v>
      </c>
    </row>
    <row r="1265" spans="1:31" x14ac:dyDescent="0.35">
      <c r="A1265" s="6" t="s">
        <v>1286</v>
      </c>
      <c r="B1265" s="7">
        <v>5</v>
      </c>
      <c r="C1265" s="7">
        <v>2</v>
      </c>
      <c r="D1265" s="7">
        <v>1</v>
      </c>
      <c r="E1265" s="7">
        <v>10</v>
      </c>
      <c r="F1265">
        <v>876</v>
      </c>
      <c r="G1265">
        <v>13</v>
      </c>
      <c r="H1265">
        <v>1.45</v>
      </c>
      <c r="I1265">
        <v>4</v>
      </c>
      <c r="J1265">
        <v>0.4</v>
      </c>
      <c r="K1265">
        <v>958</v>
      </c>
      <c r="L1265">
        <v>491</v>
      </c>
      <c r="M1265">
        <v>466</v>
      </c>
      <c r="N1265">
        <v>494.91</v>
      </c>
      <c r="O1265">
        <v>0.76</v>
      </c>
      <c r="P1265">
        <v>81.14</v>
      </c>
      <c r="Q1265">
        <v>0.63</v>
      </c>
      <c r="R1265">
        <v>0.32</v>
      </c>
      <c r="S1265">
        <v>22</v>
      </c>
      <c r="T1265">
        <v>2836</v>
      </c>
      <c r="U1265">
        <v>5601</v>
      </c>
      <c r="V1265">
        <v>36</v>
      </c>
      <c r="W1265">
        <v>15.21</v>
      </c>
      <c r="X1265" s="10">
        <v>0.21836544666294316</v>
      </c>
      <c r="Y1265" s="9">
        <v>2195</v>
      </c>
      <c r="Z1265" s="9">
        <v>1730</v>
      </c>
      <c r="AA1265" s="9">
        <v>1835</v>
      </c>
      <c r="AB1265">
        <v>0.22580645161290322</v>
      </c>
      <c r="AC1265" s="11">
        <v>2.0807168657960546</v>
      </c>
      <c r="AD1265" s="9">
        <v>1746.4548022598872</v>
      </c>
      <c r="AE1265" s="8">
        <v>1.9444444444444445E-2</v>
      </c>
    </row>
    <row r="1266" spans="1:31" x14ac:dyDescent="0.35">
      <c r="A1266" s="6" t="s">
        <v>1287</v>
      </c>
      <c r="B1266" s="7">
        <v>13</v>
      </c>
      <c r="C1266" s="7">
        <v>2</v>
      </c>
      <c r="D1266" s="7">
        <v>1</v>
      </c>
      <c r="E1266" s="7">
        <v>2</v>
      </c>
      <c r="F1266">
        <v>1245</v>
      </c>
      <c r="G1266">
        <v>56</v>
      </c>
      <c r="H1266">
        <v>4.53</v>
      </c>
      <c r="I1266">
        <v>30</v>
      </c>
      <c r="J1266">
        <v>2.41</v>
      </c>
      <c r="K1266">
        <v>1347</v>
      </c>
      <c r="L1266">
        <v>651</v>
      </c>
      <c r="M1266">
        <v>695</v>
      </c>
      <c r="N1266">
        <v>759.14</v>
      </c>
      <c r="O1266">
        <v>4.6399999999999997</v>
      </c>
      <c r="P1266">
        <v>26.34</v>
      </c>
      <c r="Q1266">
        <v>1.36</v>
      </c>
      <c r="R1266">
        <v>0.64</v>
      </c>
      <c r="S1266">
        <v>205</v>
      </c>
      <c r="T1266">
        <v>3979</v>
      </c>
      <c r="U1266">
        <v>8476</v>
      </c>
      <c r="V1266">
        <v>84</v>
      </c>
      <c r="W1266">
        <v>14.76</v>
      </c>
      <c r="X1266" s="10">
        <v>0.48327043537913328</v>
      </c>
      <c r="Y1266" s="9">
        <v>6020</v>
      </c>
      <c r="Z1266" s="9">
        <v>5060</v>
      </c>
      <c r="AA1266" s="9">
        <v>5650</v>
      </c>
      <c r="AB1266">
        <v>0.61458333333333337</v>
      </c>
      <c r="AC1266" s="11">
        <v>8.9024729091414283</v>
      </c>
      <c r="AD1266" s="9">
        <v>5329.8079096045194</v>
      </c>
      <c r="AE1266" s="8">
        <v>1.618705035971223E-2</v>
      </c>
    </row>
    <row r="1267" spans="1:31" x14ac:dyDescent="0.35">
      <c r="A1267" s="6" t="s">
        <v>1288</v>
      </c>
      <c r="B1267" s="7">
        <v>6</v>
      </c>
      <c r="C1267" s="7">
        <v>3</v>
      </c>
      <c r="D1267" s="7">
        <v>7</v>
      </c>
      <c r="E1267" s="7">
        <v>2</v>
      </c>
      <c r="F1267">
        <v>835</v>
      </c>
      <c r="G1267">
        <v>28</v>
      </c>
      <c r="H1267">
        <v>3.36</v>
      </c>
      <c r="I1267">
        <v>11</v>
      </c>
      <c r="J1267">
        <v>1.26</v>
      </c>
      <c r="K1267">
        <v>625</v>
      </c>
      <c r="L1267">
        <v>404</v>
      </c>
      <c r="M1267">
        <v>221</v>
      </c>
      <c r="N1267">
        <v>-38.67</v>
      </c>
      <c r="O1267">
        <v>4.9400000000000004</v>
      </c>
      <c r="P1267">
        <v>54.75</v>
      </c>
      <c r="Q1267">
        <v>2.9</v>
      </c>
      <c r="R1267">
        <v>0.75</v>
      </c>
      <c r="S1267">
        <v>8</v>
      </c>
      <c r="T1267">
        <v>151</v>
      </c>
      <c r="U1267">
        <v>581</v>
      </c>
      <c r="V1267">
        <v>47</v>
      </c>
      <c r="W1267">
        <v>12.37</v>
      </c>
      <c r="X1267" s="10">
        <v>0.84578744532658989</v>
      </c>
      <c r="Y1267" s="9">
        <v>741</v>
      </c>
      <c r="Z1267" s="9">
        <v>419</v>
      </c>
      <c r="AA1267" s="9">
        <v>741</v>
      </c>
      <c r="AB1267">
        <v>1</v>
      </c>
      <c r="AC1267" s="11">
        <v>4.3769658238399565</v>
      </c>
      <c r="AD1267" s="9">
        <v>379.58587570621467</v>
      </c>
      <c r="AE1267" s="8">
        <v>0.69178082191780821</v>
      </c>
    </row>
    <row r="1268" spans="1:31" x14ac:dyDescent="0.35">
      <c r="A1268" s="6" t="s">
        <v>1289</v>
      </c>
      <c r="B1268" s="7">
        <v>0</v>
      </c>
      <c r="C1268" s="7">
        <v>4</v>
      </c>
      <c r="D1268" s="7">
        <v>14</v>
      </c>
      <c r="E1268" s="7">
        <v>0</v>
      </c>
      <c r="F1268">
        <v>501</v>
      </c>
      <c r="G1268">
        <v>-118</v>
      </c>
      <c r="H1268">
        <v>-23.54</v>
      </c>
      <c r="I1268">
        <v>-101</v>
      </c>
      <c r="J1268">
        <v>-20.21</v>
      </c>
      <c r="K1268">
        <v>846</v>
      </c>
      <c r="L1268">
        <v>423</v>
      </c>
      <c r="M1268">
        <v>423</v>
      </c>
      <c r="N1268">
        <v>731.31</v>
      </c>
      <c r="O1268">
        <v>-21.13</v>
      </c>
      <c r="P1268">
        <v>0</v>
      </c>
      <c r="Q1268">
        <v>0.41</v>
      </c>
      <c r="R1268">
        <v>0.34</v>
      </c>
      <c r="S1268">
        <v>-995</v>
      </c>
      <c r="T1268">
        <v>4057</v>
      </c>
      <c r="U1268">
        <v>4922</v>
      </c>
      <c r="V1268">
        <v>-116</v>
      </c>
      <c r="W1268">
        <v>-2.62</v>
      </c>
      <c r="X1268" s="10">
        <v>0.60564591556770531</v>
      </c>
      <c r="Y1268" s="9">
        <v>4375</v>
      </c>
      <c r="Z1268" s="9">
        <v>1525</v>
      </c>
      <c r="AA1268" s="9">
        <v>2975</v>
      </c>
      <c r="AB1268">
        <v>0.50877192982456143</v>
      </c>
      <c r="AC1268" s="11">
        <v>29.770908585718256</v>
      </c>
      <c r="AD1268" s="9">
        <v>1211.0706214689267</v>
      </c>
      <c r="AE1268" s="8">
        <v>0.76035502958579881</v>
      </c>
    </row>
    <row r="1269" spans="1:31" x14ac:dyDescent="0.35">
      <c r="A1269" s="6" t="s">
        <v>1290</v>
      </c>
      <c r="B1269" s="7">
        <v>2</v>
      </c>
      <c r="C1269" s="7">
        <v>2</v>
      </c>
      <c r="D1269" s="7">
        <v>2</v>
      </c>
      <c r="E1269" s="7">
        <v>12</v>
      </c>
      <c r="F1269">
        <v>155</v>
      </c>
      <c r="G1269">
        <v>-33</v>
      </c>
      <c r="H1269">
        <v>-21.29</v>
      </c>
      <c r="I1269">
        <v>-37</v>
      </c>
      <c r="J1269">
        <v>-24.08</v>
      </c>
      <c r="K1269">
        <v>112</v>
      </c>
      <c r="L1269">
        <v>74</v>
      </c>
      <c r="M1269">
        <v>38</v>
      </c>
      <c r="N1269">
        <v>-11.36</v>
      </c>
      <c r="O1269">
        <v>-69.42</v>
      </c>
      <c r="P1269">
        <v>0</v>
      </c>
      <c r="Q1269">
        <v>4.41</v>
      </c>
      <c r="R1269">
        <v>1.01</v>
      </c>
      <c r="S1269">
        <v>-438</v>
      </c>
      <c r="T1269">
        <v>415</v>
      </c>
      <c r="U1269">
        <v>1820</v>
      </c>
      <c r="V1269">
        <v>-31</v>
      </c>
      <c r="W1269">
        <v>-6.55</v>
      </c>
      <c r="X1269" s="10">
        <v>0.61213259190491909</v>
      </c>
      <c r="Y1269" s="9">
        <v>4200</v>
      </c>
      <c r="Z1269" s="9">
        <v>1685</v>
      </c>
      <c r="AA1269" s="9">
        <v>3095</v>
      </c>
      <c r="AB1269">
        <v>0.56063618290258455</v>
      </c>
      <c r="AC1269" s="11">
        <v>36.412058905251456</v>
      </c>
      <c r="AD1269" s="9">
        <v>1447.4322033898306</v>
      </c>
      <c r="AE1269" s="8">
        <v>0.65951742627345844</v>
      </c>
    </row>
    <row r="1270" spans="1:31" x14ac:dyDescent="0.35">
      <c r="A1270" s="6" t="s">
        <v>1291</v>
      </c>
      <c r="B1270" s="7">
        <v>9</v>
      </c>
      <c r="C1270" s="7">
        <v>8</v>
      </c>
      <c r="D1270" s="7">
        <v>0</v>
      </c>
      <c r="E1270" s="7">
        <v>1</v>
      </c>
      <c r="F1270">
        <v>664</v>
      </c>
      <c r="G1270">
        <v>106</v>
      </c>
      <c r="H1270">
        <v>15.98</v>
      </c>
      <c r="I1270">
        <v>106</v>
      </c>
      <c r="J1270">
        <v>15.95</v>
      </c>
      <c r="K1270">
        <v>473</v>
      </c>
      <c r="L1270">
        <v>102</v>
      </c>
      <c r="M1270">
        <v>371</v>
      </c>
      <c r="N1270">
        <v>1741.2</v>
      </c>
      <c r="O1270">
        <v>43.91</v>
      </c>
      <c r="P1270">
        <v>6.22</v>
      </c>
      <c r="Q1270">
        <v>2.56</v>
      </c>
      <c r="R1270">
        <v>0.99</v>
      </c>
      <c r="S1270">
        <v>3543</v>
      </c>
      <c r="T1270">
        <v>8616</v>
      </c>
      <c r="U1270">
        <v>22209</v>
      </c>
      <c r="V1270">
        <v>113</v>
      </c>
      <c r="W1270">
        <v>7.81</v>
      </c>
      <c r="X1270" s="10">
        <v>4.7252845109300008E-2</v>
      </c>
      <c r="Y1270" s="9">
        <v>29000</v>
      </c>
      <c r="Z1270" s="9">
        <v>19500</v>
      </c>
      <c r="AA1270" s="9">
        <v>25500</v>
      </c>
      <c r="AB1270">
        <v>0.63157894736842102</v>
      </c>
      <c r="AC1270" s="11">
        <v>31.517088080022216</v>
      </c>
      <c r="AD1270" s="9">
        <v>23815.39548022599</v>
      </c>
      <c r="AE1270" s="8">
        <v>0.25925925925925924</v>
      </c>
    </row>
    <row r="1271" spans="1:31" x14ac:dyDescent="0.35">
      <c r="A1271" s="6" t="s">
        <v>1292</v>
      </c>
      <c r="B1271" s="7">
        <v>10</v>
      </c>
      <c r="C1271" s="7">
        <v>5</v>
      </c>
      <c r="D1271" s="7">
        <v>1</v>
      </c>
      <c r="E1271" s="7">
        <v>2</v>
      </c>
      <c r="F1271">
        <v>117</v>
      </c>
      <c r="G1271">
        <v>8</v>
      </c>
      <c r="H1271">
        <v>7.25</v>
      </c>
      <c r="I1271">
        <v>-21</v>
      </c>
      <c r="J1271">
        <v>-18.13</v>
      </c>
      <c r="K1271">
        <v>470</v>
      </c>
      <c r="L1271">
        <v>158</v>
      </c>
      <c r="M1271">
        <v>312</v>
      </c>
      <c r="N1271">
        <v>-6.78</v>
      </c>
      <c r="O1271">
        <v>-9.19</v>
      </c>
      <c r="P1271">
        <v>0</v>
      </c>
      <c r="Q1271">
        <v>0.54</v>
      </c>
      <c r="R1271">
        <v>1.0900000000000001</v>
      </c>
      <c r="S1271">
        <v>-211</v>
      </c>
      <c r="T1271">
        <v>2326</v>
      </c>
      <c r="U1271">
        <v>1164</v>
      </c>
      <c r="V1271">
        <v>12</v>
      </c>
      <c r="W1271">
        <v>19.440000000000001</v>
      </c>
      <c r="X1271" s="10">
        <v>0.59030485378966169</v>
      </c>
      <c r="Y1271" s="9">
        <v>2065</v>
      </c>
      <c r="Z1271" s="9">
        <v>1350</v>
      </c>
      <c r="AA1271" s="9">
        <v>1730</v>
      </c>
      <c r="AB1271">
        <v>0.53146853146853146</v>
      </c>
      <c r="AC1271" s="11">
        <v>8.7875798833009178</v>
      </c>
      <c r="AD1271" s="9">
        <v>1402.7288135593221</v>
      </c>
      <c r="AE1271" s="8">
        <v>0.2814814814814815</v>
      </c>
    </row>
    <row r="1272" spans="1:31" x14ac:dyDescent="0.35">
      <c r="A1272" s="6" t="s">
        <v>1293</v>
      </c>
      <c r="B1272" s="7">
        <v>1</v>
      </c>
      <c r="C1272" s="7">
        <v>1</v>
      </c>
      <c r="D1272" s="7">
        <v>1</v>
      </c>
      <c r="E1272" s="7">
        <v>15</v>
      </c>
      <c r="F1272">
        <v>3985</v>
      </c>
      <c r="G1272">
        <v>34</v>
      </c>
      <c r="H1272">
        <v>0.85</v>
      </c>
      <c r="I1272">
        <v>14</v>
      </c>
      <c r="J1272">
        <v>0.35</v>
      </c>
      <c r="K1272">
        <v>2114</v>
      </c>
      <c r="L1272">
        <v>484</v>
      </c>
      <c r="M1272">
        <v>1630</v>
      </c>
      <c r="N1272">
        <v>2472.34</v>
      </c>
      <c r="O1272">
        <v>0.85</v>
      </c>
      <c r="P1272">
        <v>209.91</v>
      </c>
      <c r="Q1272">
        <v>1.86</v>
      </c>
      <c r="R1272">
        <v>0.73</v>
      </c>
      <c r="S1272">
        <v>111</v>
      </c>
      <c r="T1272">
        <v>12546</v>
      </c>
      <c r="U1272">
        <v>31868</v>
      </c>
      <c r="V1272">
        <v>81</v>
      </c>
      <c r="W1272">
        <v>36.68</v>
      </c>
      <c r="X1272" s="10">
        <v>0.82226568409909351</v>
      </c>
      <c r="Y1272" s="9">
        <v>33000</v>
      </c>
      <c r="Z1272" s="9">
        <v>21200</v>
      </c>
      <c r="AA1272" s="9">
        <v>30050</v>
      </c>
      <c r="AB1272">
        <v>0.75</v>
      </c>
      <c r="AC1272" s="11">
        <v>207.24645734926366</v>
      </c>
      <c r="AD1272" s="9">
        <v>19847.316384180791</v>
      </c>
      <c r="AE1272" s="8">
        <v>0.32378854625550663</v>
      </c>
    </row>
    <row r="1273" spans="1:31" x14ac:dyDescent="0.35">
      <c r="A1273" s="6" t="s">
        <v>1294</v>
      </c>
      <c r="B1273" s="7">
        <v>8</v>
      </c>
      <c r="C1273" s="7">
        <v>2</v>
      </c>
      <c r="D1273" s="7">
        <v>0</v>
      </c>
      <c r="E1273" s="7">
        <v>8</v>
      </c>
      <c r="F1273">
        <v>1678</v>
      </c>
      <c r="G1273">
        <v>276</v>
      </c>
      <c r="H1273">
        <v>16.46</v>
      </c>
      <c r="I1273">
        <v>242</v>
      </c>
      <c r="J1273">
        <v>14.39</v>
      </c>
      <c r="K1273">
        <v>3532</v>
      </c>
      <c r="L1273">
        <v>266</v>
      </c>
      <c r="M1273">
        <v>3266</v>
      </c>
      <c r="N1273">
        <v>2931.31</v>
      </c>
      <c r="O1273">
        <v>7.62</v>
      </c>
      <c r="P1273">
        <v>10.199999999999999</v>
      </c>
      <c r="Q1273">
        <v>0.87</v>
      </c>
      <c r="R1273">
        <v>1.47</v>
      </c>
      <c r="S1273">
        <v>12617</v>
      </c>
      <c r="T1273">
        <v>147118</v>
      </c>
      <c r="U1273">
        <v>87660</v>
      </c>
      <c r="V1273">
        <v>319</v>
      </c>
      <c r="W1273">
        <v>8.94</v>
      </c>
      <c r="X1273" s="10">
        <v>0.36741018525836927</v>
      </c>
      <c r="Y1273" s="9">
        <v>129300</v>
      </c>
      <c r="Z1273" s="9">
        <v>115100</v>
      </c>
      <c r="AA1273" s="9">
        <v>116900</v>
      </c>
      <c r="AB1273">
        <v>0.12676056338028169</v>
      </c>
      <c r="AC1273" s="11">
        <v>-99.522089469297043</v>
      </c>
      <c r="AD1273" s="9">
        <v>120822.09039548023</v>
      </c>
      <c r="AE1273" s="8">
        <v>-5.3441295546558708E-2</v>
      </c>
    </row>
    <row r="1274" spans="1:31" x14ac:dyDescent="0.35">
      <c r="A1274" s="6" t="s">
        <v>1295</v>
      </c>
      <c r="B1274" s="7">
        <v>9</v>
      </c>
      <c r="C1274" s="7">
        <v>2</v>
      </c>
      <c r="D1274" s="7">
        <v>6</v>
      </c>
      <c r="E1274" s="7">
        <v>1</v>
      </c>
      <c r="F1274">
        <v>2849</v>
      </c>
      <c r="G1274">
        <v>183</v>
      </c>
      <c r="H1274">
        <v>6.42</v>
      </c>
      <c r="I1274">
        <v>101</v>
      </c>
      <c r="J1274">
        <v>3.56</v>
      </c>
      <c r="K1274">
        <v>3599</v>
      </c>
      <c r="L1274">
        <v>2161</v>
      </c>
      <c r="M1274">
        <v>1438</v>
      </c>
      <c r="N1274">
        <v>1177.44</v>
      </c>
      <c r="O1274">
        <v>7.39</v>
      </c>
      <c r="P1274">
        <v>9.51</v>
      </c>
      <c r="Q1274">
        <v>0.78</v>
      </c>
      <c r="R1274">
        <v>0.34</v>
      </c>
      <c r="S1274">
        <v>462</v>
      </c>
      <c r="T1274">
        <v>5617</v>
      </c>
      <c r="U1274">
        <v>12973</v>
      </c>
      <c r="V1274">
        <v>266</v>
      </c>
      <c r="W1274">
        <v>8.4700000000000006</v>
      </c>
      <c r="X1274" s="10">
        <v>6.4639236968839303E-2</v>
      </c>
      <c r="Y1274" s="9">
        <v>4680</v>
      </c>
      <c r="Z1274" s="9">
        <v>4025</v>
      </c>
      <c r="AA1274" s="9">
        <v>4025</v>
      </c>
      <c r="AB1274">
        <v>0</v>
      </c>
      <c r="AC1274" s="11">
        <v>-2.4515143095304253</v>
      </c>
      <c r="AD1274" s="9">
        <v>4406.7711864406783</v>
      </c>
      <c r="AE1274" s="8">
        <v>-9.3468468468468471E-2</v>
      </c>
    </row>
    <row r="1275" spans="1:31" x14ac:dyDescent="0.35">
      <c r="A1275" s="6" t="s">
        <v>1296</v>
      </c>
      <c r="B1275" s="7">
        <v>2</v>
      </c>
      <c r="C1275" s="7">
        <v>6</v>
      </c>
      <c r="D1275" s="7">
        <v>5</v>
      </c>
      <c r="E1275" s="7">
        <v>5</v>
      </c>
      <c r="F1275">
        <v>44</v>
      </c>
      <c r="G1275">
        <v>-22</v>
      </c>
      <c r="H1275">
        <v>-48.84</v>
      </c>
      <c r="I1275">
        <v>-41</v>
      </c>
      <c r="J1275">
        <v>-92.96</v>
      </c>
      <c r="K1275">
        <v>370</v>
      </c>
      <c r="L1275">
        <v>81</v>
      </c>
      <c r="M1275">
        <v>289</v>
      </c>
      <c r="N1275">
        <v>122.98</v>
      </c>
      <c r="O1275">
        <v>-27.53</v>
      </c>
      <c r="P1275">
        <v>0</v>
      </c>
      <c r="Q1275">
        <v>2.39</v>
      </c>
      <c r="R1275">
        <v>8.85</v>
      </c>
      <c r="S1275">
        <v>-189</v>
      </c>
      <c r="T1275">
        <v>755</v>
      </c>
      <c r="U1275">
        <v>204</v>
      </c>
      <c r="V1275">
        <v>-20</v>
      </c>
      <c r="W1275">
        <v>-35.24</v>
      </c>
      <c r="X1275" s="10">
        <v>0.12230284005514507</v>
      </c>
      <c r="Y1275" s="9">
        <v>744</v>
      </c>
      <c r="Z1275" s="9">
        <v>506</v>
      </c>
      <c r="AA1275" s="9">
        <v>506</v>
      </c>
      <c r="AB1275">
        <v>0</v>
      </c>
      <c r="AC1275" s="11">
        <v>-1.2326757432620175</v>
      </c>
      <c r="AD1275" s="9">
        <v>627.52994350282484</v>
      </c>
      <c r="AE1275" s="8">
        <v>-0.14671163575042159</v>
      </c>
    </row>
    <row r="1276" spans="1:31" x14ac:dyDescent="0.35">
      <c r="A1276" s="6" t="s">
        <v>1297</v>
      </c>
      <c r="B1276" s="7">
        <v>8</v>
      </c>
      <c r="C1276" s="7">
        <v>1</v>
      </c>
      <c r="D1276" s="7">
        <v>3</v>
      </c>
      <c r="E1276" s="7">
        <v>6</v>
      </c>
      <c r="F1276">
        <v>119</v>
      </c>
      <c r="G1276">
        <v>25</v>
      </c>
      <c r="H1276">
        <v>21.01</v>
      </c>
      <c r="I1276">
        <v>26</v>
      </c>
      <c r="J1276">
        <v>22.14</v>
      </c>
      <c r="K1276">
        <v>401</v>
      </c>
      <c r="L1276">
        <v>27</v>
      </c>
      <c r="M1276">
        <v>375</v>
      </c>
      <c r="N1276">
        <v>1149.17</v>
      </c>
      <c r="O1276">
        <v>9.6</v>
      </c>
      <c r="P1276">
        <v>26.36</v>
      </c>
      <c r="Q1276">
        <v>2.48</v>
      </c>
      <c r="R1276">
        <v>5.84</v>
      </c>
      <c r="S1276">
        <v>588</v>
      </c>
      <c r="T1276">
        <v>6246</v>
      </c>
      <c r="U1276">
        <v>2655</v>
      </c>
      <c r="V1276">
        <v>33</v>
      </c>
      <c r="W1276">
        <v>27.79</v>
      </c>
      <c r="X1276" s="10">
        <v>0.77994455961879294</v>
      </c>
      <c r="Y1276" s="9">
        <v>33200</v>
      </c>
      <c r="Z1276" s="9">
        <v>12000</v>
      </c>
      <c r="AA1276" s="9">
        <v>28750</v>
      </c>
      <c r="AB1276">
        <v>0.79009433962264153</v>
      </c>
      <c r="AC1276" s="11">
        <v>273.39677688246735</v>
      </c>
      <c r="AD1276" s="9">
        <v>14415.564971751413</v>
      </c>
      <c r="AE1276" s="8">
        <v>1.3958333333333333</v>
      </c>
    </row>
    <row r="1277" spans="1:31" x14ac:dyDescent="0.35">
      <c r="A1277" s="6" t="s">
        <v>1298</v>
      </c>
      <c r="B1277" s="7">
        <v>5</v>
      </c>
      <c r="C1277" s="7">
        <v>9</v>
      </c>
      <c r="D1277" s="7">
        <v>3</v>
      </c>
      <c r="E1277" s="7">
        <v>1</v>
      </c>
      <c r="F1277">
        <v>847</v>
      </c>
      <c r="G1277">
        <v>27</v>
      </c>
      <c r="H1277">
        <v>3.23</v>
      </c>
      <c r="I1277">
        <v>9</v>
      </c>
      <c r="J1277">
        <v>1.1100000000000001</v>
      </c>
      <c r="K1277">
        <v>1008</v>
      </c>
      <c r="L1277">
        <v>442</v>
      </c>
      <c r="M1277">
        <v>567</v>
      </c>
      <c r="N1277">
        <v>173.06</v>
      </c>
      <c r="O1277">
        <v>1.69</v>
      </c>
      <c r="P1277">
        <v>44.35</v>
      </c>
      <c r="Q1277">
        <v>0.76</v>
      </c>
      <c r="R1277">
        <v>0.5</v>
      </c>
      <c r="S1277">
        <v>23</v>
      </c>
      <c r="T1277">
        <v>1340</v>
      </c>
      <c r="U1277">
        <v>2040</v>
      </c>
      <c r="V1277">
        <v>80</v>
      </c>
      <c r="W1277">
        <v>8.39</v>
      </c>
      <c r="X1277" s="10">
        <v>0.46246714538916056</v>
      </c>
      <c r="Y1277" s="9">
        <v>1515</v>
      </c>
      <c r="Z1277" s="9">
        <v>988</v>
      </c>
      <c r="AA1277" s="9">
        <v>1355</v>
      </c>
      <c r="AB1277">
        <v>0.69639468690702089</v>
      </c>
      <c r="AC1277" s="11">
        <v>5.6564323423173093</v>
      </c>
      <c r="AD1277" s="9">
        <v>1071.6954802259888</v>
      </c>
      <c r="AE1277" s="8">
        <v>0.32195121951219513</v>
      </c>
    </row>
    <row r="1278" spans="1:31" x14ac:dyDescent="0.35">
      <c r="A1278" s="6" t="s">
        <v>1299</v>
      </c>
      <c r="B1278" s="7">
        <v>5</v>
      </c>
      <c r="C1278" s="7">
        <v>11</v>
      </c>
      <c r="D1278" s="7">
        <v>1</v>
      </c>
      <c r="E1278" s="7">
        <v>1</v>
      </c>
      <c r="F1278">
        <v>288</v>
      </c>
      <c r="G1278">
        <v>1</v>
      </c>
      <c r="H1278">
        <v>0.22</v>
      </c>
      <c r="I1278">
        <v>-13</v>
      </c>
      <c r="J1278">
        <v>-4.6399999999999997</v>
      </c>
      <c r="K1278">
        <v>422</v>
      </c>
      <c r="L1278">
        <v>254</v>
      </c>
      <c r="M1278">
        <v>168</v>
      </c>
      <c r="N1278">
        <v>33.130000000000003</v>
      </c>
      <c r="O1278">
        <v>-11.4</v>
      </c>
      <c r="P1278">
        <v>0</v>
      </c>
      <c r="Q1278">
        <v>10.44</v>
      </c>
      <c r="R1278">
        <v>4.2300000000000004</v>
      </c>
      <c r="S1278">
        <v>-71</v>
      </c>
      <c r="T1278">
        <v>613</v>
      </c>
      <c r="U1278">
        <v>1513</v>
      </c>
      <c r="V1278">
        <v>19</v>
      </c>
      <c r="W1278">
        <v>98.29</v>
      </c>
      <c r="X1278" s="10">
        <v>0.7612376751661073</v>
      </c>
      <c r="Y1278" s="9">
        <v>16750</v>
      </c>
      <c r="Z1278" s="9">
        <v>7630</v>
      </c>
      <c r="AA1278" s="9">
        <v>14050</v>
      </c>
      <c r="AB1278">
        <v>0.70394736842105265</v>
      </c>
      <c r="AC1278" s="11">
        <v>159.58599611003058</v>
      </c>
      <c r="AD1278" s="9">
        <v>7274.6271186440672</v>
      </c>
      <c r="AE1278" s="8">
        <v>0.82230869001297013</v>
      </c>
    </row>
    <row r="1279" spans="1:31" x14ac:dyDescent="0.35">
      <c r="A1279" s="6" t="s">
        <v>1300</v>
      </c>
      <c r="B1279" s="7">
        <v>12</v>
      </c>
      <c r="C1279" s="7">
        <v>2</v>
      </c>
      <c r="D1279" s="7">
        <v>1</v>
      </c>
      <c r="E1279" s="7">
        <v>3</v>
      </c>
      <c r="F1279">
        <v>1985</v>
      </c>
      <c r="G1279">
        <v>38</v>
      </c>
      <c r="H1279">
        <v>1.9</v>
      </c>
      <c r="I1279">
        <v>16</v>
      </c>
      <c r="J1279">
        <v>0.79</v>
      </c>
      <c r="K1279">
        <v>1694</v>
      </c>
      <c r="L1279">
        <v>1022</v>
      </c>
      <c r="M1279">
        <v>672</v>
      </c>
      <c r="N1279">
        <v>1243.98</v>
      </c>
      <c r="O1279">
        <v>2.33</v>
      </c>
      <c r="P1279">
        <v>30.51</v>
      </c>
      <c r="Q1279">
        <v>0.73</v>
      </c>
      <c r="R1279">
        <v>0.24</v>
      </c>
      <c r="S1279">
        <v>156</v>
      </c>
      <c r="T1279">
        <v>6520</v>
      </c>
      <c r="U1279">
        <v>19851</v>
      </c>
      <c r="V1279">
        <v>132</v>
      </c>
      <c r="W1279">
        <v>7.22</v>
      </c>
      <c r="X1279" s="10">
        <v>0.65217548455315988</v>
      </c>
      <c r="Y1279" s="9">
        <v>5400</v>
      </c>
      <c r="Z1279" s="9">
        <v>4530</v>
      </c>
      <c r="AA1279" s="9">
        <v>5030</v>
      </c>
      <c r="AB1279">
        <v>0.57471264367816088</v>
      </c>
      <c r="AC1279" s="11">
        <v>11.474993053626008</v>
      </c>
      <c r="AD1279" s="9">
        <v>4655.9293785310738</v>
      </c>
      <c r="AE1279" s="8">
        <v>3.9256198347107439E-2</v>
      </c>
    </row>
    <row r="1280" spans="1:31" x14ac:dyDescent="0.35">
      <c r="A1280" s="6" t="s">
        <v>1301</v>
      </c>
      <c r="B1280" s="7">
        <v>10</v>
      </c>
      <c r="C1280" s="7">
        <v>5</v>
      </c>
      <c r="D1280" s="7">
        <v>0</v>
      </c>
      <c r="E1280" s="7">
        <v>3</v>
      </c>
      <c r="F1280">
        <v>1785</v>
      </c>
      <c r="G1280">
        <v>67</v>
      </c>
      <c r="H1280">
        <v>3.74</v>
      </c>
      <c r="I1280">
        <v>70</v>
      </c>
      <c r="J1280">
        <v>3.9</v>
      </c>
      <c r="K1280">
        <v>996</v>
      </c>
      <c r="L1280">
        <v>342</v>
      </c>
      <c r="M1280">
        <v>654</v>
      </c>
      <c r="N1280">
        <v>874.43</v>
      </c>
      <c r="O1280">
        <v>11.09</v>
      </c>
      <c r="P1280">
        <v>9.6999999999999993</v>
      </c>
      <c r="Q1280">
        <v>1.1000000000000001</v>
      </c>
      <c r="R1280">
        <v>0.38</v>
      </c>
      <c r="S1280">
        <v>536</v>
      </c>
      <c r="T1280">
        <v>4734</v>
      </c>
      <c r="U1280">
        <v>13728</v>
      </c>
      <c r="V1280">
        <v>78</v>
      </c>
      <c r="W1280">
        <v>9.02</v>
      </c>
      <c r="X1280" s="10">
        <v>0.15004068767319362</v>
      </c>
      <c r="Y1280" s="9">
        <v>6300</v>
      </c>
      <c r="Z1280" s="9">
        <v>5100</v>
      </c>
      <c r="AA1280" s="9">
        <v>5510</v>
      </c>
      <c r="AB1280">
        <v>0.34166666666666667</v>
      </c>
      <c r="AC1280" s="11">
        <v>6.4476243400944711</v>
      </c>
      <c r="AD1280" s="9">
        <v>5363.8474576271183</v>
      </c>
      <c r="AE1280" s="8">
        <v>8.0392156862745104E-2</v>
      </c>
    </row>
    <row r="1281" spans="1:31" x14ac:dyDescent="0.35">
      <c r="A1281" s="6" t="s">
        <v>1302</v>
      </c>
      <c r="B1281" s="7">
        <v>10</v>
      </c>
      <c r="C1281" s="7">
        <v>1</v>
      </c>
      <c r="D1281" s="7">
        <v>5</v>
      </c>
      <c r="E1281" s="7">
        <v>2</v>
      </c>
      <c r="F1281">
        <v>97</v>
      </c>
      <c r="G1281">
        <v>47</v>
      </c>
      <c r="H1281">
        <v>48.64</v>
      </c>
      <c r="I1281">
        <v>39</v>
      </c>
      <c r="J1281">
        <v>39.75</v>
      </c>
      <c r="K1281">
        <v>545</v>
      </c>
      <c r="L1281">
        <v>38</v>
      </c>
      <c r="M1281">
        <v>507</v>
      </c>
      <c r="N1281">
        <v>111.16</v>
      </c>
      <c r="O1281">
        <v>8.19</v>
      </c>
      <c r="P1281">
        <v>15.11</v>
      </c>
      <c r="Q1281">
        <v>1.28</v>
      </c>
      <c r="R1281">
        <v>6</v>
      </c>
      <c r="S1281">
        <v>87</v>
      </c>
      <c r="T1281">
        <v>1028</v>
      </c>
      <c r="U1281">
        <v>219</v>
      </c>
      <c r="V1281">
        <v>0</v>
      </c>
      <c r="W1281">
        <v>0</v>
      </c>
      <c r="X1281" s="10">
        <v>0.60836209496505911</v>
      </c>
      <c r="Y1281" s="9">
        <v>1740</v>
      </c>
      <c r="Z1281" s="9">
        <v>1300</v>
      </c>
      <c r="AA1281" s="9">
        <v>1625</v>
      </c>
      <c r="AB1281">
        <v>0.73863636363636365</v>
      </c>
      <c r="AC1281" s="11">
        <v>5.8287024173381514</v>
      </c>
      <c r="AD1281" s="9">
        <v>1377.1412429378531</v>
      </c>
      <c r="AE1281" s="8">
        <v>0.23574144486692014</v>
      </c>
    </row>
    <row r="1282" spans="1:31" x14ac:dyDescent="0.35">
      <c r="A1282" s="6" t="s">
        <v>1303</v>
      </c>
      <c r="B1282" s="7">
        <v>1</v>
      </c>
      <c r="C1282" s="7">
        <v>8</v>
      </c>
      <c r="D1282" s="7">
        <v>2</v>
      </c>
      <c r="E1282" s="7">
        <v>7</v>
      </c>
      <c r="F1282">
        <v>1505</v>
      </c>
      <c r="G1282">
        <v>77</v>
      </c>
      <c r="H1282">
        <v>5.13</v>
      </c>
      <c r="I1282">
        <v>-196</v>
      </c>
      <c r="J1282">
        <v>-13</v>
      </c>
      <c r="K1282">
        <v>1945</v>
      </c>
      <c r="L1282">
        <v>1398</v>
      </c>
      <c r="M1282">
        <v>547</v>
      </c>
      <c r="N1282">
        <v>130.93</v>
      </c>
      <c r="O1282">
        <v>-31.92</v>
      </c>
      <c r="P1282">
        <v>0</v>
      </c>
      <c r="Q1282">
        <v>2.11</v>
      </c>
      <c r="R1282">
        <v>0.55000000000000004</v>
      </c>
      <c r="S1282">
        <v>-412</v>
      </c>
      <c r="T1282">
        <v>822</v>
      </c>
      <c r="U1282">
        <v>3170</v>
      </c>
      <c r="V1282">
        <v>380</v>
      </c>
      <c r="W1282">
        <v>5.23</v>
      </c>
      <c r="X1282" s="10">
        <v>2.4216944226843691E-3</v>
      </c>
      <c r="Y1282" s="9">
        <v>2255</v>
      </c>
      <c r="Z1282" s="9">
        <v>1665</v>
      </c>
      <c r="AA1282" s="9">
        <v>1700</v>
      </c>
      <c r="AB1282">
        <v>5.9322033898305086E-2</v>
      </c>
      <c r="AC1282" s="11">
        <v>-0.43303695470964154</v>
      </c>
      <c r="AD1282" s="9">
        <v>1883.457627118644</v>
      </c>
      <c r="AE1282" s="8">
        <v>0</v>
      </c>
    </row>
    <row r="1283" spans="1:31" x14ac:dyDescent="0.35">
      <c r="A1283" s="6" t="s">
        <v>1304</v>
      </c>
      <c r="B1283" s="7">
        <v>3</v>
      </c>
      <c r="C1283" s="7">
        <v>5</v>
      </c>
      <c r="D1283" s="7">
        <v>5</v>
      </c>
      <c r="E1283" s="7">
        <v>5</v>
      </c>
      <c r="F1283">
        <v>1184</v>
      </c>
      <c r="G1283">
        <v>-27</v>
      </c>
      <c r="H1283">
        <v>-2.2599999999999998</v>
      </c>
      <c r="I1283">
        <v>-259</v>
      </c>
      <c r="J1283">
        <v>-21.83</v>
      </c>
      <c r="K1283">
        <v>348</v>
      </c>
      <c r="L1283">
        <v>311</v>
      </c>
      <c r="M1283">
        <v>37</v>
      </c>
      <c r="N1283">
        <v>-3.03</v>
      </c>
      <c r="O1283">
        <v>-186.55</v>
      </c>
      <c r="P1283">
        <v>0</v>
      </c>
      <c r="Q1283">
        <v>0</v>
      </c>
      <c r="R1283">
        <v>0.14000000000000001</v>
      </c>
      <c r="S1283">
        <v>-1515</v>
      </c>
      <c r="T1283">
        <v>-113</v>
      </c>
      <c r="U1283">
        <v>9653</v>
      </c>
      <c r="V1283">
        <v>223</v>
      </c>
      <c r="W1283">
        <v>1.87</v>
      </c>
      <c r="X1283" s="10">
        <v>0.50420684481865874</v>
      </c>
      <c r="Y1283" s="9">
        <v>1525</v>
      </c>
      <c r="Z1283" s="9">
        <v>1000</v>
      </c>
      <c r="AA1283" s="9">
        <v>1075</v>
      </c>
      <c r="AB1283">
        <v>0.14285714285714285</v>
      </c>
      <c r="AC1283" s="11">
        <v>-5.3949708252292314</v>
      </c>
      <c r="AD1283" s="9">
        <v>1392.1299435028247</v>
      </c>
      <c r="AE1283" s="8">
        <v>-6.9264069264069264E-2</v>
      </c>
    </row>
    <row r="1284" spans="1:31" x14ac:dyDescent="0.35">
      <c r="A1284" s="6" t="s">
        <v>1305</v>
      </c>
      <c r="B1284" s="7">
        <v>0</v>
      </c>
      <c r="C1284" s="7">
        <v>1</v>
      </c>
      <c r="D1284" s="7">
        <v>14</v>
      </c>
      <c r="E1284" s="7">
        <v>3</v>
      </c>
      <c r="F1284">
        <v>158</v>
      </c>
      <c r="G1284">
        <v>-5</v>
      </c>
      <c r="H1284">
        <v>-3.28</v>
      </c>
      <c r="I1284">
        <v>-5</v>
      </c>
      <c r="J1284">
        <v>-3.35</v>
      </c>
      <c r="K1284">
        <v>209</v>
      </c>
      <c r="L1284">
        <v>26</v>
      </c>
      <c r="M1284">
        <v>183</v>
      </c>
      <c r="N1284">
        <v>153.05000000000001</v>
      </c>
      <c r="O1284">
        <v>-2.85</v>
      </c>
      <c r="P1284">
        <v>0</v>
      </c>
      <c r="Q1284">
        <v>0.7</v>
      </c>
      <c r="R1284">
        <v>0.77</v>
      </c>
      <c r="S1284">
        <v>-37</v>
      </c>
      <c r="T1284">
        <v>1206</v>
      </c>
      <c r="U1284">
        <v>1092</v>
      </c>
      <c r="V1284">
        <v>-1</v>
      </c>
      <c r="W1284">
        <v>-107.93</v>
      </c>
      <c r="X1284" s="10">
        <v>0.65566993792579975</v>
      </c>
      <c r="Y1284" s="9">
        <v>1600</v>
      </c>
      <c r="Z1284" s="9">
        <v>825</v>
      </c>
      <c r="AA1284" s="9">
        <v>1500</v>
      </c>
      <c r="AB1284">
        <v>0.87096774193548387</v>
      </c>
      <c r="AC1284" s="11">
        <v>8.9470686301750479</v>
      </c>
      <c r="AD1284" s="9">
        <v>700.83107344632776</v>
      </c>
      <c r="AE1284" s="8">
        <v>0.73611111111111116</v>
      </c>
    </row>
    <row r="1285" spans="1:31" x14ac:dyDescent="0.35">
      <c r="A1285" s="6" t="s">
        <v>1306</v>
      </c>
      <c r="B1285" s="7">
        <v>4</v>
      </c>
      <c r="C1285" s="7">
        <v>8</v>
      </c>
      <c r="D1285" s="7">
        <v>6</v>
      </c>
      <c r="E1285" s="7">
        <v>0</v>
      </c>
      <c r="F1285">
        <v>170</v>
      </c>
      <c r="G1285">
        <v>5</v>
      </c>
      <c r="H1285">
        <v>2.77</v>
      </c>
      <c r="I1285">
        <v>23</v>
      </c>
      <c r="J1285">
        <v>13.31</v>
      </c>
      <c r="K1285">
        <v>772</v>
      </c>
      <c r="L1285">
        <v>434</v>
      </c>
      <c r="M1285">
        <v>338</v>
      </c>
      <c r="N1285">
        <v>659.88</v>
      </c>
      <c r="O1285">
        <v>6.91</v>
      </c>
      <c r="P1285">
        <v>38.74</v>
      </c>
      <c r="Q1285">
        <v>8.4700000000000006</v>
      </c>
      <c r="R1285">
        <v>5.17</v>
      </c>
      <c r="S1285">
        <v>254</v>
      </c>
      <c r="T1285">
        <v>1162</v>
      </c>
      <c r="U1285">
        <v>1905</v>
      </c>
      <c r="V1285">
        <v>12</v>
      </c>
      <c r="W1285">
        <v>96.56</v>
      </c>
      <c r="X1285" s="10">
        <v>0.60731532381598885</v>
      </c>
      <c r="Y1285" s="9">
        <v>13450</v>
      </c>
      <c r="Z1285" s="9">
        <v>9130</v>
      </c>
      <c r="AA1285" s="9">
        <v>11500</v>
      </c>
      <c r="AB1285">
        <v>0.54861111111111116</v>
      </c>
      <c r="AC1285" s="11">
        <v>54.486246179494302</v>
      </c>
      <c r="AD1285" s="9">
        <v>8953.1694915254229</v>
      </c>
      <c r="AE1285" s="8">
        <v>0.16869918699186992</v>
      </c>
    </row>
    <row r="1286" spans="1:31" x14ac:dyDescent="0.35">
      <c r="A1286" s="6" t="s">
        <v>1307</v>
      </c>
      <c r="B1286" s="7">
        <v>4</v>
      </c>
      <c r="C1286" s="7">
        <v>11</v>
      </c>
      <c r="D1286" s="7">
        <v>2</v>
      </c>
      <c r="E1286" s="7">
        <v>1</v>
      </c>
      <c r="F1286">
        <v>832</v>
      </c>
      <c r="G1286">
        <v>72</v>
      </c>
      <c r="H1286">
        <v>8.67</v>
      </c>
      <c r="I1286">
        <v>15</v>
      </c>
      <c r="J1286">
        <v>1.8</v>
      </c>
      <c r="K1286">
        <v>1855</v>
      </c>
      <c r="L1286">
        <v>1089</v>
      </c>
      <c r="M1286">
        <v>766</v>
      </c>
      <c r="N1286">
        <v>992.69</v>
      </c>
      <c r="O1286">
        <v>1.98</v>
      </c>
      <c r="P1286">
        <v>70.56</v>
      </c>
      <c r="Q1286">
        <v>1.9</v>
      </c>
      <c r="R1286">
        <v>1.27</v>
      </c>
      <c r="S1286">
        <v>107</v>
      </c>
      <c r="T1286">
        <v>3977</v>
      </c>
      <c r="U1286">
        <v>5935</v>
      </c>
      <c r="V1286">
        <v>214</v>
      </c>
      <c r="W1286">
        <v>9.35</v>
      </c>
      <c r="X1286" s="10">
        <v>0.7344246395999583</v>
      </c>
      <c r="Y1286" s="9">
        <v>9940</v>
      </c>
      <c r="Z1286" s="9">
        <v>7230</v>
      </c>
      <c r="AA1286" s="9">
        <v>9440</v>
      </c>
      <c r="AB1286">
        <v>0.81549815498154976</v>
      </c>
      <c r="AC1286" s="11">
        <v>38.384551264240066</v>
      </c>
      <c r="AD1286" s="9">
        <v>7056.2711864406774</v>
      </c>
      <c r="AE1286" s="8">
        <v>0.2569906790945406</v>
      </c>
    </row>
    <row r="1287" spans="1:31" x14ac:dyDescent="0.35">
      <c r="A1287" s="6" t="s">
        <v>1308</v>
      </c>
      <c r="B1287" s="7">
        <v>7</v>
      </c>
      <c r="C1287" s="7">
        <v>3</v>
      </c>
      <c r="D1287" s="7">
        <v>6</v>
      </c>
      <c r="E1287" s="7">
        <v>2</v>
      </c>
      <c r="F1287">
        <v>6139</v>
      </c>
      <c r="G1287">
        <v>29</v>
      </c>
      <c r="H1287">
        <v>0.47</v>
      </c>
      <c r="I1287">
        <v>34</v>
      </c>
      <c r="J1287">
        <v>0.56000000000000005</v>
      </c>
      <c r="K1287">
        <v>2810</v>
      </c>
      <c r="L1287">
        <v>1736</v>
      </c>
      <c r="M1287">
        <v>1074</v>
      </c>
      <c r="N1287">
        <v>902.38</v>
      </c>
      <c r="O1287">
        <v>3.28</v>
      </c>
      <c r="P1287">
        <v>14.23</v>
      </c>
      <c r="Q1287">
        <v>0.51</v>
      </c>
      <c r="R1287">
        <v>0.08</v>
      </c>
      <c r="S1287">
        <v>175</v>
      </c>
      <c r="T1287">
        <v>4881</v>
      </c>
      <c r="U1287">
        <v>31365</v>
      </c>
      <c r="V1287">
        <v>213</v>
      </c>
      <c r="W1287">
        <v>4.04</v>
      </c>
      <c r="X1287" s="10">
        <v>0.79096742485689431</v>
      </c>
      <c r="Y1287" s="9">
        <v>3130</v>
      </c>
      <c r="Z1287" s="9">
        <v>2490</v>
      </c>
      <c r="AA1287" s="9">
        <v>2995</v>
      </c>
      <c r="AB1287">
        <v>0.7890625</v>
      </c>
      <c r="AC1287" s="11">
        <v>9.6721311475409824</v>
      </c>
      <c r="AD1287" s="9">
        <v>2487.6666666666665</v>
      </c>
      <c r="AE1287" s="8">
        <v>0.17913385826771652</v>
      </c>
    </row>
    <row r="1288" spans="1:31" x14ac:dyDescent="0.35">
      <c r="A1288" s="6" t="s">
        <v>1309</v>
      </c>
      <c r="B1288" s="7">
        <v>4</v>
      </c>
      <c r="C1288" s="7">
        <v>1</v>
      </c>
      <c r="D1288" s="7">
        <v>6</v>
      </c>
      <c r="E1288" s="7">
        <v>7</v>
      </c>
      <c r="F1288">
        <v>323</v>
      </c>
      <c r="G1288">
        <v>28</v>
      </c>
      <c r="H1288">
        <v>8.6300000000000008</v>
      </c>
      <c r="I1288">
        <v>31</v>
      </c>
      <c r="J1288">
        <v>9.7200000000000006</v>
      </c>
      <c r="K1288">
        <v>523</v>
      </c>
      <c r="L1288">
        <v>107</v>
      </c>
      <c r="M1288">
        <v>416</v>
      </c>
      <c r="N1288">
        <v>629.97</v>
      </c>
      <c r="O1288">
        <v>7.82</v>
      </c>
      <c r="P1288">
        <v>9.66</v>
      </c>
      <c r="Q1288">
        <v>0.75</v>
      </c>
      <c r="R1288">
        <v>0.94</v>
      </c>
      <c r="S1288">
        <v>277</v>
      </c>
      <c r="T1288">
        <v>3573</v>
      </c>
      <c r="U1288">
        <v>2844</v>
      </c>
      <c r="V1288">
        <v>32</v>
      </c>
      <c r="W1288">
        <v>9.67</v>
      </c>
      <c r="X1288" s="10">
        <v>0.38193562542844045</v>
      </c>
      <c r="Y1288" s="9">
        <v>2910</v>
      </c>
      <c r="Z1288" s="9">
        <v>2465</v>
      </c>
      <c r="AA1288" s="9">
        <v>2700</v>
      </c>
      <c r="AB1288">
        <v>0.5280898876404494</v>
      </c>
      <c r="AC1288" s="11">
        <v>4.0803000833564882</v>
      </c>
      <c r="AD1288" s="9">
        <v>2562.0508474576272</v>
      </c>
      <c r="AE1288" s="8">
        <v>9.3457943925233638E-3</v>
      </c>
    </row>
    <row r="1289" spans="1:31" x14ac:dyDescent="0.35">
      <c r="A1289" s="6" t="s">
        <v>1310</v>
      </c>
      <c r="B1289" s="7">
        <v>11</v>
      </c>
      <c r="C1289" s="7">
        <v>0</v>
      </c>
      <c r="D1289" s="7">
        <v>2</v>
      </c>
      <c r="E1289" s="7">
        <v>5</v>
      </c>
      <c r="F1289">
        <v>666</v>
      </c>
      <c r="G1289">
        <v>52</v>
      </c>
      <c r="H1289">
        <v>7.86</v>
      </c>
      <c r="I1289">
        <v>30</v>
      </c>
      <c r="J1289">
        <v>4.5599999999999996</v>
      </c>
      <c r="K1289">
        <v>933</v>
      </c>
      <c r="L1289">
        <v>469</v>
      </c>
      <c r="M1289">
        <v>464</v>
      </c>
      <c r="N1289">
        <v>594.4</v>
      </c>
      <c r="O1289">
        <v>6.86</v>
      </c>
      <c r="P1289">
        <v>10.71</v>
      </c>
      <c r="Q1289">
        <v>0.89</v>
      </c>
      <c r="R1289">
        <v>0.49</v>
      </c>
      <c r="S1289">
        <v>245</v>
      </c>
      <c r="T1289">
        <v>2959</v>
      </c>
      <c r="U1289">
        <v>5374</v>
      </c>
      <c r="V1289">
        <v>88</v>
      </c>
      <c r="W1289">
        <v>7.24</v>
      </c>
      <c r="X1289" s="10">
        <v>0.25977622501723857</v>
      </c>
      <c r="Y1289" s="9">
        <v>3295</v>
      </c>
      <c r="Z1289" s="9">
        <v>2575</v>
      </c>
      <c r="AA1289" s="9">
        <v>3150</v>
      </c>
      <c r="AB1289">
        <v>0.79861111111111116</v>
      </c>
      <c r="AC1289" s="11">
        <v>4.3405112531258681</v>
      </c>
      <c r="AD1289" s="9">
        <v>2690.3644067796608</v>
      </c>
      <c r="AE1289" s="8">
        <v>0.22330097087378642</v>
      </c>
    </row>
    <row r="1290" spans="1:31" x14ac:dyDescent="0.35">
      <c r="A1290" s="6" t="s">
        <v>1311</v>
      </c>
      <c r="B1290" s="7">
        <v>3</v>
      </c>
      <c r="C1290" s="7">
        <v>13</v>
      </c>
      <c r="D1290" s="7">
        <v>1</v>
      </c>
      <c r="E1290" s="7">
        <v>1</v>
      </c>
      <c r="F1290">
        <v>323</v>
      </c>
      <c r="G1290">
        <v>96</v>
      </c>
      <c r="H1290">
        <v>29.65</v>
      </c>
      <c r="I1290">
        <v>67</v>
      </c>
      <c r="J1290">
        <v>20.83</v>
      </c>
      <c r="K1290">
        <v>638</v>
      </c>
      <c r="L1290">
        <v>94</v>
      </c>
      <c r="M1290">
        <v>545</v>
      </c>
      <c r="N1290">
        <v>1628.66</v>
      </c>
      <c r="O1290">
        <v>21.31</v>
      </c>
      <c r="P1290">
        <v>16.47</v>
      </c>
      <c r="Q1290">
        <v>2.74</v>
      </c>
      <c r="R1290">
        <v>3.42</v>
      </c>
      <c r="S1290">
        <v>1342</v>
      </c>
      <c r="T1290">
        <v>8076</v>
      </c>
      <c r="U1290">
        <v>6455</v>
      </c>
      <c r="V1290">
        <v>110</v>
      </c>
      <c r="W1290">
        <v>12.67</v>
      </c>
      <c r="X1290" s="10">
        <v>0.76159736869883377</v>
      </c>
      <c r="Y1290" s="9">
        <v>23950</v>
      </c>
      <c r="Z1290" s="9">
        <v>11016</v>
      </c>
      <c r="AA1290" s="9">
        <v>23950</v>
      </c>
      <c r="AB1290">
        <v>1</v>
      </c>
      <c r="AC1290" s="11">
        <v>143.24134481800502</v>
      </c>
      <c r="AD1290" s="9">
        <v>10922.305649717513</v>
      </c>
      <c r="AE1290" s="8">
        <v>1.1741103848946985</v>
      </c>
    </row>
    <row r="1291" spans="1:31" x14ac:dyDescent="0.35">
      <c r="A1291" s="6" t="s">
        <v>1312</v>
      </c>
      <c r="B1291" s="7">
        <v>0</v>
      </c>
      <c r="C1291" s="7">
        <v>0</v>
      </c>
      <c r="D1291" s="7">
        <v>14</v>
      </c>
      <c r="E1291" s="7">
        <v>4</v>
      </c>
      <c r="F1291">
        <v>327</v>
      </c>
      <c r="G1291">
        <v>-45</v>
      </c>
      <c r="H1291">
        <v>-13.9</v>
      </c>
      <c r="I1291">
        <v>-162</v>
      </c>
      <c r="J1291">
        <v>-49.69</v>
      </c>
      <c r="K1291">
        <v>1128</v>
      </c>
      <c r="L1291">
        <v>501</v>
      </c>
      <c r="M1291">
        <v>627</v>
      </c>
      <c r="N1291">
        <v>191.62</v>
      </c>
      <c r="O1291">
        <v>-23.06</v>
      </c>
      <c r="P1291">
        <v>0</v>
      </c>
      <c r="Q1291">
        <v>1.37</v>
      </c>
      <c r="R1291">
        <v>2.2599999999999998</v>
      </c>
      <c r="S1291">
        <v>-378</v>
      </c>
      <c r="T1291">
        <v>1260</v>
      </c>
      <c r="U1291">
        <v>761</v>
      </c>
      <c r="V1291">
        <v>-35</v>
      </c>
      <c r="W1291">
        <v>-28.75</v>
      </c>
      <c r="X1291" s="10">
        <v>0.57376547632151065</v>
      </c>
      <c r="Y1291" s="9">
        <v>2100</v>
      </c>
      <c r="Z1291" s="9">
        <v>1675</v>
      </c>
      <c r="AA1291" s="9">
        <v>1790</v>
      </c>
      <c r="AB1291">
        <v>0.27058823529411763</v>
      </c>
      <c r="AC1291" s="11">
        <v>5.2000555709919434</v>
      </c>
      <c r="AD1291" s="9">
        <v>1659.0649717514125</v>
      </c>
      <c r="AE1291" s="8">
        <v>4.9853372434017593E-2</v>
      </c>
    </row>
    <row r="1292" spans="1:31" x14ac:dyDescent="0.35">
      <c r="A1292" s="6" t="s">
        <v>1313</v>
      </c>
      <c r="B1292" s="7">
        <v>9</v>
      </c>
      <c r="C1292" s="7">
        <v>5</v>
      </c>
      <c r="D1292" s="7">
        <v>0</v>
      </c>
      <c r="E1292" s="7">
        <v>4</v>
      </c>
      <c r="F1292">
        <v>689</v>
      </c>
      <c r="G1292">
        <v>25</v>
      </c>
      <c r="H1292">
        <v>3.69</v>
      </c>
      <c r="I1292">
        <v>13</v>
      </c>
      <c r="J1292">
        <v>1.93</v>
      </c>
      <c r="K1292">
        <v>596</v>
      </c>
      <c r="L1292">
        <v>256</v>
      </c>
      <c r="M1292">
        <v>340</v>
      </c>
      <c r="N1292">
        <v>104.98</v>
      </c>
      <c r="O1292">
        <v>4.38</v>
      </c>
      <c r="P1292">
        <v>32.5</v>
      </c>
      <c r="Q1292">
        <v>1.61</v>
      </c>
      <c r="R1292">
        <v>0.63</v>
      </c>
      <c r="S1292">
        <v>48</v>
      </c>
      <c r="T1292">
        <v>969</v>
      </c>
      <c r="U1292">
        <v>2477</v>
      </c>
      <c r="V1292">
        <v>42</v>
      </c>
      <c r="W1292">
        <v>13.03</v>
      </c>
      <c r="X1292" s="10">
        <v>0.87203877680197273</v>
      </c>
      <c r="Y1292" s="9">
        <v>2810</v>
      </c>
      <c r="Z1292" s="9">
        <v>1360</v>
      </c>
      <c r="AA1292" s="9">
        <v>2715</v>
      </c>
      <c r="AB1292">
        <v>0.93448275862068964</v>
      </c>
      <c r="AC1292" s="11">
        <v>19.492636843567656</v>
      </c>
      <c r="AD1292" s="9">
        <v>1560.1412429378529</v>
      </c>
      <c r="AE1292" s="8">
        <v>0.99632352941176472</v>
      </c>
    </row>
    <row r="1293" spans="1:31" x14ac:dyDescent="0.35">
      <c r="A1293" s="6" t="s">
        <v>1314</v>
      </c>
      <c r="B1293" s="7">
        <v>9</v>
      </c>
      <c r="C1293" s="7">
        <v>0</v>
      </c>
      <c r="D1293" s="7">
        <v>7</v>
      </c>
      <c r="E1293" s="7">
        <v>2</v>
      </c>
      <c r="F1293">
        <v>299</v>
      </c>
      <c r="G1293">
        <v>54</v>
      </c>
      <c r="H1293">
        <v>18.11</v>
      </c>
      <c r="I1293">
        <v>36</v>
      </c>
      <c r="J1293">
        <v>11.9</v>
      </c>
      <c r="K1293">
        <v>644</v>
      </c>
      <c r="L1293">
        <v>92</v>
      </c>
      <c r="M1293">
        <v>552</v>
      </c>
      <c r="N1293">
        <v>3777.98</v>
      </c>
      <c r="O1293">
        <v>8.9600000000000009</v>
      </c>
      <c r="P1293">
        <v>73.58</v>
      </c>
      <c r="Q1293">
        <v>6.9</v>
      </c>
      <c r="R1293">
        <v>8.77</v>
      </c>
      <c r="S1293">
        <v>176</v>
      </c>
      <c r="T1293">
        <v>1878</v>
      </c>
      <c r="U1293">
        <v>1476</v>
      </c>
      <c r="V1293">
        <v>81</v>
      </c>
      <c r="W1293">
        <v>43.61</v>
      </c>
      <c r="X1293" s="10">
        <v>0.15208623391946788</v>
      </c>
      <c r="Y1293" s="9">
        <v>13750</v>
      </c>
      <c r="Z1293" s="9">
        <v>11200</v>
      </c>
      <c r="AA1293" s="9">
        <v>12900</v>
      </c>
      <c r="AB1293">
        <v>0.66666666666666663</v>
      </c>
      <c r="AC1293" s="11">
        <v>16.768546818560711</v>
      </c>
      <c r="AD1293" s="9">
        <v>11988.559322033898</v>
      </c>
      <c r="AE1293" s="8">
        <v>0.15178571428571427</v>
      </c>
    </row>
    <row r="1294" spans="1:31" x14ac:dyDescent="0.35">
      <c r="A1294" s="6" t="s">
        <v>1315</v>
      </c>
      <c r="B1294" s="7">
        <v>5</v>
      </c>
      <c r="C1294" s="7">
        <v>0</v>
      </c>
      <c r="D1294" s="7">
        <v>7</v>
      </c>
      <c r="E1294" s="7">
        <v>6</v>
      </c>
      <c r="F1294">
        <v>2338</v>
      </c>
      <c r="G1294">
        <v>-32</v>
      </c>
      <c r="H1294">
        <v>-1.37</v>
      </c>
      <c r="I1294">
        <v>85</v>
      </c>
      <c r="J1294">
        <v>3.63</v>
      </c>
      <c r="K1294">
        <v>2229</v>
      </c>
      <c r="L1294">
        <v>858</v>
      </c>
      <c r="M1294">
        <v>1371</v>
      </c>
      <c r="N1294">
        <v>854.38</v>
      </c>
      <c r="O1294">
        <v>8.42</v>
      </c>
      <c r="P1294">
        <v>10.79</v>
      </c>
      <c r="Q1294">
        <v>0.9</v>
      </c>
      <c r="R1294">
        <v>0.39</v>
      </c>
      <c r="S1294">
        <v>393</v>
      </c>
      <c r="T1294">
        <v>4706</v>
      </c>
      <c r="U1294">
        <v>10855</v>
      </c>
      <c r="V1294">
        <v>-43</v>
      </c>
      <c r="W1294">
        <v>-28.55</v>
      </c>
      <c r="X1294" s="10">
        <v>0.2529336860330289</v>
      </c>
      <c r="Y1294" s="9">
        <v>4360</v>
      </c>
      <c r="Z1294" s="9">
        <v>3480</v>
      </c>
      <c r="AA1294" s="9">
        <v>4360</v>
      </c>
      <c r="AB1294">
        <v>1</v>
      </c>
      <c r="AC1294" s="11">
        <v>7.4717977215893301</v>
      </c>
      <c r="AD1294" s="9">
        <v>3604.7768361581921</v>
      </c>
      <c r="AE1294" s="8">
        <v>0.10941475826972011</v>
      </c>
    </row>
    <row r="1295" spans="1:31" x14ac:dyDescent="0.35">
      <c r="A1295" s="6" t="s">
        <v>1316</v>
      </c>
      <c r="B1295" s="7">
        <v>14</v>
      </c>
      <c r="C1295" s="7">
        <v>0</v>
      </c>
      <c r="D1295" s="7">
        <v>2</v>
      </c>
      <c r="E1295" s="7">
        <v>2</v>
      </c>
      <c r="F1295">
        <v>6127</v>
      </c>
      <c r="G1295">
        <v>2694</v>
      </c>
      <c r="H1295">
        <v>43.97</v>
      </c>
      <c r="I1295">
        <v>2068</v>
      </c>
      <c r="J1295">
        <v>33.75</v>
      </c>
      <c r="K1295">
        <v>15924</v>
      </c>
      <c r="L1295">
        <v>2258</v>
      </c>
      <c r="M1295">
        <v>13665</v>
      </c>
      <c r="N1295">
        <v>13294.82</v>
      </c>
      <c r="O1295">
        <v>16.309999999999999</v>
      </c>
      <c r="P1295">
        <v>17.57</v>
      </c>
      <c r="Q1295">
        <v>2.97</v>
      </c>
      <c r="R1295">
        <v>5.93</v>
      </c>
      <c r="S1295">
        <v>10360</v>
      </c>
      <c r="T1295">
        <v>61217</v>
      </c>
      <c r="U1295">
        <v>30692</v>
      </c>
      <c r="V1295">
        <v>2926</v>
      </c>
      <c r="W1295">
        <v>13.64</v>
      </c>
      <c r="X1295" s="10">
        <v>0.18896473506879458</v>
      </c>
      <c r="Y1295" s="9">
        <v>218500</v>
      </c>
      <c r="Z1295" s="9">
        <v>169000</v>
      </c>
      <c r="AA1295" s="9">
        <v>173500</v>
      </c>
      <c r="AB1295">
        <v>9.0909090909090912E-2</v>
      </c>
      <c r="AC1295" s="11">
        <v>-327.25757154765216</v>
      </c>
      <c r="AD1295" s="9">
        <v>199314.68926553673</v>
      </c>
      <c r="AE1295" s="8">
        <v>-3.6111111111111108E-2</v>
      </c>
    </row>
    <row r="1296" spans="1:31" x14ac:dyDescent="0.35">
      <c r="A1296" s="6" t="s">
        <v>1317</v>
      </c>
      <c r="B1296" s="7">
        <v>8</v>
      </c>
      <c r="C1296" s="7">
        <v>6</v>
      </c>
      <c r="D1296" s="7">
        <v>2</v>
      </c>
      <c r="E1296" s="7">
        <v>2</v>
      </c>
      <c r="F1296">
        <v>352</v>
      </c>
      <c r="G1296">
        <v>1</v>
      </c>
      <c r="H1296">
        <v>0.18</v>
      </c>
      <c r="I1296">
        <v>-2</v>
      </c>
      <c r="J1296">
        <v>-0.47</v>
      </c>
      <c r="K1296">
        <v>417</v>
      </c>
      <c r="L1296">
        <v>51</v>
      </c>
      <c r="M1296">
        <v>366</v>
      </c>
      <c r="N1296">
        <v>112.19</v>
      </c>
      <c r="O1296">
        <v>-0.49</v>
      </c>
      <c r="P1296">
        <v>0</v>
      </c>
      <c r="Q1296">
        <v>0.99</v>
      </c>
      <c r="R1296">
        <v>1.03</v>
      </c>
      <c r="S1296">
        <v>-5</v>
      </c>
      <c r="T1296">
        <v>1155</v>
      </c>
      <c r="U1296">
        <v>1112</v>
      </c>
      <c r="V1296">
        <v>1</v>
      </c>
      <c r="W1296">
        <v>314.66000000000003</v>
      </c>
      <c r="X1296" s="10">
        <v>0.6956543190831973</v>
      </c>
      <c r="Y1296" s="9">
        <v>1670</v>
      </c>
      <c r="Z1296" s="9">
        <v>1140</v>
      </c>
      <c r="AA1296" s="9">
        <v>1590</v>
      </c>
      <c r="AB1296">
        <v>0.84905660377358494</v>
      </c>
      <c r="AC1296" s="11">
        <v>7.7224228952486822</v>
      </c>
      <c r="AD1296" s="9">
        <v>1078.1327683615818</v>
      </c>
      <c r="AE1296" s="8">
        <v>0.39473684210526316</v>
      </c>
    </row>
    <row r="1297" spans="1:31" x14ac:dyDescent="0.35">
      <c r="A1297" s="6" t="s">
        <v>1318</v>
      </c>
      <c r="B1297" s="7">
        <v>0</v>
      </c>
      <c r="C1297" s="7">
        <v>5</v>
      </c>
      <c r="D1297" s="7">
        <v>4</v>
      </c>
      <c r="E1297" s="7">
        <v>9</v>
      </c>
      <c r="F1297">
        <v>51</v>
      </c>
      <c r="G1297">
        <v>-42</v>
      </c>
      <c r="H1297">
        <v>-83.02</v>
      </c>
      <c r="I1297">
        <v>-404</v>
      </c>
      <c r="J1297">
        <v>-794.26</v>
      </c>
      <c r="K1297">
        <v>545</v>
      </c>
      <c r="L1297">
        <v>53</v>
      </c>
      <c r="M1297">
        <v>492</v>
      </c>
      <c r="N1297">
        <v>525.16999999999996</v>
      </c>
      <c r="O1297">
        <v>-77.62</v>
      </c>
      <c r="P1297">
        <v>0</v>
      </c>
      <c r="Q1297">
        <v>0.5</v>
      </c>
      <c r="R1297">
        <v>3.56</v>
      </c>
      <c r="S1297">
        <v>-3281</v>
      </c>
      <c r="T1297">
        <v>2921</v>
      </c>
      <c r="U1297">
        <v>413</v>
      </c>
      <c r="V1297">
        <v>-56</v>
      </c>
      <c r="W1297">
        <v>-4.3899999999999997</v>
      </c>
      <c r="X1297" s="10">
        <v>0.6956543190831973</v>
      </c>
      <c r="Y1297" s="9">
        <v>1470</v>
      </c>
      <c r="Z1297" s="9">
        <v>1470</v>
      </c>
      <c r="AA1297" s="9">
        <v>1470</v>
      </c>
      <c r="AC1297" s="11">
        <v>0</v>
      </c>
      <c r="AD1297" s="9">
        <v>1470</v>
      </c>
      <c r="AE1297" s="8">
        <v>0</v>
      </c>
    </row>
    <row r="1298" spans="1:31" x14ac:dyDescent="0.35">
      <c r="A1298" s="6" t="s">
        <v>1319</v>
      </c>
      <c r="B1298" s="7">
        <v>0</v>
      </c>
      <c r="C1298" s="7">
        <v>10</v>
      </c>
      <c r="D1298" s="7">
        <v>2</v>
      </c>
      <c r="E1298" s="7">
        <v>6</v>
      </c>
      <c r="F1298">
        <v>340</v>
      </c>
      <c r="G1298">
        <v>-23</v>
      </c>
      <c r="H1298">
        <v>-6.69</v>
      </c>
      <c r="I1298">
        <v>-33</v>
      </c>
      <c r="J1298">
        <v>-9.7200000000000006</v>
      </c>
      <c r="K1298">
        <v>511</v>
      </c>
      <c r="L1298">
        <v>345</v>
      </c>
      <c r="M1298">
        <v>165</v>
      </c>
      <c r="N1298">
        <v>296.66000000000003</v>
      </c>
      <c r="O1298">
        <v>-24.42</v>
      </c>
      <c r="P1298">
        <v>0</v>
      </c>
      <c r="Q1298">
        <v>1.1200000000000001</v>
      </c>
      <c r="R1298">
        <v>0.37</v>
      </c>
      <c r="S1298">
        <v>-516</v>
      </c>
      <c r="T1298">
        <v>1776</v>
      </c>
      <c r="U1298">
        <v>5305</v>
      </c>
      <c r="V1298">
        <v>-30</v>
      </c>
      <c r="W1298">
        <v>-13.8</v>
      </c>
      <c r="X1298" s="10">
        <v>2.2799003025923354E-3</v>
      </c>
      <c r="Y1298" s="9">
        <v>1940</v>
      </c>
      <c r="Z1298" s="9">
        <v>1515</v>
      </c>
      <c r="AA1298" s="9">
        <v>1920</v>
      </c>
      <c r="AB1298">
        <v>0.95294117647058818</v>
      </c>
      <c r="AC1298" s="11">
        <v>-0.33231453181439291</v>
      </c>
      <c r="AD1298" s="9">
        <v>1719.6355932203389</v>
      </c>
      <c r="AE1298" s="8">
        <v>2.1276595744680851E-2</v>
      </c>
    </row>
    <row r="1299" spans="1:31" x14ac:dyDescent="0.35">
      <c r="A1299" s="6" t="s">
        <v>1320</v>
      </c>
      <c r="B1299" s="7">
        <v>0</v>
      </c>
      <c r="C1299" s="7">
        <v>6</v>
      </c>
      <c r="D1299" s="7">
        <v>0</v>
      </c>
      <c r="E1299" s="7">
        <v>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103</v>
      </c>
      <c r="L1299">
        <v>15</v>
      </c>
      <c r="M1299">
        <v>89</v>
      </c>
      <c r="N1299">
        <v>1827.09</v>
      </c>
      <c r="O1299">
        <v>-7.0000000000000007E-2</v>
      </c>
      <c r="P1299">
        <v>0</v>
      </c>
      <c r="Q1299">
        <v>1.04</v>
      </c>
      <c r="R1299">
        <v>0</v>
      </c>
      <c r="S1299">
        <v>-8</v>
      </c>
      <c r="T1299">
        <v>1927</v>
      </c>
      <c r="U1299">
        <v>0</v>
      </c>
      <c r="V1299">
        <v>0</v>
      </c>
      <c r="W1299">
        <v>-685.39</v>
      </c>
      <c r="X1299" s="10">
        <v>0.81201162184114706</v>
      </c>
      <c r="Y1299" s="9">
        <v>2545</v>
      </c>
      <c r="Z1299" s="9">
        <v>2000</v>
      </c>
      <c r="AA1299" s="9">
        <v>2545</v>
      </c>
      <c r="AB1299">
        <v>1</v>
      </c>
      <c r="AC1299" s="11">
        <v>7.1176715754376216</v>
      </c>
      <c r="AD1299" s="9">
        <v>2013.494350282486</v>
      </c>
      <c r="AE1299" s="8">
        <v>0.27250000000000002</v>
      </c>
    </row>
    <row r="1300" spans="1:31" x14ac:dyDescent="0.35">
      <c r="A1300" s="6" t="s">
        <v>1321</v>
      </c>
      <c r="B1300" s="7">
        <v>2</v>
      </c>
      <c r="C1300" s="7">
        <v>13</v>
      </c>
      <c r="D1300" s="7">
        <v>0</v>
      </c>
      <c r="E1300" s="7">
        <v>3</v>
      </c>
      <c r="F1300">
        <v>1495</v>
      </c>
      <c r="G1300">
        <v>86</v>
      </c>
      <c r="H1300">
        <v>5.72</v>
      </c>
      <c r="I1300">
        <v>48</v>
      </c>
      <c r="J1300">
        <v>3.21</v>
      </c>
      <c r="K1300">
        <v>2935</v>
      </c>
      <c r="L1300">
        <v>1448</v>
      </c>
      <c r="M1300">
        <v>1488</v>
      </c>
      <c r="N1300">
        <v>617.38</v>
      </c>
      <c r="O1300">
        <v>4.7699999999999996</v>
      </c>
      <c r="P1300">
        <v>25.37</v>
      </c>
      <c r="Q1300">
        <v>1.35</v>
      </c>
      <c r="R1300">
        <v>0.75</v>
      </c>
      <c r="S1300">
        <v>177</v>
      </c>
      <c r="T1300">
        <v>3333</v>
      </c>
      <c r="U1300">
        <v>6011</v>
      </c>
      <c r="V1300">
        <v>114</v>
      </c>
      <c r="W1300">
        <v>24.98</v>
      </c>
      <c r="X1300" s="10">
        <v>0.20963862237500155</v>
      </c>
      <c r="Y1300" s="9">
        <v>4565</v>
      </c>
      <c r="Z1300" s="9">
        <v>3690</v>
      </c>
      <c r="AA1300" s="9">
        <v>4300</v>
      </c>
      <c r="AB1300">
        <v>0.69714285714285718</v>
      </c>
      <c r="AC1300" s="11">
        <v>4.8384273409280345</v>
      </c>
      <c r="AD1300" s="9">
        <v>4041.0112994350279</v>
      </c>
      <c r="AE1300" s="8">
        <v>2.1377672209026127E-2</v>
      </c>
    </row>
    <row r="1301" spans="1:31" x14ac:dyDescent="0.35">
      <c r="A1301" s="6" t="s">
        <v>1322</v>
      </c>
      <c r="B1301" s="7">
        <v>9</v>
      </c>
      <c r="C1301" s="7">
        <v>0</v>
      </c>
      <c r="D1301" s="7">
        <v>5</v>
      </c>
      <c r="E1301" s="7">
        <v>4</v>
      </c>
      <c r="F1301">
        <v>643</v>
      </c>
      <c r="G1301">
        <v>37</v>
      </c>
      <c r="H1301">
        <v>5.8</v>
      </c>
      <c r="I1301">
        <v>47</v>
      </c>
      <c r="J1301">
        <v>7.29</v>
      </c>
      <c r="K1301">
        <v>586</v>
      </c>
      <c r="L1301">
        <v>137</v>
      </c>
      <c r="M1301">
        <v>449</v>
      </c>
      <c r="N1301">
        <v>1226.24</v>
      </c>
      <c r="O1301">
        <v>10.92</v>
      </c>
      <c r="P1301">
        <v>25.9</v>
      </c>
      <c r="Q1301">
        <v>2.91</v>
      </c>
      <c r="R1301">
        <v>1.89</v>
      </c>
      <c r="S1301">
        <v>691</v>
      </c>
      <c r="T1301">
        <v>6145</v>
      </c>
      <c r="U1301">
        <v>9478</v>
      </c>
      <c r="V1301">
        <v>44</v>
      </c>
      <c r="W1301">
        <v>28.18</v>
      </c>
      <c r="X1301" s="10">
        <v>0.75977952585546416</v>
      </c>
      <c r="Y1301" s="9">
        <v>19750</v>
      </c>
      <c r="Z1301" s="9">
        <v>13750</v>
      </c>
      <c r="AA1301" s="9">
        <v>13750</v>
      </c>
      <c r="AB1301">
        <v>0</v>
      </c>
      <c r="AC1301" s="11">
        <v>-70.925257015837715</v>
      </c>
      <c r="AD1301" s="9">
        <v>18556.553672316382</v>
      </c>
      <c r="AE1301" s="8">
        <v>-0.25068119891008173</v>
      </c>
    </row>
    <row r="1302" spans="1:31" x14ac:dyDescent="0.35">
      <c r="A1302" s="6" t="s">
        <v>1323</v>
      </c>
      <c r="B1302" s="7">
        <v>2</v>
      </c>
      <c r="C1302" s="7">
        <v>4</v>
      </c>
      <c r="D1302" s="7">
        <v>3</v>
      </c>
      <c r="E1302" s="7">
        <v>9</v>
      </c>
      <c r="F1302">
        <v>78</v>
      </c>
      <c r="G1302">
        <v>-80</v>
      </c>
      <c r="H1302">
        <v>-102.93</v>
      </c>
      <c r="I1302">
        <v>-107</v>
      </c>
      <c r="J1302">
        <v>-137.59</v>
      </c>
      <c r="K1302">
        <v>426</v>
      </c>
      <c r="L1302">
        <v>195</v>
      </c>
      <c r="M1302">
        <v>231</v>
      </c>
      <c r="N1302">
        <v>13.74</v>
      </c>
      <c r="O1302">
        <v>-66.55</v>
      </c>
      <c r="P1302">
        <v>0</v>
      </c>
      <c r="Q1302">
        <v>2.93</v>
      </c>
      <c r="R1302">
        <v>4.41</v>
      </c>
      <c r="S1302">
        <v>-227</v>
      </c>
      <c r="T1302">
        <v>514</v>
      </c>
      <c r="U1302">
        <v>341</v>
      </c>
      <c r="V1302">
        <v>-55</v>
      </c>
      <c r="W1302">
        <v>-15.6</v>
      </c>
      <c r="X1302" s="10">
        <v>0.60968839903323246</v>
      </c>
      <c r="Y1302" s="9">
        <v>1310</v>
      </c>
      <c r="Z1302" s="9">
        <v>822</v>
      </c>
      <c r="AA1302" s="9">
        <v>945</v>
      </c>
      <c r="AB1302">
        <v>0.25204918032786883</v>
      </c>
      <c r="AC1302" s="11">
        <v>-4.3919422061683804</v>
      </c>
      <c r="AD1302" s="9">
        <v>1266.8209039548021</v>
      </c>
      <c r="AE1302" s="8">
        <v>-0.22222222222222221</v>
      </c>
    </row>
    <row r="1303" spans="1:31" x14ac:dyDescent="0.35">
      <c r="A1303" s="6" t="s">
        <v>1324</v>
      </c>
      <c r="B1303" s="7">
        <v>5</v>
      </c>
      <c r="C1303" s="7">
        <v>2</v>
      </c>
      <c r="D1303" s="7">
        <v>11</v>
      </c>
      <c r="E1303" s="7">
        <v>0</v>
      </c>
      <c r="F1303">
        <v>399</v>
      </c>
      <c r="G1303">
        <v>0</v>
      </c>
      <c r="H1303">
        <v>-0.12</v>
      </c>
      <c r="I1303">
        <v>6</v>
      </c>
      <c r="J1303">
        <v>1.51</v>
      </c>
      <c r="K1303">
        <v>471</v>
      </c>
      <c r="L1303">
        <v>184</v>
      </c>
      <c r="M1303">
        <v>286</v>
      </c>
      <c r="N1303">
        <v>343.83</v>
      </c>
      <c r="O1303">
        <v>3.31</v>
      </c>
      <c r="P1303">
        <v>34.11</v>
      </c>
      <c r="Q1303">
        <v>1.1499999999999999</v>
      </c>
      <c r="R1303">
        <v>0.51</v>
      </c>
      <c r="S1303">
        <v>73</v>
      </c>
      <c r="T1303">
        <v>2174</v>
      </c>
      <c r="U1303">
        <v>4880</v>
      </c>
      <c r="V1303">
        <v>18</v>
      </c>
      <c r="W1303">
        <v>17.649999999999999</v>
      </c>
      <c r="X1303" s="10">
        <v>0.43626273572128504</v>
      </c>
      <c r="Y1303" s="9">
        <v>2590</v>
      </c>
      <c r="Z1303" s="9">
        <v>2020</v>
      </c>
      <c r="AA1303" s="9">
        <v>2470</v>
      </c>
      <c r="AB1303">
        <v>0.78947368421052633</v>
      </c>
      <c r="AC1303" s="11">
        <v>4.8067518755209777</v>
      </c>
      <c r="AD1303" s="9">
        <v>2052.1440677966102</v>
      </c>
      <c r="AE1303" s="8">
        <v>0.11261261261261261</v>
      </c>
    </row>
    <row r="1304" spans="1:31" x14ac:dyDescent="0.35">
      <c r="A1304" s="6" t="s">
        <v>1325</v>
      </c>
      <c r="B1304" s="7">
        <v>3</v>
      </c>
      <c r="C1304" s="7">
        <v>6</v>
      </c>
      <c r="D1304" s="7">
        <v>2</v>
      </c>
      <c r="E1304" s="7">
        <v>7</v>
      </c>
      <c r="F1304">
        <v>125</v>
      </c>
      <c r="G1304">
        <v>-29</v>
      </c>
      <c r="H1304">
        <v>-23.65</v>
      </c>
      <c r="I1304">
        <v>-63</v>
      </c>
      <c r="J1304">
        <v>-50.33</v>
      </c>
      <c r="K1304">
        <v>615</v>
      </c>
      <c r="L1304">
        <v>461</v>
      </c>
      <c r="M1304">
        <v>153</v>
      </c>
      <c r="N1304">
        <v>-17.399999999999999</v>
      </c>
      <c r="O1304">
        <v>-54.3</v>
      </c>
      <c r="P1304">
        <v>0</v>
      </c>
      <c r="Q1304">
        <v>2.3199999999999998</v>
      </c>
      <c r="R1304">
        <v>2.0299999999999998</v>
      </c>
      <c r="S1304">
        <v>-235</v>
      </c>
      <c r="T1304">
        <v>409</v>
      </c>
      <c r="U1304">
        <v>467</v>
      </c>
      <c r="V1304">
        <v>-37</v>
      </c>
      <c r="W1304">
        <v>-18.170000000000002</v>
      </c>
      <c r="X1304" s="10">
        <v>0.52273646890642045</v>
      </c>
      <c r="Y1304" s="9">
        <v>1215</v>
      </c>
      <c r="Z1304" s="9">
        <v>787</v>
      </c>
      <c r="AA1304" s="9">
        <v>787</v>
      </c>
      <c r="AB1304">
        <v>0</v>
      </c>
      <c r="AC1304" s="11">
        <v>-6.520644623506529</v>
      </c>
      <c r="AD1304" s="9">
        <v>1262.979661016949</v>
      </c>
      <c r="AE1304" s="8">
        <v>-0.27798165137614678</v>
      </c>
    </row>
    <row r="1305" spans="1:31" x14ac:dyDescent="0.35">
      <c r="A1305" s="6" t="s">
        <v>1326</v>
      </c>
      <c r="B1305" s="7">
        <v>1</v>
      </c>
      <c r="C1305" s="7">
        <v>6</v>
      </c>
      <c r="D1305" s="7">
        <v>0</v>
      </c>
      <c r="E1305" s="7">
        <v>11</v>
      </c>
      <c r="F1305">
        <v>55</v>
      </c>
      <c r="G1305">
        <v>-23</v>
      </c>
      <c r="H1305">
        <v>-42.25</v>
      </c>
      <c r="I1305">
        <v>-17</v>
      </c>
      <c r="J1305">
        <v>-30.28</v>
      </c>
      <c r="K1305">
        <v>212</v>
      </c>
      <c r="L1305">
        <v>34</v>
      </c>
      <c r="M1305">
        <v>178</v>
      </c>
      <c r="N1305">
        <v>432.38</v>
      </c>
      <c r="O1305">
        <v>-12.2</v>
      </c>
      <c r="P1305">
        <v>0</v>
      </c>
      <c r="Q1305">
        <v>1.1299999999999999</v>
      </c>
      <c r="R1305">
        <v>2.21</v>
      </c>
      <c r="S1305">
        <v>-337</v>
      </c>
      <c r="T1305">
        <v>2192</v>
      </c>
      <c r="U1305">
        <v>1116</v>
      </c>
      <c r="V1305">
        <v>-8</v>
      </c>
      <c r="W1305">
        <v>-20.39</v>
      </c>
      <c r="X1305" s="10">
        <v>0.77225313439515042</v>
      </c>
      <c r="Y1305" s="9">
        <v>2715</v>
      </c>
      <c r="Z1305" s="9">
        <v>1775</v>
      </c>
      <c r="AA1305" s="9">
        <v>2395</v>
      </c>
      <c r="AB1305">
        <v>0.65957446808510634</v>
      </c>
      <c r="AC1305" s="11">
        <v>11.007224228952486</v>
      </c>
      <c r="AD1305" s="9">
        <v>1765.2796610169491</v>
      </c>
      <c r="AE1305" s="8">
        <v>0.3492957746478873</v>
      </c>
    </row>
    <row r="1306" spans="1:31" x14ac:dyDescent="0.35">
      <c r="A1306" s="6" t="s">
        <v>1327</v>
      </c>
      <c r="B1306" s="7">
        <v>0</v>
      </c>
      <c r="C1306" s="7">
        <v>0</v>
      </c>
      <c r="D1306" s="7">
        <v>5</v>
      </c>
      <c r="E1306" s="7">
        <v>13</v>
      </c>
      <c r="F1306">
        <v>1003</v>
      </c>
      <c r="G1306">
        <v>-20</v>
      </c>
      <c r="H1306">
        <v>-1.97</v>
      </c>
      <c r="I1306">
        <v>-35</v>
      </c>
      <c r="J1306">
        <v>-3.49</v>
      </c>
      <c r="K1306">
        <v>2287</v>
      </c>
      <c r="L1306">
        <v>1394</v>
      </c>
      <c r="M1306">
        <v>893</v>
      </c>
      <c r="N1306">
        <v>307.94</v>
      </c>
      <c r="O1306">
        <v>-3.84</v>
      </c>
      <c r="P1306">
        <v>0</v>
      </c>
      <c r="Q1306">
        <v>0.79</v>
      </c>
      <c r="R1306">
        <v>0.68</v>
      </c>
      <c r="S1306">
        <v>-80</v>
      </c>
      <c r="T1306">
        <v>1976</v>
      </c>
      <c r="U1306">
        <v>2290</v>
      </c>
      <c r="V1306">
        <v>248</v>
      </c>
      <c r="W1306">
        <v>7.23</v>
      </c>
      <c r="X1306" s="10">
        <v>0.30317144710804678</v>
      </c>
      <c r="Y1306" s="9">
        <v>1740</v>
      </c>
      <c r="Z1306" s="9">
        <v>1505</v>
      </c>
      <c r="AA1306" s="9">
        <v>1675</v>
      </c>
      <c r="AB1306">
        <v>0.72340425531914898</v>
      </c>
      <c r="AC1306" s="11">
        <v>1.6375382050569602</v>
      </c>
      <c r="AD1306" s="9">
        <v>1612.9717514124295</v>
      </c>
      <c r="AE1306" s="8">
        <v>8.4142394822006472E-2</v>
      </c>
    </row>
    <row r="1307" spans="1:31" x14ac:dyDescent="0.35">
      <c r="A1307" s="6" t="s">
        <v>1328</v>
      </c>
      <c r="B1307" s="7">
        <v>0</v>
      </c>
      <c r="C1307" s="7">
        <v>6</v>
      </c>
      <c r="D1307" s="7">
        <v>0</v>
      </c>
      <c r="E1307" s="7">
        <v>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59</v>
      </c>
      <c r="L1307">
        <v>7</v>
      </c>
      <c r="M1307">
        <v>52</v>
      </c>
      <c r="N1307">
        <v>1820.02</v>
      </c>
      <c r="O1307">
        <v>-0.28999999999999998</v>
      </c>
      <c r="P1307">
        <v>0</v>
      </c>
      <c r="Q1307">
        <v>1.0900000000000001</v>
      </c>
      <c r="R1307">
        <v>0</v>
      </c>
      <c r="S1307">
        <v>-17</v>
      </c>
      <c r="T1307">
        <v>1920</v>
      </c>
      <c r="U1307">
        <v>0</v>
      </c>
      <c r="V1307">
        <v>0</v>
      </c>
      <c r="W1307">
        <v>-275.49</v>
      </c>
      <c r="X1307" s="10">
        <v>0.72412128612885285</v>
      </c>
      <c r="Y1307" s="9">
        <v>2510</v>
      </c>
      <c r="Z1307" s="9">
        <v>2090</v>
      </c>
      <c r="AA1307" s="9">
        <v>2410</v>
      </c>
      <c r="AB1307">
        <v>0.76190476190476186</v>
      </c>
      <c r="AC1307" s="11">
        <v>5.0308419005279248</v>
      </c>
      <c r="AD1307" s="9">
        <v>2142.3926553672318</v>
      </c>
      <c r="AE1307" s="8">
        <v>0.14218009478672985</v>
      </c>
    </row>
    <row r="1308" spans="1:31" x14ac:dyDescent="0.35">
      <c r="A1308" s="6" t="s">
        <v>1329</v>
      </c>
      <c r="B1308" s="7">
        <v>2</v>
      </c>
      <c r="C1308" s="7">
        <v>10</v>
      </c>
      <c r="D1308" s="7">
        <v>5</v>
      </c>
      <c r="E1308" s="7">
        <v>1</v>
      </c>
      <c r="F1308">
        <v>1252</v>
      </c>
      <c r="G1308">
        <v>11</v>
      </c>
      <c r="H1308">
        <v>0.85</v>
      </c>
      <c r="I1308">
        <v>16</v>
      </c>
      <c r="J1308">
        <v>1.26</v>
      </c>
      <c r="K1308">
        <v>944</v>
      </c>
      <c r="L1308">
        <v>351</v>
      </c>
      <c r="M1308">
        <v>593</v>
      </c>
      <c r="N1308">
        <v>769.21</v>
      </c>
      <c r="O1308">
        <v>2.97</v>
      </c>
      <c r="P1308">
        <v>46.22</v>
      </c>
      <c r="Q1308">
        <v>1.38</v>
      </c>
      <c r="R1308">
        <v>0.59</v>
      </c>
      <c r="S1308">
        <v>119</v>
      </c>
      <c r="T1308">
        <v>4000</v>
      </c>
      <c r="U1308">
        <v>9394</v>
      </c>
      <c r="V1308">
        <v>55</v>
      </c>
      <c r="W1308">
        <v>18.21</v>
      </c>
      <c r="X1308" s="10">
        <v>0.87734489945565308</v>
      </c>
      <c r="Y1308" s="9">
        <v>8130</v>
      </c>
      <c r="Z1308" s="9">
        <v>5470</v>
      </c>
      <c r="AA1308" s="9">
        <v>7250</v>
      </c>
      <c r="AB1308">
        <v>0.66917293233082709</v>
      </c>
      <c r="AC1308" s="11">
        <v>47.413170325090306</v>
      </c>
      <c r="AD1308" s="9">
        <v>5152.8983050847455</v>
      </c>
      <c r="AE1308" s="8">
        <v>0.32541133455210236</v>
      </c>
    </row>
    <row r="1309" spans="1:31" x14ac:dyDescent="0.35">
      <c r="A1309" s="6" t="s">
        <v>1330</v>
      </c>
      <c r="B1309" s="7">
        <v>12</v>
      </c>
      <c r="C1309" s="7">
        <v>1</v>
      </c>
      <c r="D1309" s="7">
        <v>5</v>
      </c>
      <c r="E1309" s="7">
        <v>0</v>
      </c>
      <c r="F1309">
        <v>1317</v>
      </c>
      <c r="G1309">
        <v>206</v>
      </c>
      <c r="H1309">
        <v>15.67</v>
      </c>
      <c r="I1309">
        <v>254</v>
      </c>
      <c r="J1309">
        <v>19.260000000000002</v>
      </c>
      <c r="K1309">
        <v>2380</v>
      </c>
      <c r="L1309">
        <v>1119</v>
      </c>
      <c r="M1309">
        <v>1261</v>
      </c>
      <c r="N1309">
        <v>2875.16</v>
      </c>
      <c r="O1309">
        <v>22.49</v>
      </c>
      <c r="P1309">
        <v>6.77</v>
      </c>
      <c r="Q1309">
        <v>1.38</v>
      </c>
      <c r="R1309">
        <v>1.3</v>
      </c>
      <c r="S1309">
        <v>3174</v>
      </c>
      <c r="T1309">
        <v>15627</v>
      </c>
      <c r="U1309">
        <v>16483</v>
      </c>
      <c r="V1309">
        <v>283</v>
      </c>
      <c r="W1309">
        <v>8.6300000000000008</v>
      </c>
      <c r="X1309" s="10">
        <v>0.48358279772939372</v>
      </c>
      <c r="Y1309" s="9">
        <v>21750</v>
      </c>
      <c r="Z1309" s="9">
        <v>17750</v>
      </c>
      <c r="AA1309" s="9">
        <v>18250</v>
      </c>
      <c r="AB1309">
        <v>0.125</v>
      </c>
      <c r="AC1309" s="11">
        <v>-44.840233398166156</v>
      </c>
      <c r="AD1309" s="9">
        <v>20385.9604519774</v>
      </c>
      <c r="AE1309" s="8">
        <v>-0.14319248826291081</v>
      </c>
    </row>
    <row r="1310" spans="1:31" x14ac:dyDescent="0.35">
      <c r="A1310" s="6" t="s">
        <v>1331</v>
      </c>
      <c r="B1310" s="7">
        <v>7</v>
      </c>
      <c r="C1310" s="7">
        <v>7</v>
      </c>
      <c r="D1310" s="7">
        <v>4</v>
      </c>
      <c r="E1310" s="7">
        <v>0</v>
      </c>
      <c r="F1310">
        <v>890</v>
      </c>
      <c r="G1310">
        <v>46</v>
      </c>
      <c r="H1310">
        <v>5.2</v>
      </c>
      <c r="I1310">
        <v>48</v>
      </c>
      <c r="J1310">
        <v>5.38</v>
      </c>
      <c r="K1310">
        <v>834</v>
      </c>
      <c r="L1310">
        <v>197</v>
      </c>
      <c r="M1310">
        <v>637</v>
      </c>
      <c r="N1310">
        <v>1063.6600000000001</v>
      </c>
      <c r="O1310">
        <v>7.75</v>
      </c>
      <c r="P1310">
        <v>10.01</v>
      </c>
      <c r="Q1310">
        <v>0.87</v>
      </c>
      <c r="R1310">
        <v>0.54</v>
      </c>
      <c r="S1310">
        <v>435</v>
      </c>
      <c r="T1310">
        <v>5018</v>
      </c>
      <c r="U1310">
        <v>8084</v>
      </c>
      <c r="V1310">
        <v>69</v>
      </c>
      <c r="W1310">
        <v>6.98</v>
      </c>
      <c r="X1310" s="10">
        <v>0.90304543681452765</v>
      </c>
      <c r="Y1310" s="9">
        <v>5850</v>
      </c>
      <c r="Z1310" s="9">
        <v>4270</v>
      </c>
      <c r="AA1310" s="9">
        <v>5720</v>
      </c>
      <c r="AB1310">
        <v>0.91772151898734178</v>
      </c>
      <c r="AC1310" s="11">
        <v>27.023895526535156</v>
      </c>
      <c r="AD1310" s="9">
        <v>4356.9378531073444</v>
      </c>
      <c r="AE1310" s="8">
        <v>0.31343283582089554</v>
      </c>
    </row>
    <row r="1311" spans="1:31" x14ac:dyDescent="0.35">
      <c r="A1311" s="6" t="s">
        <v>1332</v>
      </c>
      <c r="B1311" s="7">
        <v>4</v>
      </c>
      <c r="C1311" s="7">
        <v>7</v>
      </c>
      <c r="D1311" s="7">
        <v>5</v>
      </c>
      <c r="E1311" s="7">
        <v>2</v>
      </c>
      <c r="F1311">
        <v>293</v>
      </c>
      <c r="G1311">
        <v>19</v>
      </c>
      <c r="H1311">
        <v>6.42</v>
      </c>
      <c r="I1311">
        <v>6</v>
      </c>
      <c r="J1311">
        <v>2.21</v>
      </c>
      <c r="K1311">
        <v>784</v>
      </c>
      <c r="L1311">
        <v>224</v>
      </c>
      <c r="M1311">
        <v>560</v>
      </c>
      <c r="N1311">
        <v>44.39</v>
      </c>
      <c r="O1311">
        <v>1.23</v>
      </c>
      <c r="P1311">
        <v>163.89</v>
      </c>
      <c r="Q1311">
        <v>2.0499999999999998</v>
      </c>
      <c r="R1311">
        <v>3.43</v>
      </c>
      <c r="S1311">
        <v>9</v>
      </c>
      <c r="T1311">
        <v>721</v>
      </c>
      <c r="U1311">
        <v>430</v>
      </c>
      <c r="V1311">
        <v>32</v>
      </c>
      <c r="W1311">
        <v>39.08</v>
      </c>
      <c r="X1311" s="10">
        <v>0.67069071988632878</v>
      </c>
      <c r="Y1311" s="9">
        <v>2520</v>
      </c>
      <c r="Z1311" s="9">
        <v>1285</v>
      </c>
      <c r="AA1311" s="9">
        <v>2020</v>
      </c>
      <c r="AB1311">
        <v>0.59514170040485825</v>
      </c>
      <c r="AC1311" s="11">
        <v>14.44276187829953</v>
      </c>
      <c r="AD1311" s="9">
        <v>1502.9124293785312</v>
      </c>
      <c r="AE1311" s="8">
        <v>0.57198443579766534</v>
      </c>
    </row>
    <row r="1312" spans="1:31" x14ac:dyDescent="0.35">
      <c r="A1312" s="6" t="s">
        <v>1333</v>
      </c>
      <c r="B1312" s="7">
        <v>7</v>
      </c>
      <c r="C1312" s="7">
        <v>0</v>
      </c>
      <c r="D1312" s="7">
        <v>9</v>
      </c>
      <c r="E1312" s="7">
        <v>2</v>
      </c>
      <c r="F1312">
        <v>822</v>
      </c>
      <c r="G1312">
        <v>105</v>
      </c>
      <c r="H1312">
        <v>12.79</v>
      </c>
      <c r="I1312">
        <v>98</v>
      </c>
      <c r="J1312">
        <v>11.87</v>
      </c>
      <c r="K1312">
        <v>880</v>
      </c>
      <c r="L1312">
        <v>85</v>
      </c>
      <c r="M1312">
        <v>796</v>
      </c>
      <c r="N1312">
        <v>2289.0500000000002</v>
      </c>
      <c r="O1312">
        <v>12.84</v>
      </c>
      <c r="P1312">
        <v>9.83</v>
      </c>
      <c r="Q1312">
        <v>1.3</v>
      </c>
      <c r="R1312">
        <v>1.17</v>
      </c>
      <c r="S1312">
        <v>1480</v>
      </c>
      <c r="T1312">
        <v>11177</v>
      </c>
      <c r="U1312">
        <v>12468</v>
      </c>
      <c r="V1312">
        <v>134</v>
      </c>
      <c r="W1312">
        <v>7.43</v>
      </c>
      <c r="X1312" s="10">
        <v>0.41985270280931791</v>
      </c>
      <c r="Y1312" s="9">
        <v>17650</v>
      </c>
      <c r="Z1312" s="9">
        <v>14200</v>
      </c>
      <c r="AA1312" s="9">
        <v>16050</v>
      </c>
      <c r="AB1312">
        <v>0.53623188405797106</v>
      </c>
      <c r="AC1312" s="11">
        <v>34.923589886079455</v>
      </c>
      <c r="AD1312" s="9">
        <v>15036.497175141243</v>
      </c>
      <c r="AE1312" s="8">
        <v>0.10689655172413794</v>
      </c>
    </row>
    <row r="1313" spans="1:31" x14ac:dyDescent="0.35">
      <c r="A1313" s="6" t="s">
        <v>1334</v>
      </c>
      <c r="B1313" s="7">
        <v>2</v>
      </c>
      <c r="C1313" s="7">
        <v>2</v>
      </c>
      <c r="D1313" s="7">
        <v>10</v>
      </c>
      <c r="E1313" s="7">
        <v>4</v>
      </c>
      <c r="F1313">
        <v>367</v>
      </c>
      <c r="G1313">
        <v>-148</v>
      </c>
      <c r="H1313">
        <v>-40.200000000000003</v>
      </c>
      <c r="I1313">
        <v>-254</v>
      </c>
      <c r="J1313">
        <v>-69.209999999999994</v>
      </c>
      <c r="K1313">
        <v>445</v>
      </c>
      <c r="L1313">
        <v>319</v>
      </c>
      <c r="M1313">
        <v>127</v>
      </c>
      <c r="N1313">
        <v>159.6</v>
      </c>
      <c r="O1313">
        <v>-145.16</v>
      </c>
      <c r="P1313">
        <v>0</v>
      </c>
      <c r="Q1313">
        <v>7.11</v>
      </c>
      <c r="R1313">
        <v>1.68</v>
      </c>
      <c r="S1313">
        <v>-3437</v>
      </c>
      <c r="T1313">
        <v>1175</v>
      </c>
      <c r="U1313">
        <v>4967</v>
      </c>
      <c r="V1313">
        <v>-107</v>
      </c>
      <c r="W1313">
        <v>-7.1</v>
      </c>
      <c r="X1313" s="10">
        <v>0.4128194202687836</v>
      </c>
      <c r="Y1313" s="9">
        <v>12600</v>
      </c>
      <c r="Z1313" s="9">
        <v>7160</v>
      </c>
      <c r="AA1313" s="9">
        <v>12300</v>
      </c>
      <c r="AB1313">
        <v>0.94485294117647056</v>
      </c>
      <c r="AC1313" s="11">
        <v>46.445401500416786</v>
      </c>
      <c r="AD1313" s="9">
        <v>7830.9152542372885</v>
      </c>
      <c r="AE1313" s="8">
        <v>0.47305389221556887</v>
      </c>
    </row>
    <row r="1314" spans="1:31" x14ac:dyDescent="0.35">
      <c r="A1314" s="6" t="s">
        <v>1335</v>
      </c>
      <c r="B1314" s="7">
        <v>0</v>
      </c>
      <c r="C1314" s="7">
        <v>13</v>
      </c>
      <c r="D1314" s="7">
        <v>1</v>
      </c>
      <c r="E1314" s="7">
        <v>4</v>
      </c>
      <c r="F1314">
        <v>224</v>
      </c>
      <c r="G1314">
        <v>23</v>
      </c>
      <c r="H1314">
        <v>10.3</v>
      </c>
      <c r="I1314">
        <v>24</v>
      </c>
      <c r="J1314">
        <v>10.69</v>
      </c>
      <c r="K1314">
        <v>573</v>
      </c>
      <c r="L1314">
        <v>350</v>
      </c>
      <c r="M1314">
        <v>223</v>
      </c>
      <c r="N1314">
        <v>223.67</v>
      </c>
      <c r="O1314">
        <v>16.34</v>
      </c>
      <c r="P1314">
        <v>20.68</v>
      </c>
      <c r="Q1314">
        <v>7.55</v>
      </c>
      <c r="R1314">
        <v>2.21</v>
      </c>
      <c r="S1314">
        <v>219</v>
      </c>
      <c r="T1314">
        <v>600</v>
      </c>
      <c r="U1314">
        <v>2048</v>
      </c>
      <c r="V1314">
        <v>64</v>
      </c>
      <c r="W1314">
        <v>14.21</v>
      </c>
      <c r="X1314" s="10">
        <v>1.4209174634087442E-2</v>
      </c>
      <c r="Y1314" s="9">
        <v>7480</v>
      </c>
      <c r="Z1314" s="9">
        <v>4750</v>
      </c>
      <c r="AA1314" s="9">
        <v>5260</v>
      </c>
      <c r="AB1314">
        <v>0.18681318681318682</v>
      </c>
      <c r="AC1314" s="11">
        <v>4.2979994442900811</v>
      </c>
      <c r="AD1314" s="9">
        <v>5936.9943502824854</v>
      </c>
      <c r="AE1314" s="8">
        <v>8.790072388831438E-2</v>
      </c>
    </row>
    <row r="1315" spans="1:31" x14ac:dyDescent="0.35">
      <c r="A1315" s="6" t="s">
        <v>1336</v>
      </c>
      <c r="B1315" s="7">
        <v>1</v>
      </c>
      <c r="C1315" s="7">
        <v>8</v>
      </c>
      <c r="D1315" s="7">
        <v>3</v>
      </c>
      <c r="E1315" s="7">
        <v>6</v>
      </c>
      <c r="F1315">
        <v>17</v>
      </c>
      <c r="G1315">
        <v>-20</v>
      </c>
      <c r="H1315">
        <v>-112.45</v>
      </c>
      <c r="I1315">
        <v>-20</v>
      </c>
      <c r="J1315">
        <v>-117.21</v>
      </c>
      <c r="K1315">
        <v>453</v>
      </c>
      <c r="L1315">
        <v>224</v>
      </c>
      <c r="M1315">
        <v>229</v>
      </c>
      <c r="N1315">
        <v>-18.38</v>
      </c>
      <c r="O1315">
        <v>-11.97</v>
      </c>
      <c r="P1315">
        <v>0</v>
      </c>
      <c r="Q1315">
        <v>0.94</v>
      </c>
      <c r="R1315">
        <v>8.0299999999999994</v>
      </c>
      <c r="S1315">
        <v>-44</v>
      </c>
      <c r="T1315">
        <v>315</v>
      </c>
      <c r="U1315">
        <v>37</v>
      </c>
      <c r="V1315">
        <v>0</v>
      </c>
      <c r="W1315">
        <v>0</v>
      </c>
      <c r="X1315" s="10">
        <v>0.23320098551910129</v>
      </c>
      <c r="Y1315" s="9">
        <v>442</v>
      </c>
      <c r="Z1315" s="9">
        <v>350</v>
      </c>
      <c r="AA1315" s="9">
        <v>408</v>
      </c>
      <c r="AB1315">
        <v>0.63043478260869568</v>
      </c>
      <c r="AC1315" s="11">
        <v>0.55618227285357047</v>
      </c>
      <c r="AD1315" s="9">
        <v>368.25310734463272</v>
      </c>
      <c r="AE1315" s="8">
        <v>6.8062827225130892E-2</v>
      </c>
    </row>
    <row r="1316" spans="1:31" x14ac:dyDescent="0.35">
      <c r="A1316" s="6" t="s">
        <v>1337</v>
      </c>
      <c r="B1316" s="7">
        <v>14</v>
      </c>
      <c r="C1316" s="7">
        <v>0</v>
      </c>
      <c r="D1316" s="7">
        <v>1</v>
      </c>
      <c r="E1316" s="7">
        <v>3</v>
      </c>
      <c r="F1316">
        <v>3784</v>
      </c>
      <c r="G1316">
        <v>307</v>
      </c>
      <c r="H1316">
        <v>8.11</v>
      </c>
      <c r="I1316">
        <v>234</v>
      </c>
      <c r="J1316">
        <v>6.17</v>
      </c>
      <c r="K1316">
        <v>2465</v>
      </c>
      <c r="L1316">
        <v>1662</v>
      </c>
      <c r="M1316">
        <v>803</v>
      </c>
      <c r="N1316">
        <v>2600.89</v>
      </c>
      <c r="O1316">
        <v>33.83</v>
      </c>
      <c r="P1316">
        <v>3.34</v>
      </c>
      <c r="Q1316">
        <v>1.06</v>
      </c>
      <c r="R1316">
        <v>0.21</v>
      </c>
      <c r="S1316">
        <v>3963</v>
      </c>
      <c r="T1316">
        <v>12490</v>
      </c>
      <c r="U1316">
        <v>64195</v>
      </c>
      <c r="V1316">
        <v>344</v>
      </c>
      <c r="W1316">
        <v>4.67</v>
      </c>
      <c r="X1316" s="10">
        <v>0.70876834417535406</v>
      </c>
      <c r="Y1316" s="9">
        <v>27600</v>
      </c>
      <c r="Z1316" s="9">
        <v>13250</v>
      </c>
      <c r="AA1316" s="9">
        <v>25500</v>
      </c>
      <c r="AB1316">
        <v>0.85365853658536583</v>
      </c>
      <c r="AC1316" s="11">
        <v>181.92136704640177</v>
      </c>
      <c r="AD1316" s="9">
        <v>16002.231638418078</v>
      </c>
      <c r="AE1316" s="8">
        <v>0.9101123595505618</v>
      </c>
    </row>
    <row r="1317" spans="1:31" x14ac:dyDescent="0.35">
      <c r="A1317" s="6" t="s">
        <v>1338</v>
      </c>
      <c r="B1317" s="7">
        <v>16</v>
      </c>
      <c r="C1317" s="7">
        <v>2</v>
      </c>
      <c r="D1317" s="7">
        <v>0</v>
      </c>
      <c r="E1317" s="7">
        <v>0</v>
      </c>
      <c r="F1317">
        <v>1292</v>
      </c>
      <c r="G1317">
        <v>77</v>
      </c>
      <c r="H1317">
        <v>5.99</v>
      </c>
      <c r="I1317">
        <v>53</v>
      </c>
      <c r="J1317">
        <v>4.12</v>
      </c>
      <c r="K1317">
        <v>1284</v>
      </c>
      <c r="L1317">
        <v>814</v>
      </c>
      <c r="M1317">
        <v>469</v>
      </c>
      <c r="N1317">
        <v>966.6</v>
      </c>
      <c r="O1317">
        <v>11.91</v>
      </c>
      <c r="P1317">
        <v>6.95</v>
      </c>
      <c r="Q1317">
        <v>0.82</v>
      </c>
      <c r="R1317">
        <v>0.28999999999999998</v>
      </c>
      <c r="S1317">
        <v>6054</v>
      </c>
      <c r="T1317">
        <v>50986</v>
      </c>
      <c r="U1317">
        <v>146847</v>
      </c>
      <c r="V1317">
        <v>131</v>
      </c>
      <c r="W1317">
        <v>6.45</v>
      </c>
      <c r="X1317" s="10">
        <v>0.69409831008005241</v>
      </c>
      <c r="Y1317" s="9">
        <v>69000</v>
      </c>
      <c r="Z1317" s="9">
        <v>42000</v>
      </c>
      <c r="AA1317" s="9">
        <v>58700</v>
      </c>
      <c r="AB1317">
        <v>0.61851851851851847</v>
      </c>
      <c r="AC1317" s="11">
        <v>272.65073631564331</v>
      </c>
      <c r="AD1317" s="9">
        <v>40527.485875706217</v>
      </c>
      <c r="AE1317" s="8">
        <v>0.39761904761904759</v>
      </c>
    </row>
    <row r="1318" spans="1:31" x14ac:dyDescent="0.35">
      <c r="A1318" s="6" t="s">
        <v>1339</v>
      </c>
      <c r="B1318" s="7">
        <v>2</v>
      </c>
      <c r="C1318" s="7">
        <v>4</v>
      </c>
      <c r="D1318" s="7">
        <v>9</v>
      </c>
      <c r="E1318" s="7">
        <v>3</v>
      </c>
      <c r="F1318">
        <v>3168</v>
      </c>
      <c r="G1318">
        <v>49</v>
      </c>
      <c r="H1318">
        <v>1.56</v>
      </c>
      <c r="I1318">
        <v>4</v>
      </c>
      <c r="J1318">
        <v>0.12</v>
      </c>
      <c r="K1318">
        <v>3786</v>
      </c>
      <c r="L1318">
        <v>2512</v>
      </c>
      <c r="M1318">
        <v>1274</v>
      </c>
      <c r="N1318">
        <v>1716</v>
      </c>
      <c r="O1318">
        <v>0.34</v>
      </c>
      <c r="P1318">
        <v>152.75</v>
      </c>
      <c r="Q1318">
        <v>0.68</v>
      </c>
      <c r="R1318">
        <v>0.19</v>
      </c>
      <c r="S1318">
        <v>40</v>
      </c>
      <c r="T1318">
        <v>9037</v>
      </c>
      <c r="U1318">
        <v>32695</v>
      </c>
      <c r="V1318">
        <v>196</v>
      </c>
      <c r="W1318">
        <v>13.18</v>
      </c>
      <c r="X1318" s="10">
        <v>0.86135820590550682</v>
      </c>
      <c r="Y1318" s="9">
        <v>6450</v>
      </c>
      <c r="Z1318" s="9">
        <v>5200</v>
      </c>
      <c r="AA1318" s="9">
        <v>5600</v>
      </c>
      <c r="AB1318">
        <v>0.32</v>
      </c>
      <c r="AC1318" s="11">
        <v>-19.34287302028341</v>
      </c>
      <c r="AD1318" s="9">
        <v>6404.1242937853112</v>
      </c>
      <c r="AE1318" s="8">
        <v>-8.943089430894309E-2</v>
      </c>
    </row>
    <row r="1319" spans="1:31" x14ac:dyDescent="0.35">
      <c r="A1319" s="6" t="s">
        <v>1340</v>
      </c>
      <c r="B1319" s="7">
        <v>1</v>
      </c>
      <c r="C1319" s="7">
        <v>7</v>
      </c>
      <c r="D1319" s="7">
        <v>5</v>
      </c>
      <c r="E1319" s="7">
        <v>5</v>
      </c>
      <c r="F1319">
        <v>50</v>
      </c>
      <c r="G1319">
        <v>-4</v>
      </c>
      <c r="H1319">
        <v>-7.35</v>
      </c>
      <c r="I1319">
        <v>98</v>
      </c>
      <c r="J1319">
        <v>196.83</v>
      </c>
      <c r="K1319">
        <v>360</v>
      </c>
      <c r="L1319">
        <v>52</v>
      </c>
      <c r="M1319">
        <v>308</v>
      </c>
      <c r="N1319">
        <v>136.58000000000001</v>
      </c>
      <c r="O1319">
        <v>57.8</v>
      </c>
      <c r="P1319">
        <v>1.63</v>
      </c>
      <c r="Q1319">
        <v>0.82</v>
      </c>
      <c r="R1319">
        <v>3.22</v>
      </c>
      <c r="S1319">
        <v>591</v>
      </c>
      <c r="T1319">
        <v>1183</v>
      </c>
      <c r="U1319">
        <v>300</v>
      </c>
      <c r="V1319">
        <v>-3</v>
      </c>
      <c r="W1319">
        <v>-94.57</v>
      </c>
      <c r="X1319" s="10">
        <v>6.2573117225018238E-2</v>
      </c>
      <c r="Y1319" s="9">
        <v>865</v>
      </c>
      <c r="Z1319" s="9">
        <v>536</v>
      </c>
      <c r="AA1319" s="9">
        <v>592</v>
      </c>
      <c r="AB1319">
        <v>0.1702127659574468</v>
      </c>
      <c r="AC1319" s="11">
        <v>-1.0496804667963324</v>
      </c>
      <c r="AD1319" s="9">
        <v>793.64858757062143</v>
      </c>
      <c r="AE1319" s="8">
        <v>-0.29607609988109396</v>
      </c>
    </row>
    <row r="1320" spans="1:31" x14ac:dyDescent="0.35">
      <c r="A1320" s="6" t="s">
        <v>1341</v>
      </c>
      <c r="B1320" s="7">
        <v>4</v>
      </c>
      <c r="C1320" s="7">
        <v>5</v>
      </c>
      <c r="D1320" s="7">
        <v>5</v>
      </c>
      <c r="E1320" s="7">
        <v>4</v>
      </c>
      <c r="F1320">
        <v>2874</v>
      </c>
      <c r="G1320">
        <v>63</v>
      </c>
      <c r="H1320">
        <v>2.1800000000000002</v>
      </c>
      <c r="I1320">
        <v>47</v>
      </c>
      <c r="J1320">
        <v>1.62</v>
      </c>
      <c r="K1320">
        <v>2271</v>
      </c>
      <c r="L1320">
        <v>1142</v>
      </c>
      <c r="M1320">
        <v>1129</v>
      </c>
      <c r="N1320">
        <v>971.94</v>
      </c>
      <c r="O1320">
        <v>5.55</v>
      </c>
      <c r="P1320">
        <v>16.43</v>
      </c>
      <c r="Q1320">
        <v>0.99</v>
      </c>
      <c r="R1320">
        <v>0.27</v>
      </c>
      <c r="S1320">
        <v>293</v>
      </c>
      <c r="T1320">
        <v>4862</v>
      </c>
      <c r="U1320">
        <v>18095</v>
      </c>
      <c r="V1320">
        <v>141</v>
      </c>
      <c r="W1320">
        <v>12.94</v>
      </c>
      <c r="X1320" s="10">
        <v>0.70814193403833925</v>
      </c>
      <c r="Y1320" s="9">
        <v>6480</v>
      </c>
      <c r="Z1320" s="9">
        <v>5080</v>
      </c>
      <c r="AA1320" s="9">
        <v>6400</v>
      </c>
      <c r="AB1320">
        <v>0.94285714285714284</v>
      </c>
      <c r="AC1320" s="11">
        <v>16.82772992497916</v>
      </c>
      <c r="AD1320" s="9">
        <v>5310.9209039548023</v>
      </c>
      <c r="AE1320" s="8">
        <v>0.21212121212121213</v>
      </c>
    </row>
    <row r="1321" spans="1:31" x14ac:dyDescent="0.35">
      <c r="A1321" s="6" t="s">
        <v>1342</v>
      </c>
      <c r="B1321" s="7">
        <v>6</v>
      </c>
      <c r="C1321" s="7">
        <v>2</v>
      </c>
      <c r="D1321" s="7">
        <v>5</v>
      </c>
      <c r="E1321" s="7">
        <v>5</v>
      </c>
      <c r="F1321">
        <v>2542</v>
      </c>
      <c r="G1321">
        <v>71</v>
      </c>
      <c r="H1321">
        <v>2.79</v>
      </c>
      <c r="I1321">
        <v>28</v>
      </c>
      <c r="J1321">
        <v>1.1100000000000001</v>
      </c>
      <c r="K1321">
        <v>1876</v>
      </c>
      <c r="L1321">
        <v>405</v>
      </c>
      <c r="M1321">
        <v>1470</v>
      </c>
      <c r="N1321">
        <v>2298.75</v>
      </c>
      <c r="O1321">
        <v>1.95</v>
      </c>
      <c r="P1321">
        <v>53.81</v>
      </c>
      <c r="Q1321">
        <v>1.07</v>
      </c>
      <c r="R1321">
        <v>0.59</v>
      </c>
      <c r="S1321">
        <v>236</v>
      </c>
      <c r="T1321">
        <v>11881</v>
      </c>
      <c r="U1321">
        <v>21374</v>
      </c>
      <c r="V1321">
        <v>87</v>
      </c>
      <c r="W1321">
        <v>19.43</v>
      </c>
      <c r="X1321" s="10">
        <v>3.6144389784153561E-2</v>
      </c>
      <c r="Y1321" s="9">
        <v>14800</v>
      </c>
      <c r="Z1321" s="9">
        <v>11700</v>
      </c>
      <c r="AA1321" s="9">
        <v>12300</v>
      </c>
      <c r="AB1321">
        <v>0.19354838709677419</v>
      </c>
      <c r="AC1321" s="11">
        <v>-9.3234231731036417</v>
      </c>
      <c r="AD1321" s="9">
        <v>13225.197740112995</v>
      </c>
      <c r="AE1321" s="8">
        <v>-3.90625E-2</v>
      </c>
    </row>
    <row r="1322" spans="1:31" x14ac:dyDescent="0.35">
      <c r="A1322" s="6" t="s">
        <v>1343</v>
      </c>
      <c r="B1322" s="7">
        <v>1</v>
      </c>
      <c r="C1322" s="7">
        <v>9</v>
      </c>
      <c r="D1322" s="7">
        <v>3</v>
      </c>
      <c r="E1322" s="7">
        <v>5</v>
      </c>
      <c r="F1322">
        <v>996</v>
      </c>
      <c r="G1322">
        <v>5</v>
      </c>
      <c r="H1322">
        <v>0.47</v>
      </c>
      <c r="I1322">
        <v>4</v>
      </c>
      <c r="J1322">
        <v>0.45</v>
      </c>
      <c r="K1322">
        <v>829</v>
      </c>
      <c r="L1322">
        <v>423</v>
      </c>
      <c r="M1322">
        <v>406</v>
      </c>
      <c r="N1322">
        <v>345.6</v>
      </c>
      <c r="O1322">
        <v>1.47</v>
      </c>
      <c r="P1322">
        <v>65.650000000000006</v>
      </c>
      <c r="Q1322">
        <v>1.08</v>
      </c>
      <c r="R1322">
        <v>0.3</v>
      </c>
      <c r="S1322">
        <v>31</v>
      </c>
      <c r="T1322">
        <v>1893</v>
      </c>
      <c r="U1322">
        <v>6855</v>
      </c>
      <c r="V1322">
        <v>25</v>
      </c>
      <c r="W1322">
        <v>26.02</v>
      </c>
      <c r="X1322" s="10">
        <v>0.81213273069881153</v>
      </c>
      <c r="Y1322" s="9">
        <v>2350</v>
      </c>
      <c r="Z1322" s="9">
        <v>1830</v>
      </c>
      <c r="AA1322" s="9">
        <v>2255</v>
      </c>
      <c r="AB1322">
        <v>0.81730769230769229</v>
      </c>
      <c r="AC1322" s="11">
        <v>9.0523756599055307</v>
      </c>
      <c r="AD1322" s="9">
        <v>1769.819209039548</v>
      </c>
      <c r="AE1322" s="8">
        <v>0.215633423180593</v>
      </c>
    </row>
    <row r="1323" spans="1:31" x14ac:dyDescent="0.35">
      <c r="A1323" s="6" t="s">
        <v>1344</v>
      </c>
      <c r="B1323" s="7">
        <v>9</v>
      </c>
      <c r="C1323" s="7">
        <v>2</v>
      </c>
      <c r="D1323" s="7">
        <v>6</v>
      </c>
      <c r="E1323" s="7">
        <v>1</v>
      </c>
      <c r="F1323">
        <v>2277</v>
      </c>
      <c r="G1323">
        <v>47</v>
      </c>
      <c r="H1323">
        <v>2.0499999999999998</v>
      </c>
      <c r="I1323">
        <v>41</v>
      </c>
      <c r="J1323">
        <v>1.8</v>
      </c>
      <c r="K1323">
        <v>1066</v>
      </c>
      <c r="L1323">
        <v>345</v>
      </c>
      <c r="M1323">
        <v>722</v>
      </c>
      <c r="N1323">
        <v>883.92</v>
      </c>
      <c r="O1323">
        <v>5.79</v>
      </c>
      <c r="P1323">
        <v>7.98</v>
      </c>
      <c r="Q1323">
        <v>0.53</v>
      </c>
      <c r="R1323">
        <v>0.14000000000000001</v>
      </c>
      <c r="S1323">
        <v>295</v>
      </c>
      <c r="T1323">
        <v>4460</v>
      </c>
      <c r="U1323">
        <v>16332</v>
      </c>
      <c r="V1323">
        <v>95</v>
      </c>
      <c r="W1323">
        <v>3.95</v>
      </c>
      <c r="X1323" s="10">
        <v>0.60710461501499302</v>
      </c>
      <c r="Y1323" s="9">
        <v>3050</v>
      </c>
      <c r="Z1323" s="9">
        <v>2300</v>
      </c>
      <c r="AA1323" s="9">
        <v>2885</v>
      </c>
      <c r="AB1323">
        <v>0.78</v>
      </c>
      <c r="AC1323" s="11">
        <v>5.7550708530147263</v>
      </c>
      <c r="AD1323" s="9">
        <v>2486.0536723163841</v>
      </c>
      <c r="AE1323" s="8">
        <v>0.21473684210526317</v>
      </c>
    </row>
    <row r="1324" spans="1:31" x14ac:dyDescent="0.35">
      <c r="A1324" s="6" t="s">
        <v>1345</v>
      </c>
      <c r="B1324" s="7">
        <v>0</v>
      </c>
      <c r="C1324" s="7">
        <v>8</v>
      </c>
      <c r="D1324" s="7">
        <v>1</v>
      </c>
      <c r="E1324" s="7">
        <v>9</v>
      </c>
      <c r="F1324">
        <v>555</v>
      </c>
      <c r="G1324">
        <v>-19</v>
      </c>
      <c r="H1324">
        <v>-3.44</v>
      </c>
      <c r="I1324">
        <v>-13</v>
      </c>
      <c r="J1324">
        <v>-2.42</v>
      </c>
      <c r="K1324">
        <v>1273</v>
      </c>
      <c r="L1324">
        <v>830</v>
      </c>
      <c r="M1324">
        <v>443</v>
      </c>
      <c r="N1324">
        <v>339.09</v>
      </c>
      <c r="O1324">
        <v>-3.85</v>
      </c>
      <c r="P1324">
        <v>0</v>
      </c>
      <c r="Q1324">
        <v>0.97</v>
      </c>
      <c r="R1324">
        <v>0.52</v>
      </c>
      <c r="S1324">
        <v>-92</v>
      </c>
      <c r="T1324">
        <v>2008</v>
      </c>
      <c r="U1324">
        <v>3793</v>
      </c>
      <c r="V1324">
        <v>-10</v>
      </c>
      <c r="W1324">
        <v>-107.23</v>
      </c>
      <c r="X1324" s="10">
        <v>0.78700030781783004</v>
      </c>
      <c r="Y1324" s="9">
        <v>2000</v>
      </c>
      <c r="Z1324" s="9">
        <v>1715</v>
      </c>
      <c r="AA1324" s="9">
        <v>1910</v>
      </c>
      <c r="AB1324">
        <v>0.68421052631578949</v>
      </c>
      <c r="AC1324" s="11">
        <v>4.2247846624062237</v>
      </c>
      <c r="AD1324" s="9">
        <v>1709.9774011299435</v>
      </c>
      <c r="AE1324" s="8">
        <v>6.7039106145251395E-2</v>
      </c>
    </row>
    <row r="1325" spans="1:31" x14ac:dyDescent="0.35">
      <c r="A1325" s="6" t="s">
        <v>1346</v>
      </c>
      <c r="B1325" s="7">
        <v>4</v>
      </c>
      <c r="C1325" s="7">
        <v>0</v>
      </c>
      <c r="D1325" s="7">
        <v>9</v>
      </c>
      <c r="E1325" s="7">
        <v>5</v>
      </c>
      <c r="F1325">
        <v>65</v>
      </c>
      <c r="G1325">
        <v>10</v>
      </c>
      <c r="H1325">
        <v>15.99</v>
      </c>
      <c r="I1325">
        <v>11</v>
      </c>
      <c r="J1325">
        <v>16.2</v>
      </c>
      <c r="K1325">
        <v>105</v>
      </c>
      <c r="L1325">
        <v>47</v>
      </c>
      <c r="M1325">
        <v>58</v>
      </c>
      <c r="N1325">
        <v>481.2</v>
      </c>
      <c r="O1325">
        <v>26.57</v>
      </c>
      <c r="P1325">
        <v>0</v>
      </c>
      <c r="Q1325">
        <v>0</v>
      </c>
      <c r="R1325">
        <v>0</v>
      </c>
      <c r="S1325">
        <v>701</v>
      </c>
      <c r="T1325">
        <v>2895</v>
      </c>
      <c r="U1325">
        <v>4332</v>
      </c>
      <c r="V1325">
        <v>0</v>
      </c>
      <c r="W1325">
        <v>0</v>
      </c>
      <c r="X1325" s="10">
        <v>2.0168337481472835E-2</v>
      </c>
      <c r="Y1325" s="9">
        <v>12500</v>
      </c>
      <c r="Z1325" s="9">
        <v>8270</v>
      </c>
      <c r="AA1325" s="9">
        <v>9360</v>
      </c>
      <c r="AB1325">
        <v>0.25768321513002362</v>
      </c>
      <c r="AC1325" s="11">
        <v>10.1786607390942</v>
      </c>
      <c r="AD1325" s="9">
        <v>10023.717514124293</v>
      </c>
      <c r="AE1325" s="8">
        <v>-1.5772870662460567E-2</v>
      </c>
    </row>
    <row r="1326" spans="1:31" x14ac:dyDescent="0.35">
      <c r="A1326" s="6" t="s">
        <v>1347</v>
      </c>
      <c r="B1326" s="7">
        <v>5</v>
      </c>
      <c r="C1326" s="7">
        <v>2</v>
      </c>
      <c r="D1326" s="7">
        <v>11</v>
      </c>
      <c r="E1326" s="7">
        <v>0</v>
      </c>
      <c r="F1326">
        <v>1102</v>
      </c>
      <c r="G1326">
        <v>59</v>
      </c>
      <c r="H1326">
        <v>5.35</v>
      </c>
      <c r="I1326">
        <v>34</v>
      </c>
      <c r="J1326">
        <v>3.13</v>
      </c>
      <c r="K1326">
        <v>1552</v>
      </c>
      <c r="L1326">
        <v>595</v>
      </c>
      <c r="M1326">
        <v>957</v>
      </c>
      <c r="N1326">
        <v>866.05</v>
      </c>
      <c r="O1326">
        <v>3.62</v>
      </c>
      <c r="P1326">
        <v>21.27</v>
      </c>
      <c r="Q1326">
        <v>0.8</v>
      </c>
      <c r="R1326">
        <v>0.67</v>
      </c>
      <c r="S1326">
        <v>177</v>
      </c>
      <c r="T1326">
        <v>4714</v>
      </c>
      <c r="U1326">
        <v>5651</v>
      </c>
      <c r="V1326">
        <v>110</v>
      </c>
      <c r="W1326">
        <v>9.85</v>
      </c>
      <c r="X1326" s="10">
        <v>0.6202883466870559</v>
      </c>
      <c r="Y1326" s="9">
        <v>4300</v>
      </c>
      <c r="Z1326" s="9">
        <v>3550</v>
      </c>
      <c r="AA1326" s="9">
        <v>4000</v>
      </c>
      <c r="AB1326">
        <v>0.6</v>
      </c>
      <c r="AC1326" s="11">
        <v>10.283412058905251</v>
      </c>
      <c r="AD1326" s="9">
        <v>3667.3559322033898</v>
      </c>
      <c r="AE1326" s="8">
        <v>5.9602649006622516E-2</v>
      </c>
    </row>
    <row r="1327" spans="1:31" x14ac:dyDescent="0.35">
      <c r="A1327" s="6" t="s">
        <v>1348</v>
      </c>
      <c r="B1327" s="7">
        <v>4</v>
      </c>
      <c r="C1327" s="7">
        <v>4</v>
      </c>
      <c r="D1327" s="7">
        <v>8</v>
      </c>
      <c r="E1327" s="7">
        <v>2</v>
      </c>
      <c r="F1327">
        <v>1097</v>
      </c>
      <c r="G1327">
        <v>35</v>
      </c>
      <c r="H1327">
        <v>3.19</v>
      </c>
      <c r="I1327">
        <v>22</v>
      </c>
      <c r="J1327">
        <v>2.0299999999999998</v>
      </c>
      <c r="K1327">
        <v>1004</v>
      </c>
      <c r="L1327">
        <v>672</v>
      </c>
      <c r="M1327">
        <v>332</v>
      </c>
      <c r="N1327">
        <v>971.73</v>
      </c>
      <c r="O1327">
        <v>6.83</v>
      </c>
      <c r="P1327">
        <v>5.46</v>
      </c>
      <c r="Q1327">
        <v>0.38</v>
      </c>
      <c r="R1327">
        <v>0.11</v>
      </c>
      <c r="S1327">
        <v>362</v>
      </c>
      <c r="T1327">
        <v>5161</v>
      </c>
      <c r="U1327">
        <v>17864</v>
      </c>
      <c r="V1327">
        <v>64</v>
      </c>
      <c r="W1327">
        <v>8.42</v>
      </c>
      <c r="X1327" s="10">
        <v>0.65103026570787792</v>
      </c>
      <c r="Y1327" s="9">
        <v>4425</v>
      </c>
      <c r="Z1327" s="9">
        <v>1915</v>
      </c>
      <c r="AA1327" s="9">
        <v>2985</v>
      </c>
      <c r="AB1327">
        <v>0.42629482071713148</v>
      </c>
      <c r="AC1327" s="11">
        <v>28.100861350375109</v>
      </c>
      <c r="AD1327" s="9">
        <v>1649.2570621468926</v>
      </c>
      <c r="AE1327" s="8">
        <v>0.52685421994884907</v>
      </c>
    </row>
    <row r="1328" spans="1:31" x14ac:dyDescent="0.35">
      <c r="A1328" s="6" t="s">
        <v>1349</v>
      </c>
      <c r="B1328" s="7">
        <v>3</v>
      </c>
      <c r="C1328" s="7">
        <v>1</v>
      </c>
      <c r="D1328" s="7">
        <v>5</v>
      </c>
      <c r="E1328" s="7">
        <v>9</v>
      </c>
      <c r="F1328">
        <v>298</v>
      </c>
      <c r="G1328">
        <v>15</v>
      </c>
      <c r="H1328">
        <v>4.8899999999999997</v>
      </c>
      <c r="I1328">
        <v>16</v>
      </c>
      <c r="J1328">
        <v>5.27</v>
      </c>
      <c r="K1328">
        <v>371</v>
      </c>
      <c r="L1328">
        <v>202</v>
      </c>
      <c r="M1328">
        <v>169</v>
      </c>
      <c r="N1328">
        <v>723.09</v>
      </c>
      <c r="O1328">
        <v>19.5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 s="10">
        <v>3.0103723106597681E-2</v>
      </c>
      <c r="Y1328" s="9">
        <v>7140</v>
      </c>
      <c r="Z1328" s="9">
        <v>5960</v>
      </c>
      <c r="AA1328" s="9">
        <v>6850</v>
      </c>
      <c r="AB1328">
        <v>0.75423728813559321</v>
      </c>
      <c r="AC1328" s="11">
        <v>2.4742984162267296</v>
      </c>
      <c r="AD1328" s="9">
        <v>6410.7005649717521</v>
      </c>
      <c r="AE1328" s="8">
        <v>2.5449101796407185E-2</v>
      </c>
    </row>
    <row r="1329" spans="1:31" x14ac:dyDescent="0.35">
      <c r="A1329" s="6" t="s">
        <v>1350</v>
      </c>
      <c r="B1329" s="7">
        <v>3</v>
      </c>
      <c r="C1329" s="7">
        <v>2</v>
      </c>
      <c r="D1329" s="7">
        <v>9</v>
      </c>
      <c r="E1329" s="7">
        <v>4</v>
      </c>
      <c r="F1329">
        <v>174</v>
      </c>
      <c r="G1329">
        <v>11</v>
      </c>
      <c r="H1329">
        <v>6.42</v>
      </c>
      <c r="I1329">
        <v>10</v>
      </c>
      <c r="J1329">
        <v>5.8</v>
      </c>
      <c r="K1329">
        <v>893</v>
      </c>
      <c r="L1329">
        <v>156</v>
      </c>
      <c r="M1329">
        <v>736</v>
      </c>
      <c r="N1329">
        <v>1231.99</v>
      </c>
      <c r="O1329">
        <v>1.37</v>
      </c>
      <c r="P1329">
        <v>43.58</v>
      </c>
      <c r="Q1329">
        <v>0.65</v>
      </c>
      <c r="R1329">
        <v>2.54</v>
      </c>
      <c r="S1329">
        <v>95</v>
      </c>
      <c r="T1329">
        <v>6398</v>
      </c>
      <c r="U1329">
        <v>1630</v>
      </c>
      <c r="V1329">
        <v>22</v>
      </c>
      <c r="W1329">
        <v>21.98</v>
      </c>
      <c r="X1329" s="10">
        <v>0.58935108233391231</v>
      </c>
      <c r="Y1329" s="9">
        <v>4780</v>
      </c>
      <c r="Z1329" s="9">
        <v>4135</v>
      </c>
      <c r="AA1329" s="9">
        <v>4735</v>
      </c>
      <c r="AB1329">
        <v>0.93023255813953487</v>
      </c>
      <c r="AC1329" s="11">
        <v>6.9045568213392619</v>
      </c>
      <c r="AD1329" s="9">
        <v>4262.8276836158193</v>
      </c>
      <c r="AE1329" s="8">
        <v>0.13822115384615385</v>
      </c>
    </row>
    <row r="1330" spans="1:31" x14ac:dyDescent="0.35">
      <c r="A1330" s="6" t="s">
        <v>1351</v>
      </c>
      <c r="B1330" s="7">
        <v>10</v>
      </c>
      <c r="C1330" s="7">
        <v>1</v>
      </c>
      <c r="D1330" s="7">
        <v>0</v>
      </c>
      <c r="E1330" s="7">
        <v>7</v>
      </c>
      <c r="F1330">
        <v>11401</v>
      </c>
      <c r="G1330">
        <v>641</v>
      </c>
      <c r="H1330">
        <v>5.62</v>
      </c>
      <c r="I1330">
        <v>440</v>
      </c>
      <c r="J1330">
        <v>3.86</v>
      </c>
      <c r="K1330">
        <v>10748</v>
      </c>
      <c r="L1330">
        <v>3554</v>
      </c>
      <c r="M1330">
        <v>7194</v>
      </c>
      <c r="N1330">
        <v>3146.84</v>
      </c>
      <c r="O1330">
        <v>6.3</v>
      </c>
      <c r="P1330">
        <v>53.32</v>
      </c>
      <c r="Q1330">
        <v>3.28</v>
      </c>
      <c r="R1330">
        <v>2.06</v>
      </c>
      <c r="S1330">
        <v>994</v>
      </c>
      <c r="T1330">
        <v>16170</v>
      </c>
      <c r="U1330">
        <v>25729</v>
      </c>
      <c r="V1330">
        <v>702</v>
      </c>
      <c r="W1330">
        <v>33.450000000000003</v>
      </c>
      <c r="X1330" s="10">
        <v>0.25319633305501954</v>
      </c>
      <c r="Y1330" s="9">
        <v>56400</v>
      </c>
      <c r="Z1330" s="9">
        <v>45700</v>
      </c>
      <c r="AA1330" s="9">
        <v>51800</v>
      </c>
      <c r="AB1330">
        <v>0.57009345794392519</v>
      </c>
      <c r="AC1330" s="11">
        <v>-65.536260072242271</v>
      </c>
      <c r="AD1330" s="9">
        <v>53853.022598870055</v>
      </c>
      <c r="AE1330" s="8">
        <v>-2.0793950850661626E-2</v>
      </c>
    </row>
    <row r="1331" spans="1:31" x14ac:dyDescent="0.35">
      <c r="A1331" s="6" t="s">
        <v>1352</v>
      </c>
      <c r="B1331" s="7">
        <v>6</v>
      </c>
      <c r="C1331" s="7">
        <v>8</v>
      </c>
      <c r="D1331" s="7">
        <v>2</v>
      </c>
      <c r="E1331" s="7">
        <v>2</v>
      </c>
      <c r="F1331">
        <v>270</v>
      </c>
      <c r="G1331">
        <v>228</v>
      </c>
      <c r="H1331">
        <v>84.5</v>
      </c>
      <c r="I1331">
        <v>195</v>
      </c>
      <c r="J1331">
        <v>72.34</v>
      </c>
      <c r="K1331">
        <v>4095</v>
      </c>
      <c r="L1331">
        <v>156</v>
      </c>
      <c r="M1331">
        <v>3939</v>
      </c>
      <c r="N1331">
        <v>5750.76</v>
      </c>
      <c r="O1331">
        <v>5.05</v>
      </c>
      <c r="P1331">
        <v>52.82</v>
      </c>
      <c r="Q1331">
        <v>3.08</v>
      </c>
      <c r="R1331">
        <v>38.200000000000003</v>
      </c>
      <c r="S1331">
        <v>1683</v>
      </c>
      <c r="T1331">
        <v>28884</v>
      </c>
      <c r="U1331">
        <v>2327</v>
      </c>
      <c r="V1331">
        <v>233</v>
      </c>
      <c r="W1331">
        <v>52.23</v>
      </c>
      <c r="X1331" s="10">
        <v>0.10357662694371934</v>
      </c>
      <c r="Y1331" s="9">
        <v>95900</v>
      </c>
      <c r="Z1331" s="9">
        <v>83300</v>
      </c>
      <c r="AA1331" s="9">
        <v>93500</v>
      </c>
      <c r="AB1331">
        <v>0.80952380952380953</v>
      </c>
      <c r="AC1331" s="11">
        <v>-48.924701305918312</v>
      </c>
      <c r="AD1331" s="9">
        <v>91088.87005649718</v>
      </c>
      <c r="AE1331" s="8">
        <v>6.3708759954493738E-2</v>
      </c>
    </row>
    <row r="1332" spans="1:31" x14ac:dyDescent="0.35">
      <c r="A1332" s="6" t="s">
        <v>1353</v>
      </c>
      <c r="B1332" s="7">
        <v>5</v>
      </c>
      <c r="C1332" s="7">
        <v>2</v>
      </c>
      <c r="D1332" s="7">
        <v>11</v>
      </c>
      <c r="E1332" s="7">
        <v>0</v>
      </c>
      <c r="F1332">
        <v>129</v>
      </c>
      <c r="G1332">
        <v>1</v>
      </c>
      <c r="H1332">
        <v>0.99</v>
      </c>
      <c r="I1332">
        <v>2</v>
      </c>
      <c r="J1332">
        <v>1.92</v>
      </c>
      <c r="K1332">
        <v>196</v>
      </c>
      <c r="L1332">
        <v>40</v>
      </c>
      <c r="M1332">
        <v>156</v>
      </c>
      <c r="N1332">
        <v>101.33</v>
      </c>
      <c r="O1332">
        <v>2.14</v>
      </c>
      <c r="P1332">
        <v>107.63</v>
      </c>
      <c r="Q1332">
        <v>2.36</v>
      </c>
      <c r="R1332">
        <v>2.0299999999999998</v>
      </c>
      <c r="S1332">
        <v>19</v>
      </c>
      <c r="T1332">
        <v>868</v>
      </c>
      <c r="U1332">
        <v>1005</v>
      </c>
      <c r="V1332">
        <v>5</v>
      </c>
      <c r="W1332">
        <v>78.790000000000006</v>
      </c>
      <c r="X1332" s="10">
        <v>0.83509227381983286</v>
      </c>
      <c r="Y1332" s="9">
        <v>3400</v>
      </c>
      <c r="Z1332" s="9">
        <v>1860</v>
      </c>
      <c r="AA1332" s="9">
        <v>3055</v>
      </c>
      <c r="AB1332">
        <v>0.77597402597402598</v>
      </c>
      <c r="AC1332" s="11">
        <v>27.061267018616281</v>
      </c>
      <c r="AD1332" s="9">
        <v>1522.8813559322034</v>
      </c>
      <c r="AE1332" s="8">
        <v>0.625</v>
      </c>
    </row>
    <row r="1333" spans="1:31" x14ac:dyDescent="0.35">
      <c r="A1333" s="6" t="s">
        <v>1354</v>
      </c>
      <c r="B1333" s="7">
        <v>5</v>
      </c>
      <c r="C1333" s="7">
        <v>2</v>
      </c>
      <c r="D1333" s="7">
        <v>8</v>
      </c>
      <c r="E1333" s="7">
        <v>3</v>
      </c>
      <c r="F1333">
        <v>1676</v>
      </c>
      <c r="G1333">
        <v>70</v>
      </c>
      <c r="H1333">
        <v>4.16</v>
      </c>
      <c r="I1333">
        <v>9</v>
      </c>
      <c r="J1333">
        <v>0.54</v>
      </c>
      <c r="K1333">
        <v>1790</v>
      </c>
      <c r="L1333">
        <v>782</v>
      </c>
      <c r="M1333">
        <v>1008</v>
      </c>
      <c r="N1333">
        <v>13.49</v>
      </c>
      <c r="O1333">
        <v>0.89</v>
      </c>
      <c r="P1333">
        <v>261</v>
      </c>
      <c r="Q1333">
        <v>2.34</v>
      </c>
      <c r="R1333">
        <v>1.38</v>
      </c>
      <c r="S1333">
        <v>5</v>
      </c>
      <c r="T1333">
        <v>557</v>
      </c>
      <c r="U1333">
        <v>943</v>
      </c>
      <c r="V1333">
        <v>119</v>
      </c>
      <c r="W1333">
        <v>20.87</v>
      </c>
      <c r="X1333" s="10">
        <v>0.90064279272995562</v>
      </c>
      <c r="Y1333" s="9">
        <v>1685</v>
      </c>
      <c r="Z1333" s="9">
        <v>1280</v>
      </c>
      <c r="AA1333" s="9">
        <v>1660</v>
      </c>
      <c r="AB1333">
        <v>0.93827160493827155</v>
      </c>
      <c r="AC1333" s="11">
        <v>6.595443178660739</v>
      </c>
      <c r="AD1333" s="9">
        <v>1258.3389830508474</v>
      </c>
      <c r="AE1333" s="8">
        <v>0.28185328185328185</v>
      </c>
    </row>
    <row r="1334" spans="1:31" x14ac:dyDescent="0.35">
      <c r="A1334" s="6" t="s">
        <v>1355</v>
      </c>
      <c r="B1334" s="7">
        <v>4</v>
      </c>
      <c r="C1334" s="7">
        <v>2</v>
      </c>
      <c r="D1334" s="7">
        <v>8</v>
      </c>
      <c r="E1334" s="7">
        <v>4</v>
      </c>
      <c r="F1334">
        <v>80</v>
      </c>
      <c r="G1334">
        <v>-20</v>
      </c>
      <c r="H1334">
        <v>-24.37</v>
      </c>
      <c r="I1334">
        <v>-32</v>
      </c>
      <c r="J1334">
        <v>-40.29</v>
      </c>
      <c r="K1334">
        <v>357</v>
      </c>
      <c r="L1334">
        <v>196</v>
      </c>
      <c r="M1334">
        <v>160</v>
      </c>
      <c r="N1334">
        <v>37.520000000000003</v>
      </c>
      <c r="O1334">
        <v>-27.33</v>
      </c>
      <c r="P1334">
        <v>0</v>
      </c>
      <c r="Q1334">
        <v>0.6</v>
      </c>
      <c r="R1334">
        <v>0.84</v>
      </c>
      <c r="S1334">
        <v>-197</v>
      </c>
      <c r="T1334">
        <v>687</v>
      </c>
      <c r="U1334">
        <v>489</v>
      </c>
      <c r="V1334">
        <v>-22</v>
      </c>
      <c r="W1334">
        <v>-10.17</v>
      </c>
      <c r="X1334" s="10">
        <v>0.74620578101728685</v>
      </c>
      <c r="Y1334" s="9">
        <v>371</v>
      </c>
      <c r="Z1334" s="9">
        <v>196</v>
      </c>
      <c r="AA1334" s="9">
        <v>364</v>
      </c>
      <c r="AB1334">
        <v>0.96</v>
      </c>
      <c r="AC1334" s="11">
        <v>3.5567657682689635</v>
      </c>
      <c r="AD1334" s="9">
        <v>196.01864406779663</v>
      </c>
      <c r="AE1334" s="8">
        <v>0.83838383838383834</v>
      </c>
    </row>
    <row r="1335" spans="1:31" x14ac:dyDescent="0.35">
      <c r="A1335" s="6" t="s">
        <v>1356</v>
      </c>
      <c r="B1335" s="7">
        <v>5</v>
      </c>
      <c r="C1335" s="7">
        <v>3</v>
      </c>
      <c r="D1335" s="7">
        <v>2</v>
      </c>
      <c r="E1335" s="7">
        <v>8</v>
      </c>
      <c r="F1335">
        <v>11034</v>
      </c>
      <c r="G1335">
        <v>199</v>
      </c>
      <c r="H1335">
        <v>1.8</v>
      </c>
      <c r="I1335">
        <v>334</v>
      </c>
      <c r="J1335">
        <v>3.03</v>
      </c>
      <c r="K1335">
        <v>19985</v>
      </c>
      <c r="L1335">
        <v>4027</v>
      </c>
      <c r="M1335">
        <v>15958</v>
      </c>
      <c r="N1335">
        <v>17416.39</v>
      </c>
      <c r="O1335">
        <v>2.11</v>
      </c>
      <c r="P1335">
        <v>63.67</v>
      </c>
      <c r="Q1335">
        <v>1.44</v>
      </c>
      <c r="R1335">
        <v>1.93</v>
      </c>
      <c r="S1335">
        <v>19444</v>
      </c>
      <c r="T1335">
        <v>862456</v>
      </c>
      <c r="U1335">
        <v>641486</v>
      </c>
      <c r="V1335">
        <v>700</v>
      </c>
      <c r="W1335">
        <v>32.6</v>
      </c>
      <c r="X1335" s="10">
        <v>8.9720837415930829E-2</v>
      </c>
      <c r="Y1335" s="9">
        <v>1432000</v>
      </c>
      <c r="Z1335" s="9">
        <v>1214000</v>
      </c>
      <c r="AA1335" s="9">
        <v>1260000</v>
      </c>
      <c r="AB1335">
        <v>0.21100917431192662</v>
      </c>
      <c r="AC1335" s="11">
        <v>-1146.9852736871353</v>
      </c>
      <c r="AD1335" s="9">
        <v>1358583.0508474577</v>
      </c>
      <c r="AE1335" s="8">
        <v>1.2048192771084338E-2</v>
      </c>
    </row>
    <row r="1336" spans="1:31" x14ac:dyDescent="0.35">
      <c r="A1336" s="6" t="s">
        <v>1357</v>
      </c>
      <c r="B1336" s="7">
        <v>1</v>
      </c>
      <c r="C1336" s="7">
        <v>12</v>
      </c>
      <c r="D1336" s="7">
        <v>2</v>
      </c>
      <c r="E1336" s="7">
        <v>3</v>
      </c>
      <c r="F1336">
        <v>854</v>
      </c>
      <c r="G1336">
        <v>100</v>
      </c>
      <c r="H1336">
        <v>11.69</v>
      </c>
      <c r="I1336">
        <v>100</v>
      </c>
      <c r="J1336">
        <v>11.71</v>
      </c>
      <c r="K1336">
        <v>3478</v>
      </c>
      <c r="L1336">
        <v>636</v>
      </c>
      <c r="M1336">
        <v>2842</v>
      </c>
      <c r="N1336">
        <v>3509.19</v>
      </c>
      <c r="O1336">
        <v>3.69</v>
      </c>
      <c r="P1336">
        <v>15.12</v>
      </c>
      <c r="Q1336">
        <v>0.53</v>
      </c>
      <c r="R1336">
        <v>1.77</v>
      </c>
      <c r="S1336">
        <v>635</v>
      </c>
      <c r="T1336">
        <v>18005</v>
      </c>
      <c r="U1336">
        <v>5422</v>
      </c>
      <c r="V1336">
        <v>118</v>
      </c>
      <c r="W1336">
        <v>12.86</v>
      </c>
      <c r="X1336" s="10">
        <v>0.60205944553768409</v>
      </c>
      <c r="Y1336" s="9">
        <v>11050</v>
      </c>
      <c r="Z1336" s="9">
        <v>9600</v>
      </c>
      <c r="AA1336" s="9">
        <v>11000</v>
      </c>
      <c r="AB1336">
        <v>0.96551724137931039</v>
      </c>
      <c r="AC1336" s="11">
        <v>14.346485134759655</v>
      </c>
      <c r="AD1336" s="9">
        <v>9719.5988700564958</v>
      </c>
      <c r="AE1336" s="8">
        <v>0.14583333333333334</v>
      </c>
    </row>
    <row r="1337" spans="1:31" x14ac:dyDescent="0.35">
      <c r="A1337" s="6" t="s">
        <v>1358</v>
      </c>
      <c r="B1337" s="7">
        <v>4</v>
      </c>
      <c r="C1337" s="7">
        <v>1</v>
      </c>
      <c r="D1337" s="7">
        <v>2</v>
      </c>
      <c r="E1337" s="7">
        <v>11</v>
      </c>
      <c r="F1337">
        <v>629</v>
      </c>
      <c r="G1337">
        <v>8</v>
      </c>
      <c r="H1337">
        <v>1.28</v>
      </c>
      <c r="I1337">
        <v>7</v>
      </c>
      <c r="J1337">
        <v>1.1599999999999999</v>
      </c>
      <c r="K1337">
        <v>1172</v>
      </c>
      <c r="L1337">
        <v>177</v>
      </c>
      <c r="M1337">
        <v>995</v>
      </c>
      <c r="N1337">
        <v>829.18</v>
      </c>
      <c r="O1337">
        <v>0.97</v>
      </c>
      <c r="P1337">
        <v>39.96</v>
      </c>
      <c r="Q1337">
        <v>0.48</v>
      </c>
      <c r="R1337">
        <v>0.46</v>
      </c>
      <c r="S1337">
        <v>528</v>
      </c>
      <c r="T1337">
        <v>44300</v>
      </c>
      <c r="U1337">
        <v>45444</v>
      </c>
      <c r="V1337">
        <v>46</v>
      </c>
      <c r="W1337">
        <v>10.29</v>
      </c>
      <c r="X1337" s="10">
        <v>8.5558283850520958E-2</v>
      </c>
      <c r="Y1337" s="9">
        <v>2280</v>
      </c>
      <c r="Z1337" s="9">
        <v>2060</v>
      </c>
      <c r="AA1337" s="9">
        <v>2180</v>
      </c>
      <c r="AB1337">
        <v>0.54545454545454541</v>
      </c>
      <c r="AC1337" s="11">
        <v>-1.1250347318699638</v>
      </c>
      <c r="AD1337" s="9">
        <v>2208.4802259887006</v>
      </c>
      <c r="AE1337" s="8">
        <v>-4.5662100456621002E-3</v>
      </c>
    </row>
    <row r="1338" spans="1:31" x14ac:dyDescent="0.35">
      <c r="A1338" s="6" t="s">
        <v>1359</v>
      </c>
      <c r="B1338" s="7">
        <v>3</v>
      </c>
      <c r="C1338" s="7">
        <v>12</v>
      </c>
      <c r="D1338" s="7">
        <v>2</v>
      </c>
      <c r="E1338" s="7">
        <v>1</v>
      </c>
      <c r="F1338">
        <v>1603</v>
      </c>
      <c r="G1338">
        <v>92</v>
      </c>
      <c r="H1338">
        <v>5.76</v>
      </c>
      <c r="I1338">
        <v>72</v>
      </c>
      <c r="J1338">
        <v>4.51</v>
      </c>
      <c r="K1338">
        <v>1044</v>
      </c>
      <c r="L1338">
        <v>519</v>
      </c>
      <c r="M1338">
        <v>526</v>
      </c>
      <c r="N1338">
        <v>131.18</v>
      </c>
      <c r="O1338">
        <v>14.76</v>
      </c>
      <c r="P1338">
        <v>8.15</v>
      </c>
      <c r="Q1338">
        <v>1.17</v>
      </c>
      <c r="R1338">
        <v>0.37</v>
      </c>
      <c r="S1338">
        <v>157</v>
      </c>
      <c r="T1338">
        <v>1096</v>
      </c>
      <c r="U1338">
        <v>3488</v>
      </c>
      <c r="V1338">
        <v>130</v>
      </c>
      <c r="W1338">
        <v>6.85</v>
      </c>
      <c r="X1338" s="10">
        <v>0.67401857392661257</v>
      </c>
      <c r="Y1338" s="9">
        <v>1790</v>
      </c>
      <c r="Z1338" s="9">
        <v>1250</v>
      </c>
      <c r="AA1338" s="9">
        <v>1620</v>
      </c>
      <c r="AB1338">
        <v>0.68518518518518523</v>
      </c>
      <c r="AC1338" s="11">
        <v>6.0597388163378714</v>
      </c>
      <c r="AD1338" s="9">
        <v>1228.6779661016949</v>
      </c>
      <c r="AE1338" s="8">
        <v>0.29599999999999999</v>
      </c>
    </row>
    <row r="1339" spans="1:31" x14ac:dyDescent="0.35">
      <c r="A1339" s="6" t="s">
        <v>1360</v>
      </c>
      <c r="B1339" s="7">
        <v>3</v>
      </c>
      <c r="C1339" s="7">
        <v>4</v>
      </c>
      <c r="D1339" s="7">
        <v>9</v>
      </c>
      <c r="E1339" s="7">
        <v>2</v>
      </c>
      <c r="F1339">
        <v>1091</v>
      </c>
      <c r="G1339">
        <v>25</v>
      </c>
      <c r="H1339">
        <v>2.31</v>
      </c>
      <c r="I1339">
        <v>22</v>
      </c>
      <c r="J1339">
        <v>2.06</v>
      </c>
      <c r="K1339">
        <v>2950</v>
      </c>
      <c r="L1339">
        <v>1415</v>
      </c>
      <c r="M1339">
        <v>1535</v>
      </c>
      <c r="N1339">
        <v>546.80999999999995</v>
      </c>
      <c r="O1339">
        <v>1.96</v>
      </c>
      <c r="P1339">
        <v>33.130000000000003</v>
      </c>
      <c r="Q1339">
        <v>1.17</v>
      </c>
      <c r="R1339">
        <v>0.69</v>
      </c>
      <c r="S1339">
        <v>67</v>
      </c>
      <c r="T1339">
        <v>1895</v>
      </c>
      <c r="U1339">
        <v>3219</v>
      </c>
      <c r="V1339">
        <v>34</v>
      </c>
      <c r="W1339">
        <v>68.239999999999995</v>
      </c>
      <c r="X1339" s="10">
        <v>0.84177410090085902</v>
      </c>
      <c r="Y1339" s="9">
        <v>2235</v>
      </c>
      <c r="Z1339" s="9">
        <v>1690</v>
      </c>
      <c r="AA1339" s="9">
        <v>2200</v>
      </c>
      <c r="AB1339">
        <v>0.93577981651376152</v>
      </c>
      <c r="AC1339" s="11">
        <v>8.5915532092247862</v>
      </c>
      <c r="AD1339" s="9">
        <v>1633.6242937853108</v>
      </c>
      <c r="AE1339" s="8">
        <v>0.22905027932960895</v>
      </c>
    </row>
    <row r="1340" spans="1:31" x14ac:dyDescent="0.35">
      <c r="A1340" s="6" t="s">
        <v>1361</v>
      </c>
      <c r="B1340" s="7">
        <v>2</v>
      </c>
      <c r="C1340" s="7">
        <v>10</v>
      </c>
      <c r="D1340" s="7">
        <v>5</v>
      </c>
      <c r="E1340" s="7">
        <v>1</v>
      </c>
      <c r="F1340">
        <v>457</v>
      </c>
      <c r="G1340">
        <v>89</v>
      </c>
      <c r="H1340">
        <v>19.510000000000002</v>
      </c>
      <c r="I1340">
        <v>39</v>
      </c>
      <c r="J1340">
        <v>8.4499999999999993</v>
      </c>
      <c r="K1340">
        <v>860</v>
      </c>
      <c r="L1340">
        <v>86</v>
      </c>
      <c r="M1340">
        <v>774</v>
      </c>
      <c r="N1340">
        <v>566.19000000000005</v>
      </c>
      <c r="O1340">
        <v>5.21</v>
      </c>
      <c r="P1340">
        <v>38.69</v>
      </c>
      <c r="Q1340">
        <v>2.02</v>
      </c>
      <c r="R1340">
        <v>3.26</v>
      </c>
      <c r="S1340">
        <v>168</v>
      </c>
      <c r="T1340">
        <v>3210</v>
      </c>
      <c r="U1340">
        <v>1993</v>
      </c>
      <c r="V1340">
        <v>110</v>
      </c>
      <c r="W1340">
        <v>13.57</v>
      </c>
      <c r="X1340" s="10">
        <v>0.15655917197365191</v>
      </c>
      <c r="Y1340" s="9">
        <v>7250</v>
      </c>
      <c r="Z1340" s="9">
        <v>6440</v>
      </c>
      <c r="AA1340" s="9">
        <v>6480</v>
      </c>
      <c r="AB1340">
        <v>4.9382716049382713E-2</v>
      </c>
      <c r="AC1340" s="11">
        <v>-4.4484579049736039</v>
      </c>
      <c r="AD1340" s="9">
        <v>6912.3446327683623</v>
      </c>
      <c r="AE1340" s="8">
        <v>-1.5197568389057751E-2</v>
      </c>
    </row>
    <row r="1341" spans="1:31" x14ac:dyDescent="0.35">
      <c r="A1341" s="6" t="s">
        <v>1362</v>
      </c>
      <c r="B1341" s="7">
        <v>6</v>
      </c>
      <c r="C1341" s="7">
        <v>11</v>
      </c>
      <c r="D1341" s="7">
        <v>1</v>
      </c>
      <c r="E1341" s="7">
        <v>0</v>
      </c>
      <c r="F1341">
        <v>3537</v>
      </c>
      <c r="G1341">
        <v>63</v>
      </c>
      <c r="H1341">
        <v>1.77</v>
      </c>
      <c r="I1341">
        <v>56</v>
      </c>
      <c r="J1341">
        <v>1.57</v>
      </c>
      <c r="K1341">
        <v>1671</v>
      </c>
      <c r="L1341">
        <v>985</v>
      </c>
      <c r="M1341">
        <v>686</v>
      </c>
      <c r="N1341">
        <v>697.39</v>
      </c>
      <c r="O1341">
        <v>8.43</v>
      </c>
      <c r="P1341">
        <v>21.51</v>
      </c>
      <c r="Q1341">
        <v>1.82</v>
      </c>
      <c r="R1341">
        <v>0.34</v>
      </c>
      <c r="S1341">
        <v>324</v>
      </c>
      <c r="T1341">
        <v>3826</v>
      </c>
      <c r="U1341">
        <v>20561</v>
      </c>
      <c r="V1341">
        <v>89</v>
      </c>
      <c r="W1341">
        <v>13.45</v>
      </c>
      <c r="X1341" s="10">
        <v>8.5845628621047568E-2</v>
      </c>
      <c r="Y1341" s="9">
        <v>8690</v>
      </c>
      <c r="Z1341" s="9">
        <v>6840</v>
      </c>
      <c r="AA1341" s="9">
        <v>7950</v>
      </c>
      <c r="AB1341">
        <v>0.6</v>
      </c>
      <c r="AC1341" s="11">
        <v>7.7054737427063076</v>
      </c>
      <c r="AD1341" s="9">
        <v>7512.6497175141249</v>
      </c>
      <c r="AE1341" s="8">
        <v>0.16228070175438597</v>
      </c>
    </row>
    <row r="1342" spans="1:31" x14ac:dyDescent="0.35">
      <c r="A1342" s="6" t="s">
        <v>1363</v>
      </c>
      <c r="B1342" s="7">
        <v>3</v>
      </c>
      <c r="C1342" s="7">
        <v>2</v>
      </c>
      <c r="D1342" s="7">
        <v>6</v>
      </c>
      <c r="E1342" s="7">
        <v>7</v>
      </c>
      <c r="F1342">
        <v>12333</v>
      </c>
      <c r="G1342">
        <v>72</v>
      </c>
      <c r="H1342">
        <v>0.57999999999999996</v>
      </c>
      <c r="I1342">
        <v>50</v>
      </c>
      <c r="J1342">
        <v>0.4</v>
      </c>
      <c r="K1342">
        <v>11405</v>
      </c>
      <c r="L1342">
        <v>5570</v>
      </c>
      <c r="M1342">
        <v>5836</v>
      </c>
      <c r="N1342">
        <v>1887.41</v>
      </c>
      <c r="O1342">
        <v>0.85</v>
      </c>
      <c r="P1342">
        <v>36.76</v>
      </c>
      <c r="Q1342">
        <v>0.38</v>
      </c>
      <c r="R1342">
        <v>0.15</v>
      </c>
      <c r="S1342">
        <v>982</v>
      </c>
      <c r="T1342">
        <v>96055</v>
      </c>
      <c r="U1342">
        <v>244194</v>
      </c>
      <c r="V1342">
        <v>344</v>
      </c>
      <c r="W1342">
        <v>6.29</v>
      </c>
      <c r="X1342" s="10">
        <v>0.42618378263643208</v>
      </c>
      <c r="Y1342" s="9">
        <v>36750</v>
      </c>
      <c r="Z1342" s="9">
        <v>32850</v>
      </c>
      <c r="AA1342" s="9">
        <v>36150</v>
      </c>
      <c r="AB1342">
        <v>0.84615384615384615</v>
      </c>
      <c r="AC1342" s="11">
        <v>41.656015559877737</v>
      </c>
      <c r="AD1342" s="9">
        <v>33772.824858757063</v>
      </c>
      <c r="AE1342" s="8">
        <v>6.9637883008356544E-3</v>
      </c>
    </row>
    <row r="1343" spans="1:31" x14ac:dyDescent="0.35">
      <c r="A1343" s="6" t="s">
        <v>1364</v>
      </c>
      <c r="B1343" s="7">
        <v>9</v>
      </c>
      <c r="C1343" s="7">
        <v>0</v>
      </c>
      <c r="D1343" s="7">
        <v>9</v>
      </c>
      <c r="E1343" s="7">
        <v>0</v>
      </c>
      <c r="F1343">
        <v>339</v>
      </c>
      <c r="G1343">
        <v>17</v>
      </c>
      <c r="H1343">
        <v>4.99</v>
      </c>
      <c r="I1343">
        <v>12</v>
      </c>
      <c r="J1343">
        <v>3.44</v>
      </c>
      <c r="K1343">
        <v>798</v>
      </c>
      <c r="L1343">
        <v>363</v>
      </c>
      <c r="M1343">
        <v>435</v>
      </c>
      <c r="N1343">
        <v>655.13</v>
      </c>
      <c r="O1343">
        <v>3.61</v>
      </c>
      <c r="P1343">
        <v>27.79</v>
      </c>
      <c r="Q1343">
        <v>1</v>
      </c>
      <c r="R1343">
        <v>0.96</v>
      </c>
      <c r="S1343">
        <v>136</v>
      </c>
      <c r="T1343">
        <v>3775</v>
      </c>
      <c r="U1343">
        <v>3941</v>
      </c>
      <c r="V1343">
        <v>34</v>
      </c>
      <c r="W1343">
        <v>17.850000000000001</v>
      </c>
      <c r="X1343" s="10">
        <v>0.15854713268937257</v>
      </c>
      <c r="Y1343" s="9">
        <v>4750</v>
      </c>
      <c r="Z1343" s="9">
        <v>4000</v>
      </c>
      <c r="AA1343" s="9">
        <v>4080</v>
      </c>
      <c r="AB1343">
        <v>0.10666666666666667</v>
      </c>
      <c r="AC1343" s="11">
        <v>3.7996665740483468</v>
      </c>
      <c r="AD1343" s="9">
        <v>4319.4435028248581</v>
      </c>
      <c r="AE1343" s="8">
        <v>0.02</v>
      </c>
    </row>
    <row r="1344" spans="1:31" x14ac:dyDescent="0.35">
      <c r="A1344" s="6" t="s">
        <v>1365</v>
      </c>
      <c r="B1344" s="7">
        <v>4</v>
      </c>
      <c r="C1344" s="7">
        <v>1</v>
      </c>
      <c r="D1344" s="7">
        <v>9</v>
      </c>
      <c r="E1344" s="7">
        <v>4</v>
      </c>
      <c r="F1344">
        <v>578</v>
      </c>
      <c r="G1344">
        <v>81</v>
      </c>
      <c r="H1344">
        <v>14.05</v>
      </c>
      <c r="I1344">
        <v>74</v>
      </c>
      <c r="J1344">
        <v>12.75</v>
      </c>
      <c r="K1344">
        <v>999</v>
      </c>
      <c r="L1344">
        <v>53</v>
      </c>
      <c r="M1344">
        <v>946</v>
      </c>
      <c r="N1344">
        <v>1533.62</v>
      </c>
      <c r="O1344">
        <v>8.0299999999999994</v>
      </c>
      <c r="P1344">
        <v>13.84</v>
      </c>
      <c r="Q1344">
        <v>1.0900000000000001</v>
      </c>
      <c r="R1344">
        <v>1.76</v>
      </c>
      <c r="S1344">
        <v>633</v>
      </c>
      <c r="T1344">
        <v>8007</v>
      </c>
      <c r="U1344">
        <v>4968</v>
      </c>
      <c r="V1344">
        <v>120</v>
      </c>
      <c r="W1344">
        <v>8.5500000000000007</v>
      </c>
      <c r="X1344" s="10">
        <v>0.10071264475345365</v>
      </c>
      <c r="Y1344" s="9">
        <v>10450</v>
      </c>
      <c r="Z1344" s="9">
        <v>8760</v>
      </c>
      <c r="AA1344" s="9">
        <v>9870</v>
      </c>
      <c r="AB1344">
        <v>0.65680473372781067</v>
      </c>
      <c r="AC1344" s="11">
        <v>6.0244512364545706</v>
      </c>
      <c r="AD1344" s="9">
        <v>9590.9209039548023</v>
      </c>
      <c r="AE1344" s="8">
        <v>0.12542759407069556</v>
      </c>
    </row>
    <row r="1345" spans="1:31" x14ac:dyDescent="0.35">
      <c r="A1345" s="6" t="s">
        <v>1366</v>
      </c>
      <c r="B1345" s="7">
        <v>15</v>
      </c>
      <c r="C1345" s="7">
        <v>3</v>
      </c>
      <c r="D1345" s="7">
        <v>0</v>
      </c>
      <c r="E1345" s="7">
        <v>0</v>
      </c>
      <c r="F1345">
        <v>17451</v>
      </c>
      <c r="G1345">
        <v>1056</v>
      </c>
      <c r="H1345">
        <v>6.05</v>
      </c>
      <c r="I1345">
        <v>877</v>
      </c>
      <c r="J1345">
        <v>5.03</v>
      </c>
      <c r="K1345">
        <v>11600</v>
      </c>
      <c r="L1345">
        <v>4543</v>
      </c>
      <c r="M1345">
        <v>7057</v>
      </c>
      <c r="N1345">
        <v>4050.81</v>
      </c>
      <c r="O1345">
        <v>13.09</v>
      </c>
      <c r="P1345">
        <v>18.71</v>
      </c>
      <c r="Q1345">
        <v>2.4</v>
      </c>
      <c r="R1345">
        <v>0.94</v>
      </c>
      <c r="S1345">
        <v>25974</v>
      </c>
      <c r="T1345">
        <v>202516</v>
      </c>
      <c r="U1345">
        <v>516763</v>
      </c>
      <c r="V1345">
        <v>1306</v>
      </c>
      <c r="W1345">
        <v>12.8</v>
      </c>
      <c r="X1345" s="10">
        <v>0.66905460473480194</v>
      </c>
      <c r="Y1345" s="9">
        <v>613000</v>
      </c>
      <c r="Z1345" s="9">
        <v>472000</v>
      </c>
      <c r="AA1345" s="9">
        <v>605000</v>
      </c>
      <c r="AB1345">
        <v>0.94326241134751776</v>
      </c>
      <c r="AC1345" s="11">
        <v>2224.3400944706868</v>
      </c>
      <c r="AD1345" s="9">
        <v>485990.96045197744</v>
      </c>
      <c r="AE1345" s="8">
        <v>0.21485943775100402</v>
      </c>
    </row>
    <row r="1346" spans="1:31" x14ac:dyDescent="0.35">
      <c r="A1346" s="6" t="s">
        <v>1367</v>
      </c>
      <c r="B1346" s="7">
        <v>11</v>
      </c>
      <c r="C1346" s="7">
        <v>0</v>
      </c>
      <c r="D1346" s="7">
        <v>7</v>
      </c>
      <c r="E1346" s="7">
        <v>0</v>
      </c>
      <c r="F1346">
        <v>952</v>
      </c>
      <c r="G1346">
        <v>103</v>
      </c>
      <c r="H1346">
        <v>10.83</v>
      </c>
      <c r="I1346">
        <v>72</v>
      </c>
      <c r="J1346">
        <v>7.57</v>
      </c>
      <c r="K1346">
        <v>1421</v>
      </c>
      <c r="L1346">
        <v>635</v>
      </c>
      <c r="M1346">
        <v>786</v>
      </c>
      <c r="N1346">
        <v>1386.83</v>
      </c>
      <c r="O1346">
        <v>9.14</v>
      </c>
      <c r="P1346">
        <v>19.3</v>
      </c>
      <c r="Q1346">
        <v>1.87</v>
      </c>
      <c r="R1346">
        <v>1.46</v>
      </c>
      <c r="S1346">
        <v>684</v>
      </c>
      <c r="T1346">
        <v>7061</v>
      </c>
      <c r="U1346">
        <v>9039</v>
      </c>
      <c r="V1346">
        <v>117</v>
      </c>
      <c r="W1346">
        <v>14.91</v>
      </c>
      <c r="X1346" s="10">
        <v>1.0220464503334185E-3</v>
      </c>
      <c r="Y1346" s="9">
        <v>15150</v>
      </c>
      <c r="Z1346" s="9">
        <v>12450</v>
      </c>
      <c r="AA1346" s="9">
        <v>12700</v>
      </c>
      <c r="AB1346">
        <v>9.2592592592592587E-2</v>
      </c>
      <c r="AC1346" s="11">
        <v>-1.2447902195054157</v>
      </c>
      <c r="AD1346" s="9">
        <v>13659.632768361582</v>
      </c>
      <c r="AE1346" s="8">
        <v>-4.1509433962264149E-2</v>
      </c>
    </row>
    <row r="1347" spans="1:31" x14ac:dyDescent="0.35">
      <c r="A1347" s="6" t="s">
        <v>1368</v>
      </c>
      <c r="B1347" s="7">
        <v>1</v>
      </c>
      <c r="C1347" s="7">
        <v>8</v>
      </c>
      <c r="D1347" s="7">
        <v>3</v>
      </c>
      <c r="E1347" s="7">
        <v>6</v>
      </c>
      <c r="F1347">
        <v>143</v>
      </c>
      <c r="G1347">
        <v>-21</v>
      </c>
      <c r="H1347">
        <v>-14.8</v>
      </c>
      <c r="I1347">
        <v>-40</v>
      </c>
      <c r="J1347">
        <v>-27.84</v>
      </c>
      <c r="K1347">
        <v>431</v>
      </c>
      <c r="L1347">
        <v>300</v>
      </c>
      <c r="M1347">
        <v>130</v>
      </c>
      <c r="N1347">
        <v>314</v>
      </c>
      <c r="O1347">
        <v>-35.24</v>
      </c>
      <c r="P1347">
        <v>0</v>
      </c>
      <c r="Q1347">
        <v>1.6</v>
      </c>
      <c r="R1347">
        <v>0.82</v>
      </c>
      <c r="S1347">
        <v>-737</v>
      </c>
      <c r="T1347">
        <v>1354</v>
      </c>
      <c r="U1347">
        <v>2649</v>
      </c>
      <c r="V1347">
        <v>-5</v>
      </c>
      <c r="W1347">
        <v>-74.48</v>
      </c>
      <c r="X1347" s="10">
        <v>0.63731819620822061</v>
      </c>
      <c r="Y1347" s="9">
        <v>5000</v>
      </c>
      <c r="Z1347" s="9">
        <v>1855</v>
      </c>
      <c r="AA1347" s="9">
        <v>5000</v>
      </c>
      <c r="AB1347">
        <v>1</v>
      </c>
      <c r="AC1347" s="11">
        <v>36.772992497916086</v>
      </c>
      <c r="AD1347" s="9">
        <v>1452.0903954802259</v>
      </c>
      <c r="AE1347" s="8">
        <v>1.4330900243309002</v>
      </c>
    </row>
    <row r="1348" spans="1:31" x14ac:dyDescent="0.35">
      <c r="A1348" s="6" t="s">
        <v>1369</v>
      </c>
      <c r="B1348" s="7">
        <v>1</v>
      </c>
      <c r="C1348" s="7">
        <v>1</v>
      </c>
      <c r="D1348" s="7">
        <v>12</v>
      </c>
      <c r="E1348" s="7">
        <v>4</v>
      </c>
      <c r="F1348">
        <v>1509</v>
      </c>
      <c r="G1348">
        <v>-284</v>
      </c>
      <c r="H1348">
        <v>-18.79</v>
      </c>
      <c r="I1348">
        <v>-345</v>
      </c>
      <c r="J1348">
        <v>-22.88</v>
      </c>
      <c r="K1348">
        <v>1706</v>
      </c>
      <c r="L1348">
        <v>1512</v>
      </c>
      <c r="M1348">
        <v>194</v>
      </c>
      <c r="N1348">
        <v>-77.010000000000005</v>
      </c>
      <c r="O1348">
        <v>-95.16</v>
      </c>
      <c r="P1348">
        <v>0</v>
      </c>
      <c r="Q1348">
        <v>6.33</v>
      </c>
      <c r="R1348">
        <v>0.78</v>
      </c>
      <c r="S1348">
        <v>-192</v>
      </c>
      <c r="T1348">
        <v>104</v>
      </c>
      <c r="U1348">
        <v>841</v>
      </c>
      <c r="V1348">
        <v>-243</v>
      </c>
      <c r="W1348">
        <v>-8.4499999999999993</v>
      </c>
      <c r="X1348" s="10">
        <v>0.80524703476213433</v>
      </c>
      <c r="Y1348" s="9">
        <v>658</v>
      </c>
      <c r="Z1348" s="9">
        <v>378</v>
      </c>
      <c r="AA1348" s="9">
        <v>403</v>
      </c>
      <c r="AB1348">
        <v>8.9285714285714288E-2</v>
      </c>
      <c r="AC1348" s="11">
        <v>-5.5238121700472353</v>
      </c>
      <c r="AD1348" s="9">
        <v>674.64293785310736</v>
      </c>
      <c r="AE1348" s="8">
        <v>-0.34364820846905536</v>
      </c>
    </row>
    <row r="1349" spans="1:31" x14ac:dyDescent="0.35">
      <c r="A1349" s="6" t="s">
        <v>1370</v>
      </c>
      <c r="B1349" s="7">
        <v>4</v>
      </c>
      <c r="C1349" s="7">
        <v>9</v>
      </c>
      <c r="D1349" s="7">
        <v>1</v>
      </c>
      <c r="E1349" s="7">
        <v>4</v>
      </c>
      <c r="F1349">
        <v>157</v>
      </c>
      <c r="G1349">
        <v>1</v>
      </c>
      <c r="H1349">
        <v>0.52</v>
      </c>
      <c r="I1349">
        <v>0</v>
      </c>
      <c r="J1349">
        <v>0.16</v>
      </c>
      <c r="K1349">
        <v>706</v>
      </c>
      <c r="L1349">
        <v>188</v>
      </c>
      <c r="M1349">
        <v>518</v>
      </c>
      <c r="N1349">
        <v>3.22</v>
      </c>
      <c r="O1349">
        <v>7.0000000000000007E-2</v>
      </c>
      <c r="P1349">
        <v>0</v>
      </c>
      <c r="Q1349">
        <v>1.66</v>
      </c>
      <c r="R1349">
        <v>3.68</v>
      </c>
      <c r="S1349">
        <v>0</v>
      </c>
      <c r="T1349">
        <v>462</v>
      </c>
      <c r="U1349">
        <v>208</v>
      </c>
      <c r="V1349">
        <v>28</v>
      </c>
      <c r="W1349">
        <v>32.229999999999997</v>
      </c>
      <c r="X1349" s="10">
        <v>0.43638659872360863</v>
      </c>
      <c r="Y1349" s="9">
        <v>840</v>
      </c>
      <c r="Z1349" s="9">
        <v>638</v>
      </c>
      <c r="AA1349" s="9">
        <v>679</v>
      </c>
      <c r="AB1349">
        <v>0.20297029702970298</v>
      </c>
      <c r="AC1349" s="11">
        <v>-2.2338983050847463</v>
      </c>
      <c r="AD1349" s="9">
        <v>791.76723163841802</v>
      </c>
      <c r="AE1349" s="8">
        <v>-0.10657894736842105</v>
      </c>
    </row>
    <row r="1350" spans="1:31" x14ac:dyDescent="0.35">
      <c r="A1350" s="6" t="s">
        <v>1371</v>
      </c>
      <c r="B1350" s="7">
        <v>2</v>
      </c>
      <c r="C1350" s="7">
        <v>6</v>
      </c>
      <c r="D1350" s="7">
        <v>3</v>
      </c>
      <c r="E1350" s="7">
        <v>7</v>
      </c>
      <c r="F1350">
        <v>346</v>
      </c>
      <c r="G1350">
        <v>9</v>
      </c>
      <c r="H1350">
        <v>2.68</v>
      </c>
      <c r="I1350">
        <v>-2</v>
      </c>
      <c r="J1350">
        <v>-0.48</v>
      </c>
      <c r="K1350">
        <v>398</v>
      </c>
      <c r="L1350">
        <v>259</v>
      </c>
      <c r="M1350">
        <v>139</v>
      </c>
      <c r="N1350">
        <v>36.049999999999997</v>
      </c>
      <c r="O1350">
        <v>-2.08</v>
      </c>
      <c r="P1350">
        <v>0</v>
      </c>
      <c r="Q1350">
        <v>1.3</v>
      </c>
      <c r="R1350">
        <v>0.37</v>
      </c>
      <c r="S1350">
        <v>-11</v>
      </c>
      <c r="T1350">
        <v>587</v>
      </c>
      <c r="U1350">
        <v>2089</v>
      </c>
      <c r="V1350">
        <v>29</v>
      </c>
      <c r="W1350">
        <v>10.85</v>
      </c>
      <c r="X1350" s="10">
        <v>0.69761840351516546</v>
      </c>
      <c r="Y1350" s="9">
        <v>810</v>
      </c>
      <c r="Z1350" s="9">
        <v>637</v>
      </c>
      <c r="AA1350" s="9">
        <v>765</v>
      </c>
      <c r="AB1350">
        <v>0.73988439306358378</v>
      </c>
      <c r="AC1350" s="11">
        <v>2.180494581828285</v>
      </c>
      <c r="AD1350" s="9">
        <v>633.16158192090393</v>
      </c>
      <c r="AE1350" s="8">
        <v>0.1417910447761194</v>
      </c>
    </row>
    <row r="1351" spans="1:31" x14ac:dyDescent="0.35">
      <c r="A1351" s="6" t="s">
        <v>1372</v>
      </c>
      <c r="B1351" s="7">
        <v>4</v>
      </c>
      <c r="C1351" s="7">
        <v>3</v>
      </c>
      <c r="D1351" s="7">
        <v>4</v>
      </c>
      <c r="E1351" s="7">
        <v>7</v>
      </c>
      <c r="F1351">
        <v>7517</v>
      </c>
      <c r="G1351">
        <v>447</v>
      </c>
      <c r="H1351">
        <v>5.95</v>
      </c>
      <c r="I1351">
        <v>52</v>
      </c>
      <c r="J1351">
        <v>0.69</v>
      </c>
      <c r="K1351">
        <v>14281</v>
      </c>
      <c r="L1351">
        <v>5812</v>
      </c>
      <c r="M1351">
        <v>8469</v>
      </c>
      <c r="N1351">
        <v>2790.28</v>
      </c>
      <c r="O1351">
        <v>0.67</v>
      </c>
      <c r="P1351">
        <v>1026.29</v>
      </c>
      <c r="Q1351">
        <v>7.39</v>
      </c>
      <c r="R1351">
        <v>7.11</v>
      </c>
      <c r="S1351">
        <v>989</v>
      </c>
      <c r="T1351">
        <v>137278</v>
      </c>
      <c r="U1351">
        <v>142778</v>
      </c>
      <c r="V1351">
        <v>716</v>
      </c>
      <c r="W1351">
        <v>90.87</v>
      </c>
      <c r="X1351" s="10">
        <v>5.0655309543305271E-2</v>
      </c>
      <c r="Y1351" s="9">
        <v>1133000</v>
      </c>
      <c r="Z1351" s="9">
        <v>924000</v>
      </c>
      <c r="AA1351" s="9">
        <v>1133000</v>
      </c>
      <c r="AB1351">
        <v>1</v>
      </c>
      <c r="AC1351" s="11">
        <v>604.08446790775201</v>
      </c>
      <c r="AD1351" s="9">
        <v>997758.75706214691</v>
      </c>
      <c r="AE1351" s="8">
        <v>0.15142276422764228</v>
      </c>
    </row>
    <row r="1352" spans="1:31" x14ac:dyDescent="0.35">
      <c r="A1352" s="6" t="s">
        <v>1373</v>
      </c>
      <c r="B1352" s="7">
        <v>3</v>
      </c>
      <c r="C1352" s="7">
        <v>3</v>
      </c>
      <c r="D1352" s="7">
        <v>3</v>
      </c>
      <c r="E1352" s="7">
        <v>9</v>
      </c>
      <c r="F1352">
        <v>905</v>
      </c>
      <c r="G1352">
        <v>30</v>
      </c>
      <c r="H1352">
        <v>3.28</v>
      </c>
      <c r="I1352">
        <v>24</v>
      </c>
      <c r="J1352">
        <v>2.6</v>
      </c>
      <c r="K1352">
        <v>1295</v>
      </c>
      <c r="L1352">
        <v>691</v>
      </c>
      <c r="M1352">
        <v>604</v>
      </c>
      <c r="N1352">
        <v>466.8</v>
      </c>
      <c r="O1352">
        <v>3.9</v>
      </c>
      <c r="P1352">
        <v>15.93</v>
      </c>
      <c r="Q1352">
        <v>0.7</v>
      </c>
      <c r="R1352">
        <v>0.41</v>
      </c>
      <c r="S1352">
        <v>226</v>
      </c>
      <c r="T1352">
        <v>5113</v>
      </c>
      <c r="U1352">
        <v>8679</v>
      </c>
      <c r="V1352">
        <v>40</v>
      </c>
      <c r="W1352">
        <v>9.7899999999999991</v>
      </c>
      <c r="X1352" s="10">
        <v>0.75071562009750425</v>
      </c>
      <c r="Y1352" s="9">
        <v>10500</v>
      </c>
      <c r="Z1352" s="9">
        <v>3600</v>
      </c>
      <c r="AA1352" s="9">
        <v>9050</v>
      </c>
      <c r="AB1352">
        <v>0.78985507246376807</v>
      </c>
      <c r="AC1352" s="11">
        <v>81.59738816337871</v>
      </c>
      <c r="AD1352" s="9">
        <v>3290.2796610169494</v>
      </c>
      <c r="AE1352" s="8">
        <v>1.5138888888888888</v>
      </c>
    </row>
    <row r="1353" spans="1:31" x14ac:dyDescent="0.35">
      <c r="A1353" s="6" t="s">
        <v>1374</v>
      </c>
      <c r="B1353" s="7">
        <v>8</v>
      </c>
      <c r="C1353" s="7">
        <v>5</v>
      </c>
      <c r="D1353" s="7">
        <v>3</v>
      </c>
      <c r="E1353" s="7">
        <v>2</v>
      </c>
      <c r="F1353">
        <v>390</v>
      </c>
      <c r="G1353">
        <v>12</v>
      </c>
      <c r="H1353">
        <v>3.03</v>
      </c>
      <c r="I1353">
        <v>9</v>
      </c>
      <c r="J1353">
        <v>2.39</v>
      </c>
      <c r="K1353">
        <v>859</v>
      </c>
      <c r="L1353">
        <v>347</v>
      </c>
      <c r="M1353">
        <v>512</v>
      </c>
      <c r="N1353">
        <v>513.76</v>
      </c>
      <c r="O1353">
        <v>2.54</v>
      </c>
      <c r="P1353">
        <v>195.39</v>
      </c>
      <c r="Q1353">
        <v>5.08</v>
      </c>
      <c r="R1353">
        <v>4.7</v>
      </c>
      <c r="S1353">
        <v>76</v>
      </c>
      <c r="T1353">
        <v>2925</v>
      </c>
      <c r="U1353">
        <v>3160</v>
      </c>
      <c r="V1353">
        <v>26</v>
      </c>
      <c r="W1353">
        <v>99.15</v>
      </c>
      <c r="X1353" s="10">
        <v>0.24902096178112379</v>
      </c>
      <c r="Y1353" s="9">
        <v>14600</v>
      </c>
      <c r="Z1353" s="9">
        <v>11550</v>
      </c>
      <c r="AA1353" s="9">
        <v>14600</v>
      </c>
      <c r="AB1353">
        <v>1</v>
      </c>
      <c r="AC1353" s="11">
        <v>21.153098082800781</v>
      </c>
      <c r="AD1353" s="9">
        <v>12491.497175141241</v>
      </c>
      <c r="AE1353" s="8">
        <v>9.3632958801498134E-2</v>
      </c>
    </row>
    <row r="1354" spans="1:31" x14ac:dyDescent="0.35">
      <c r="A1354" s="6" t="s">
        <v>1375</v>
      </c>
      <c r="B1354" s="7">
        <v>0</v>
      </c>
      <c r="C1354" s="7">
        <v>9</v>
      </c>
      <c r="D1354" s="7">
        <v>7</v>
      </c>
      <c r="E1354" s="7">
        <v>2</v>
      </c>
      <c r="F1354">
        <v>1164</v>
      </c>
      <c r="G1354">
        <v>-226</v>
      </c>
      <c r="H1354">
        <v>-19.39</v>
      </c>
      <c r="I1354">
        <v>-531</v>
      </c>
      <c r="J1354">
        <v>-45.59</v>
      </c>
      <c r="K1354">
        <v>1641</v>
      </c>
      <c r="L1354">
        <v>499</v>
      </c>
      <c r="M1354">
        <v>1142</v>
      </c>
      <c r="N1354">
        <v>84.12</v>
      </c>
      <c r="O1354">
        <v>0</v>
      </c>
      <c r="P1354">
        <v>0</v>
      </c>
      <c r="Q1354">
        <v>1.39</v>
      </c>
      <c r="R1354">
        <v>0.66</v>
      </c>
      <c r="S1354">
        <v>-843</v>
      </c>
      <c r="T1354">
        <v>877</v>
      </c>
      <c r="U1354">
        <v>1849</v>
      </c>
      <c r="V1354">
        <v>-97</v>
      </c>
      <c r="W1354">
        <v>-10.78</v>
      </c>
      <c r="X1354" s="10">
        <v>0.68571042817268568</v>
      </c>
      <c r="Y1354" s="9">
        <v>1240</v>
      </c>
      <c r="Z1354" s="9">
        <v>343</v>
      </c>
      <c r="AA1354" s="9">
        <v>462</v>
      </c>
      <c r="AB1354">
        <v>0.1326644370122631</v>
      </c>
      <c r="AC1354" s="11">
        <v>-10.643678799666574</v>
      </c>
      <c r="AD1354" s="9">
        <v>1006.6322033898305</v>
      </c>
      <c r="AE1354" s="8">
        <v>-0.5641509433962264</v>
      </c>
    </row>
    <row r="1355" spans="1:31" x14ac:dyDescent="0.35">
      <c r="A1355" s="6" t="s">
        <v>1376</v>
      </c>
      <c r="B1355" s="7">
        <v>6</v>
      </c>
      <c r="C1355" s="7">
        <v>3</v>
      </c>
      <c r="D1355" s="7">
        <v>1</v>
      </c>
      <c r="E1355" s="7">
        <v>8</v>
      </c>
      <c r="F1355">
        <v>70</v>
      </c>
      <c r="G1355">
        <v>-8</v>
      </c>
      <c r="H1355">
        <v>-11.84</v>
      </c>
      <c r="I1355">
        <v>-23</v>
      </c>
      <c r="J1355">
        <v>-32.75</v>
      </c>
      <c r="K1355">
        <v>286</v>
      </c>
      <c r="L1355">
        <v>89</v>
      </c>
      <c r="M1355">
        <v>197</v>
      </c>
      <c r="N1355">
        <v>74.87</v>
      </c>
      <c r="O1355">
        <v>-11.36</v>
      </c>
      <c r="P1355">
        <v>0</v>
      </c>
      <c r="Q1355">
        <v>3.18</v>
      </c>
      <c r="R1355">
        <v>6.27</v>
      </c>
      <c r="S1355">
        <v>-101</v>
      </c>
      <c r="T1355">
        <v>613</v>
      </c>
      <c r="U1355">
        <v>311</v>
      </c>
      <c r="V1355">
        <v>-5</v>
      </c>
      <c r="W1355">
        <v>-88.57</v>
      </c>
      <c r="X1355" s="10">
        <v>0.53610294228412492</v>
      </c>
      <c r="Y1355" s="9">
        <v>3235</v>
      </c>
      <c r="Z1355" s="9">
        <v>1900</v>
      </c>
      <c r="AA1355" s="9">
        <v>3035</v>
      </c>
      <c r="AB1355">
        <v>0.85018726591760296</v>
      </c>
      <c r="AC1355" s="11">
        <v>13.754098360655737</v>
      </c>
      <c r="AD1355" s="9">
        <v>1814</v>
      </c>
      <c r="AE1355" s="8">
        <v>0.53282828282828287</v>
      </c>
    </row>
    <row r="1356" spans="1:31" x14ac:dyDescent="0.35">
      <c r="A1356" s="6" t="s">
        <v>1377</v>
      </c>
      <c r="B1356" s="7">
        <v>5</v>
      </c>
      <c r="C1356" s="7">
        <v>2</v>
      </c>
      <c r="D1356" s="7">
        <v>6</v>
      </c>
      <c r="E1356" s="7">
        <v>5</v>
      </c>
      <c r="F1356">
        <v>2111</v>
      </c>
      <c r="G1356">
        <v>41</v>
      </c>
      <c r="H1356">
        <v>1.96</v>
      </c>
      <c r="I1356">
        <v>45</v>
      </c>
      <c r="J1356">
        <v>2.13</v>
      </c>
      <c r="K1356">
        <v>2502</v>
      </c>
      <c r="L1356">
        <v>1487</v>
      </c>
      <c r="M1356">
        <v>1015</v>
      </c>
      <c r="N1356">
        <v>712.18</v>
      </c>
      <c r="O1356">
        <v>4.47</v>
      </c>
      <c r="P1356">
        <v>12.13</v>
      </c>
      <c r="Q1356">
        <v>0.6</v>
      </c>
      <c r="R1356">
        <v>0.26</v>
      </c>
      <c r="S1356">
        <v>190</v>
      </c>
      <c r="T1356">
        <v>3873</v>
      </c>
      <c r="U1356">
        <v>8902</v>
      </c>
      <c r="V1356">
        <v>159</v>
      </c>
      <c r="W1356">
        <v>9.94</v>
      </c>
      <c r="X1356" s="10">
        <v>3.4732093470329739E-2</v>
      </c>
      <c r="Y1356" s="9">
        <v>2375</v>
      </c>
      <c r="Z1356" s="9">
        <v>2245</v>
      </c>
      <c r="AA1356" s="9">
        <v>2290</v>
      </c>
      <c r="AB1356">
        <v>0.34615384615384615</v>
      </c>
      <c r="AC1356" s="11">
        <v>-0.30327868852459017</v>
      </c>
      <c r="AD1356" s="9">
        <v>2305.6666666666665</v>
      </c>
      <c r="AE1356" s="8">
        <v>-2.1786492374727671E-3</v>
      </c>
    </row>
    <row r="1357" spans="1:31" x14ac:dyDescent="0.35">
      <c r="A1357" s="6" t="s">
        <v>1378</v>
      </c>
      <c r="B1357" s="7">
        <v>10</v>
      </c>
      <c r="C1357" s="7">
        <v>7</v>
      </c>
      <c r="D1357" s="7">
        <v>0</v>
      </c>
      <c r="E1357" s="7">
        <v>1</v>
      </c>
      <c r="F1357">
        <v>1715</v>
      </c>
      <c r="G1357">
        <v>336</v>
      </c>
      <c r="H1357">
        <v>19.559999999999999</v>
      </c>
      <c r="I1357">
        <v>211</v>
      </c>
      <c r="J1357">
        <v>12.29</v>
      </c>
      <c r="K1357">
        <v>3242</v>
      </c>
      <c r="L1357">
        <v>1879</v>
      </c>
      <c r="M1357">
        <v>1363</v>
      </c>
      <c r="N1357">
        <v>1819.34</v>
      </c>
      <c r="O1357">
        <v>16.7</v>
      </c>
      <c r="P1357">
        <v>24.02</v>
      </c>
      <c r="Q1357">
        <v>3.84</v>
      </c>
      <c r="R1357">
        <v>2.95</v>
      </c>
      <c r="S1357">
        <v>1484</v>
      </c>
      <c r="T1357">
        <v>9281</v>
      </c>
      <c r="U1357">
        <v>12078</v>
      </c>
      <c r="V1357">
        <v>372</v>
      </c>
      <c r="W1357">
        <v>13.6</v>
      </c>
      <c r="X1357" s="10">
        <v>0.60870318145627222</v>
      </c>
      <c r="Y1357" s="9">
        <v>47750</v>
      </c>
      <c r="Z1357" s="9">
        <v>34400</v>
      </c>
      <c r="AA1357" s="9">
        <v>46300</v>
      </c>
      <c r="AB1357">
        <v>0.89138576779026213</v>
      </c>
      <c r="AC1357" s="11">
        <v>150.15420950263967</v>
      </c>
      <c r="AD1357" s="9">
        <v>38936.129943502827</v>
      </c>
      <c r="AE1357" s="8">
        <v>0.34593023255813954</v>
      </c>
    </row>
    <row r="1358" spans="1:31" x14ac:dyDescent="0.35">
      <c r="A1358" s="6" t="s">
        <v>1379</v>
      </c>
      <c r="B1358" s="7">
        <v>10</v>
      </c>
      <c r="C1358" s="7">
        <v>5</v>
      </c>
      <c r="D1358" s="7">
        <v>1</v>
      </c>
      <c r="E1358" s="7">
        <v>2</v>
      </c>
      <c r="F1358">
        <v>580</v>
      </c>
      <c r="G1358">
        <v>99</v>
      </c>
      <c r="H1358">
        <v>17.03</v>
      </c>
      <c r="I1358">
        <v>102</v>
      </c>
      <c r="J1358">
        <v>17.559999999999999</v>
      </c>
      <c r="K1358">
        <v>711</v>
      </c>
      <c r="L1358">
        <v>241</v>
      </c>
      <c r="M1358">
        <v>470</v>
      </c>
      <c r="N1358">
        <v>1714.65</v>
      </c>
      <c r="O1358">
        <v>42.59</v>
      </c>
      <c r="P1358">
        <v>8.66</v>
      </c>
      <c r="Q1358">
        <v>2.58</v>
      </c>
      <c r="R1358">
        <v>1.52</v>
      </c>
      <c r="S1358">
        <v>2696</v>
      </c>
      <c r="T1358">
        <v>9039</v>
      </c>
      <c r="U1358">
        <v>15359</v>
      </c>
      <c r="V1358">
        <v>156</v>
      </c>
      <c r="W1358">
        <v>7.75</v>
      </c>
      <c r="X1358" s="10">
        <v>5.3442056928497221E-4</v>
      </c>
      <c r="Y1358" s="9">
        <v>25750</v>
      </c>
      <c r="Z1358" s="9">
        <v>18800</v>
      </c>
      <c r="AA1358" s="9">
        <v>22750</v>
      </c>
      <c r="AB1358">
        <v>0.56834532374100721</v>
      </c>
      <c r="AC1358" s="11">
        <v>2.3575993331480967</v>
      </c>
      <c r="AD1358" s="9">
        <v>22590.593220338982</v>
      </c>
      <c r="AE1358" s="8">
        <v>0.16966580976863754</v>
      </c>
    </row>
    <row r="1359" spans="1:31" x14ac:dyDescent="0.35">
      <c r="A1359" s="6" t="s">
        <v>1380</v>
      </c>
      <c r="B1359" s="7">
        <v>2</v>
      </c>
      <c r="C1359" s="7">
        <v>9</v>
      </c>
      <c r="D1359" s="7">
        <v>0</v>
      </c>
      <c r="E1359" s="7">
        <v>7</v>
      </c>
      <c r="F1359">
        <v>320</v>
      </c>
      <c r="G1359">
        <v>45</v>
      </c>
      <c r="H1359">
        <v>14.19</v>
      </c>
      <c r="I1359">
        <v>34</v>
      </c>
      <c r="J1359">
        <v>10.6</v>
      </c>
      <c r="K1359">
        <v>529</v>
      </c>
      <c r="L1359">
        <v>297</v>
      </c>
      <c r="M1359">
        <v>232</v>
      </c>
      <c r="N1359">
        <v>975.79</v>
      </c>
      <c r="O1359">
        <v>20.97</v>
      </c>
      <c r="P1359">
        <v>0</v>
      </c>
      <c r="Q1359">
        <v>0</v>
      </c>
      <c r="R1359">
        <v>0</v>
      </c>
      <c r="S1359">
        <v>1051</v>
      </c>
      <c r="T1359">
        <v>4759</v>
      </c>
      <c r="U1359">
        <v>9908</v>
      </c>
      <c r="V1359">
        <v>0</v>
      </c>
      <c r="W1359">
        <v>0</v>
      </c>
      <c r="X1359" s="10">
        <v>0.9094841790187308</v>
      </c>
      <c r="Y1359" s="9">
        <v>20150</v>
      </c>
      <c r="Z1359" s="9">
        <v>10450</v>
      </c>
      <c r="AA1359" s="9">
        <v>19700</v>
      </c>
      <c r="AB1359">
        <v>0.95360824742268047</v>
      </c>
      <c r="AC1359" s="11">
        <v>142.77577104751319</v>
      </c>
      <c r="AD1359" s="9">
        <v>10893.672316384182</v>
      </c>
      <c r="AE1359" s="8">
        <v>0.55118110236220474</v>
      </c>
    </row>
    <row r="1360" spans="1:31" x14ac:dyDescent="0.35">
      <c r="A1360" s="6" t="s">
        <v>1381</v>
      </c>
      <c r="B1360" s="7">
        <v>5</v>
      </c>
      <c r="C1360" s="7">
        <v>10</v>
      </c>
      <c r="D1360" s="7">
        <v>2</v>
      </c>
      <c r="E1360" s="7">
        <v>1</v>
      </c>
      <c r="F1360">
        <v>1038</v>
      </c>
      <c r="G1360">
        <v>30</v>
      </c>
      <c r="H1360">
        <v>2.89</v>
      </c>
      <c r="I1360">
        <v>12</v>
      </c>
      <c r="J1360">
        <v>1.1599999999999999</v>
      </c>
      <c r="K1360">
        <v>1440</v>
      </c>
      <c r="L1360">
        <v>642</v>
      </c>
      <c r="M1360">
        <v>797</v>
      </c>
      <c r="N1360">
        <v>1328.59</v>
      </c>
      <c r="O1360">
        <v>1.52</v>
      </c>
      <c r="P1360">
        <v>54.45</v>
      </c>
      <c r="Q1360">
        <v>0.9</v>
      </c>
      <c r="R1360">
        <v>0.63</v>
      </c>
      <c r="S1360">
        <v>110</v>
      </c>
      <c r="T1360">
        <v>6672</v>
      </c>
      <c r="U1360">
        <v>9467</v>
      </c>
      <c r="V1360">
        <v>48</v>
      </c>
      <c r="W1360">
        <v>21.93</v>
      </c>
      <c r="X1360" s="10">
        <v>0.57734805295727121</v>
      </c>
      <c r="Y1360" s="9">
        <v>6650</v>
      </c>
      <c r="Z1360" s="9">
        <v>5730</v>
      </c>
      <c r="AA1360" s="9">
        <v>6650</v>
      </c>
      <c r="AB1360">
        <v>1</v>
      </c>
      <c r="AC1360" s="11">
        <v>10.936649069185886</v>
      </c>
      <c r="AD1360" s="9">
        <v>5847.2655367231637</v>
      </c>
      <c r="AE1360" s="8">
        <v>0.11390284757118928</v>
      </c>
    </row>
    <row r="1361" spans="1:31" x14ac:dyDescent="0.35">
      <c r="A1361" s="6" t="s">
        <v>1382</v>
      </c>
      <c r="B1361" s="7">
        <v>5</v>
      </c>
      <c r="C1361" s="7">
        <v>2</v>
      </c>
      <c r="D1361" s="7">
        <v>11</v>
      </c>
      <c r="E1361" s="7">
        <v>0</v>
      </c>
      <c r="F1361">
        <v>428</v>
      </c>
      <c r="G1361">
        <v>32</v>
      </c>
      <c r="H1361">
        <v>7.41</v>
      </c>
      <c r="I1361">
        <v>26</v>
      </c>
      <c r="J1361">
        <v>5.96</v>
      </c>
      <c r="K1361">
        <v>815</v>
      </c>
      <c r="L1361">
        <v>356</v>
      </c>
      <c r="M1361">
        <v>459</v>
      </c>
      <c r="N1361">
        <v>198.37</v>
      </c>
      <c r="O1361">
        <v>5.71</v>
      </c>
      <c r="P1361">
        <v>21.53</v>
      </c>
      <c r="Q1361">
        <v>1.27</v>
      </c>
      <c r="R1361">
        <v>1.28</v>
      </c>
      <c r="S1361">
        <v>85</v>
      </c>
      <c r="T1361">
        <v>1444</v>
      </c>
      <c r="U1361">
        <v>1433</v>
      </c>
      <c r="V1361">
        <v>38</v>
      </c>
      <c r="W1361">
        <v>18.77</v>
      </c>
      <c r="X1361" s="10">
        <v>6.1636474464536808E-3</v>
      </c>
      <c r="Y1361" s="9">
        <v>2415</v>
      </c>
      <c r="Z1361" s="9">
        <v>1720</v>
      </c>
      <c r="AA1361" s="9">
        <v>1940</v>
      </c>
      <c r="AB1361">
        <v>0.31654676258992803</v>
      </c>
      <c r="AC1361" s="11">
        <v>0.56265629341483758</v>
      </c>
      <c r="AD1361" s="9">
        <v>2043.505649717514</v>
      </c>
      <c r="AE1361" s="8">
        <v>0.12790697674418605</v>
      </c>
    </row>
    <row r="1362" spans="1:31" x14ac:dyDescent="0.35">
      <c r="A1362" s="6" t="s">
        <v>1383</v>
      </c>
      <c r="B1362" s="7">
        <v>1</v>
      </c>
      <c r="C1362" s="7">
        <v>11</v>
      </c>
      <c r="D1362" s="7">
        <v>1</v>
      </c>
      <c r="E1362" s="7">
        <v>5</v>
      </c>
      <c r="F1362">
        <v>1128</v>
      </c>
      <c r="G1362">
        <v>13</v>
      </c>
      <c r="H1362">
        <v>1.1499999999999999</v>
      </c>
      <c r="I1362">
        <v>14</v>
      </c>
      <c r="J1362">
        <v>1.25</v>
      </c>
      <c r="K1362">
        <v>1083</v>
      </c>
      <c r="L1362">
        <v>285</v>
      </c>
      <c r="M1362">
        <v>798</v>
      </c>
      <c r="N1362">
        <v>-19.25</v>
      </c>
      <c r="O1362">
        <v>1.77</v>
      </c>
      <c r="P1362">
        <v>48.71</v>
      </c>
      <c r="Q1362">
        <v>0.88</v>
      </c>
      <c r="R1362">
        <v>0.61</v>
      </c>
      <c r="S1362">
        <v>7</v>
      </c>
      <c r="T1362">
        <v>386</v>
      </c>
      <c r="U1362">
        <v>563</v>
      </c>
      <c r="V1362">
        <v>83</v>
      </c>
      <c r="W1362">
        <v>8.2100000000000009</v>
      </c>
      <c r="X1362" s="10">
        <v>0.68393436285259523</v>
      </c>
      <c r="Y1362" s="9">
        <v>432</v>
      </c>
      <c r="Z1362" s="9">
        <v>330</v>
      </c>
      <c r="AA1362" s="9">
        <v>384</v>
      </c>
      <c r="AB1362">
        <v>0.52941176470588236</v>
      </c>
      <c r="AC1362" s="11">
        <v>1.0585996110030564</v>
      </c>
      <c r="AD1362" s="9">
        <v>325.52937853107346</v>
      </c>
      <c r="AE1362" s="8">
        <v>0.13274336283185842</v>
      </c>
    </row>
    <row r="1363" spans="1:31" x14ac:dyDescent="0.35">
      <c r="A1363" s="6" t="s">
        <v>1384</v>
      </c>
      <c r="B1363" s="7">
        <v>8</v>
      </c>
      <c r="C1363" s="7">
        <v>8</v>
      </c>
      <c r="D1363" s="7">
        <v>2</v>
      </c>
      <c r="E1363" s="7">
        <v>0</v>
      </c>
      <c r="F1363">
        <v>508</v>
      </c>
      <c r="G1363">
        <v>35</v>
      </c>
      <c r="H1363">
        <v>6.83</v>
      </c>
      <c r="I1363">
        <v>11</v>
      </c>
      <c r="J1363">
        <v>2.2599999999999998</v>
      </c>
      <c r="K1363">
        <v>729</v>
      </c>
      <c r="L1363">
        <v>173</v>
      </c>
      <c r="M1363">
        <v>556</v>
      </c>
      <c r="N1363">
        <v>173.79</v>
      </c>
      <c r="O1363">
        <v>2.09</v>
      </c>
      <c r="P1363">
        <v>38.21</v>
      </c>
      <c r="Q1363">
        <v>0.96</v>
      </c>
      <c r="R1363">
        <v>0.86</v>
      </c>
      <c r="S1363">
        <v>28</v>
      </c>
      <c r="T1363">
        <v>1114</v>
      </c>
      <c r="U1363">
        <v>1250</v>
      </c>
      <c r="V1363">
        <v>55</v>
      </c>
      <c r="W1363">
        <v>8.35</v>
      </c>
      <c r="X1363" s="10">
        <v>0.87169712094913476</v>
      </c>
      <c r="Y1363" s="9">
        <v>1740</v>
      </c>
      <c r="Z1363" s="9">
        <v>1070</v>
      </c>
      <c r="AA1363" s="9">
        <v>1740</v>
      </c>
      <c r="AB1363">
        <v>1</v>
      </c>
      <c r="AC1363" s="11">
        <v>7.6894970825229247</v>
      </c>
      <c r="AD1363" s="9">
        <v>1111.3870056497176</v>
      </c>
      <c r="AE1363" s="8">
        <v>0.59633027522935778</v>
      </c>
    </row>
    <row r="1364" spans="1:31" x14ac:dyDescent="0.35">
      <c r="A1364" s="6" t="s">
        <v>1385</v>
      </c>
      <c r="B1364" s="7">
        <v>1</v>
      </c>
      <c r="C1364" s="7">
        <v>13</v>
      </c>
      <c r="D1364" s="7">
        <v>2</v>
      </c>
      <c r="E1364" s="7">
        <v>2</v>
      </c>
      <c r="F1364">
        <v>251</v>
      </c>
      <c r="G1364">
        <v>13</v>
      </c>
      <c r="H1364">
        <v>5.21</v>
      </c>
      <c r="I1364">
        <v>10</v>
      </c>
      <c r="J1364">
        <v>4.08</v>
      </c>
      <c r="K1364">
        <v>226</v>
      </c>
      <c r="L1364">
        <v>97</v>
      </c>
      <c r="M1364">
        <v>129</v>
      </c>
      <c r="N1364">
        <v>79.17</v>
      </c>
      <c r="O1364">
        <v>8.84</v>
      </c>
      <c r="P1364">
        <v>38.57</v>
      </c>
      <c r="Q1364">
        <v>5.86</v>
      </c>
      <c r="R1364">
        <v>1.58</v>
      </c>
      <c r="S1364">
        <v>70</v>
      </c>
      <c r="T1364">
        <v>461</v>
      </c>
      <c r="U1364">
        <v>1712</v>
      </c>
      <c r="V1364">
        <v>17</v>
      </c>
      <c r="W1364">
        <v>27.93</v>
      </c>
      <c r="X1364" s="10">
        <v>0.70574363779104643</v>
      </c>
      <c r="Y1364" s="9">
        <v>3465</v>
      </c>
      <c r="Z1364" s="9">
        <v>2630</v>
      </c>
      <c r="AA1364" s="9">
        <v>3340</v>
      </c>
      <c r="AB1364">
        <v>0.85029940119760483</v>
      </c>
      <c r="AC1364" s="11">
        <v>9.7036676854681847</v>
      </c>
      <c r="AD1364" s="9">
        <v>2841.9548022598869</v>
      </c>
      <c r="AE1364" s="8">
        <v>0.26996197718631176</v>
      </c>
    </row>
    <row r="1365" spans="1:31" x14ac:dyDescent="0.35">
      <c r="A1365" s="6" t="s">
        <v>1386</v>
      </c>
      <c r="B1365" s="7">
        <v>2</v>
      </c>
      <c r="C1365" s="7">
        <v>1</v>
      </c>
      <c r="D1365" s="7">
        <v>11</v>
      </c>
      <c r="E1365" s="7">
        <v>4</v>
      </c>
      <c r="F1365">
        <v>657</v>
      </c>
      <c r="G1365">
        <v>-149</v>
      </c>
      <c r="H1365">
        <v>-22.68</v>
      </c>
      <c r="I1365">
        <v>-209</v>
      </c>
      <c r="J1365">
        <v>-31.84</v>
      </c>
      <c r="K1365">
        <v>2274</v>
      </c>
      <c r="L1365">
        <v>1327</v>
      </c>
      <c r="M1365">
        <v>947</v>
      </c>
      <c r="N1365">
        <v>877.1</v>
      </c>
      <c r="O1365">
        <v>-19.72</v>
      </c>
      <c r="P1365">
        <v>0</v>
      </c>
      <c r="Q1365">
        <v>1.26</v>
      </c>
      <c r="R1365">
        <v>1.61</v>
      </c>
      <c r="S1365">
        <v>-1046</v>
      </c>
      <c r="T1365">
        <v>4201</v>
      </c>
      <c r="U1365">
        <v>3285</v>
      </c>
      <c r="V1365">
        <v>-50</v>
      </c>
      <c r="W1365">
        <v>-45.21</v>
      </c>
      <c r="X1365" s="10">
        <v>0.57763225392729178</v>
      </c>
      <c r="Y1365" s="9">
        <v>8190</v>
      </c>
      <c r="Z1365" s="9">
        <v>5220</v>
      </c>
      <c r="AA1365" s="9">
        <v>8190</v>
      </c>
      <c r="AB1365">
        <v>1</v>
      </c>
      <c r="AC1365" s="11">
        <v>28.748819116421231</v>
      </c>
      <c r="AD1365" s="9">
        <v>5650.3276836158193</v>
      </c>
      <c r="AE1365" s="8">
        <v>0.56896551724137934</v>
      </c>
    </row>
    <row r="1366" spans="1:31" x14ac:dyDescent="0.35">
      <c r="A1366" s="6" t="s">
        <v>1387</v>
      </c>
      <c r="B1366" s="7">
        <v>4</v>
      </c>
      <c r="C1366" s="7">
        <v>7</v>
      </c>
      <c r="D1366" s="7">
        <v>3</v>
      </c>
      <c r="E1366" s="7">
        <v>4</v>
      </c>
      <c r="F1366">
        <v>139</v>
      </c>
      <c r="G1366">
        <v>21</v>
      </c>
      <c r="H1366">
        <v>14.91</v>
      </c>
      <c r="I1366">
        <v>19</v>
      </c>
      <c r="J1366">
        <v>14.03</v>
      </c>
      <c r="K1366">
        <v>326</v>
      </c>
      <c r="L1366">
        <v>58</v>
      </c>
      <c r="M1366">
        <v>268</v>
      </c>
      <c r="N1366">
        <v>984.79</v>
      </c>
      <c r="O1366">
        <v>10.029999999999999</v>
      </c>
      <c r="P1366">
        <v>11.53</v>
      </c>
      <c r="Q1366">
        <v>1.43</v>
      </c>
      <c r="R1366">
        <v>1.62</v>
      </c>
      <c r="S1366">
        <v>528</v>
      </c>
      <c r="T1366">
        <v>4256</v>
      </c>
      <c r="U1366">
        <v>3760</v>
      </c>
      <c r="V1366">
        <v>40</v>
      </c>
      <c r="W1366">
        <v>8.5299999999999994</v>
      </c>
      <c r="X1366" s="10">
        <v>0.71190020742554561</v>
      </c>
      <c r="Y1366" s="9">
        <v>6270</v>
      </c>
      <c r="Z1366" s="9">
        <v>5380</v>
      </c>
      <c r="AA1366" s="9">
        <v>6110</v>
      </c>
      <c r="AB1366">
        <v>0.8202247191011236</v>
      </c>
      <c r="AC1366" s="11">
        <v>11.697138093914974</v>
      </c>
      <c r="AD1366" s="9">
        <v>5499.9039548022602</v>
      </c>
      <c r="AE1366" s="8">
        <v>0.13568773234200743</v>
      </c>
    </row>
    <row r="1367" spans="1:31" x14ac:dyDescent="0.35">
      <c r="A1367" s="6" t="s">
        <v>1388</v>
      </c>
      <c r="B1367" s="7">
        <v>0</v>
      </c>
      <c r="C1367" s="7">
        <v>3</v>
      </c>
      <c r="D1367" s="7">
        <v>9</v>
      </c>
      <c r="E1367" s="7">
        <v>6</v>
      </c>
      <c r="F1367">
        <v>187</v>
      </c>
      <c r="G1367">
        <v>-13</v>
      </c>
      <c r="H1367">
        <v>-6.71</v>
      </c>
      <c r="I1367">
        <v>-19</v>
      </c>
      <c r="J1367">
        <v>-10.220000000000001</v>
      </c>
      <c r="K1367">
        <v>301</v>
      </c>
      <c r="L1367">
        <v>164</v>
      </c>
      <c r="M1367">
        <v>137</v>
      </c>
      <c r="N1367">
        <v>34.24</v>
      </c>
      <c r="O1367">
        <v>-17.75</v>
      </c>
      <c r="P1367">
        <v>0</v>
      </c>
      <c r="Q1367">
        <v>63.55</v>
      </c>
      <c r="R1367">
        <v>5.18</v>
      </c>
      <c r="S1367">
        <v>-116</v>
      </c>
      <c r="T1367">
        <v>93</v>
      </c>
      <c r="U1367">
        <v>1140</v>
      </c>
      <c r="V1367">
        <v>14</v>
      </c>
      <c r="W1367">
        <v>4.84</v>
      </c>
      <c r="X1367" s="10">
        <v>3.3313668122784794E-3</v>
      </c>
      <c r="Y1367" s="9">
        <v>5700</v>
      </c>
      <c r="Z1367" s="9">
        <v>3920</v>
      </c>
      <c r="AA1367" s="9">
        <v>4905</v>
      </c>
      <c r="AB1367">
        <v>0.5533707865168539</v>
      </c>
      <c r="AC1367" s="11">
        <v>0.99499861072520146</v>
      </c>
      <c r="AD1367" s="9">
        <v>4518.6525423728817</v>
      </c>
      <c r="AE1367" s="8">
        <v>6.8627450980392163E-2</v>
      </c>
    </row>
    <row r="1368" spans="1:31" x14ac:dyDescent="0.35">
      <c r="A1368" s="6" t="s">
        <v>1389</v>
      </c>
      <c r="B1368" s="7">
        <v>3</v>
      </c>
      <c r="C1368" s="7">
        <v>5</v>
      </c>
      <c r="D1368" s="7">
        <v>8</v>
      </c>
      <c r="E1368" s="7">
        <v>2</v>
      </c>
      <c r="F1368">
        <v>805</v>
      </c>
      <c r="G1368">
        <v>35</v>
      </c>
      <c r="H1368">
        <v>4.32</v>
      </c>
      <c r="I1368">
        <v>-24</v>
      </c>
      <c r="J1368">
        <v>-2.98</v>
      </c>
      <c r="K1368">
        <v>541</v>
      </c>
      <c r="L1368">
        <v>146</v>
      </c>
      <c r="M1368">
        <v>395</v>
      </c>
      <c r="N1368">
        <v>418.57</v>
      </c>
      <c r="O1368">
        <v>-5.96</v>
      </c>
      <c r="P1368">
        <v>0</v>
      </c>
      <c r="Q1368">
        <v>0.76</v>
      </c>
      <c r="R1368">
        <v>0.35</v>
      </c>
      <c r="S1368">
        <v>-166</v>
      </c>
      <c r="T1368">
        <v>2591</v>
      </c>
      <c r="U1368">
        <v>5563</v>
      </c>
      <c r="V1368">
        <v>35</v>
      </c>
      <c r="W1368">
        <v>11.78</v>
      </c>
      <c r="X1368" s="10">
        <v>0.20677452667434693</v>
      </c>
      <c r="Y1368" s="9">
        <v>2325</v>
      </c>
      <c r="Z1368" s="9">
        <v>1895</v>
      </c>
      <c r="AA1368" s="9">
        <v>2195</v>
      </c>
      <c r="AB1368">
        <v>0.69767441860465118</v>
      </c>
      <c r="AC1368" s="11">
        <v>3.4095582106140592</v>
      </c>
      <c r="AD1368" s="9">
        <v>1995.8418079096048</v>
      </c>
      <c r="AE1368" s="8">
        <v>8.6633663366336627E-2</v>
      </c>
    </row>
    <row r="1369" spans="1:31" x14ac:dyDescent="0.35">
      <c r="A1369" s="6" t="s">
        <v>1390</v>
      </c>
      <c r="B1369" s="7">
        <v>7</v>
      </c>
      <c r="C1369" s="7">
        <v>3</v>
      </c>
      <c r="D1369" s="7">
        <v>2</v>
      </c>
      <c r="E1369" s="7">
        <v>6</v>
      </c>
      <c r="F1369">
        <v>1913</v>
      </c>
      <c r="G1369">
        <v>95</v>
      </c>
      <c r="H1369">
        <v>4.96</v>
      </c>
      <c r="I1369">
        <v>144</v>
      </c>
      <c r="J1369">
        <v>7.51</v>
      </c>
      <c r="K1369">
        <v>2066</v>
      </c>
      <c r="L1369">
        <v>1139</v>
      </c>
      <c r="M1369">
        <v>927</v>
      </c>
      <c r="N1369">
        <v>1106.49</v>
      </c>
      <c r="O1369">
        <v>16.579999999999998</v>
      </c>
      <c r="P1369">
        <v>8.43</v>
      </c>
      <c r="Q1369">
        <v>1.44</v>
      </c>
      <c r="R1369">
        <v>0.63</v>
      </c>
      <c r="S1369">
        <v>898</v>
      </c>
      <c r="T1369">
        <v>5268</v>
      </c>
      <c r="U1369">
        <v>11964</v>
      </c>
      <c r="V1369">
        <v>214</v>
      </c>
      <c r="W1369">
        <v>8.94</v>
      </c>
      <c r="X1369" s="10">
        <v>0.8733084309398077</v>
      </c>
      <c r="Y1369" s="9">
        <v>12800</v>
      </c>
      <c r="Z1369" s="9">
        <v>7440</v>
      </c>
      <c r="AA1369" s="9">
        <v>11150</v>
      </c>
      <c r="AB1369">
        <v>0.69216417910447758</v>
      </c>
      <c r="AC1369" s="11">
        <v>87.13170325090303</v>
      </c>
      <c r="AD1369" s="9">
        <v>7353.983050847457</v>
      </c>
      <c r="AE1369" s="8">
        <v>0.48666666666666669</v>
      </c>
    </row>
    <row r="1370" spans="1:31" x14ac:dyDescent="0.35">
      <c r="A1370" s="6" t="s">
        <v>1391</v>
      </c>
      <c r="B1370" s="7">
        <v>5</v>
      </c>
      <c r="C1370" s="7">
        <v>3</v>
      </c>
      <c r="D1370" s="7">
        <v>7</v>
      </c>
      <c r="E1370" s="7">
        <v>3</v>
      </c>
      <c r="F1370">
        <v>342</v>
      </c>
      <c r="G1370">
        <v>43</v>
      </c>
      <c r="H1370">
        <v>12.61</v>
      </c>
      <c r="I1370">
        <v>28</v>
      </c>
      <c r="J1370">
        <v>8.1999999999999993</v>
      </c>
      <c r="K1370">
        <v>1256</v>
      </c>
      <c r="L1370">
        <v>499</v>
      </c>
      <c r="M1370">
        <v>758</v>
      </c>
      <c r="N1370">
        <v>980.85</v>
      </c>
      <c r="O1370">
        <v>5.03</v>
      </c>
      <c r="P1370">
        <v>12.5</v>
      </c>
      <c r="Q1370">
        <v>0.65</v>
      </c>
      <c r="R1370">
        <v>1.03</v>
      </c>
      <c r="S1370">
        <v>268</v>
      </c>
      <c r="T1370">
        <v>5144</v>
      </c>
      <c r="U1370">
        <v>3264</v>
      </c>
      <c r="V1370">
        <v>91</v>
      </c>
      <c r="W1370">
        <v>3.69</v>
      </c>
      <c r="X1370" s="10">
        <v>0.45536822667429899</v>
      </c>
      <c r="Y1370" s="9">
        <v>4500</v>
      </c>
      <c r="Z1370" s="9">
        <v>3530</v>
      </c>
      <c r="AA1370" s="9">
        <v>4135</v>
      </c>
      <c r="AB1370">
        <v>0.62371134020618557</v>
      </c>
      <c r="AC1370" s="11">
        <v>10.627813281467072</v>
      </c>
      <c r="AD1370" s="9">
        <v>3638.768361581921</v>
      </c>
      <c r="AE1370" s="8">
        <v>0.17138810198300283</v>
      </c>
    </row>
    <row r="1371" spans="1:31" x14ac:dyDescent="0.35">
      <c r="A1371" s="6" t="s">
        <v>1392</v>
      </c>
      <c r="B1371" s="7">
        <v>2</v>
      </c>
      <c r="C1371" s="7">
        <v>1</v>
      </c>
      <c r="D1371" s="7">
        <v>4</v>
      </c>
      <c r="E1371" s="7">
        <v>11</v>
      </c>
      <c r="F1371">
        <v>336</v>
      </c>
      <c r="G1371">
        <v>12</v>
      </c>
      <c r="H1371">
        <v>3.58</v>
      </c>
      <c r="I1371">
        <v>5</v>
      </c>
      <c r="J1371">
        <v>1.5</v>
      </c>
      <c r="K1371">
        <v>500</v>
      </c>
      <c r="L1371">
        <v>95</v>
      </c>
      <c r="M1371">
        <v>405</v>
      </c>
      <c r="N1371">
        <v>739.29</v>
      </c>
      <c r="O1371">
        <v>1.65</v>
      </c>
      <c r="P1371">
        <v>50.37</v>
      </c>
      <c r="Q1371">
        <v>0.86</v>
      </c>
      <c r="R1371">
        <v>0.75</v>
      </c>
      <c r="S1371">
        <v>68</v>
      </c>
      <c r="T1371">
        <v>3981</v>
      </c>
      <c r="U1371">
        <v>4553</v>
      </c>
      <c r="V1371">
        <v>37</v>
      </c>
      <c r="W1371">
        <v>9.1300000000000008</v>
      </c>
      <c r="X1371" s="10">
        <v>0.50611130470320265</v>
      </c>
      <c r="Y1371" s="9">
        <v>3920</v>
      </c>
      <c r="Z1371" s="9">
        <v>3140</v>
      </c>
      <c r="AA1371" s="9">
        <v>3570</v>
      </c>
      <c r="AB1371">
        <v>0.55128205128205132</v>
      </c>
      <c r="AC1371" s="11">
        <v>9.0529313698249485</v>
      </c>
      <c r="AD1371" s="9">
        <v>3229.3022598870057</v>
      </c>
      <c r="AE1371" s="8">
        <v>0.12264150943396226</v>
      </c>
    </row>
    <row r="1372" spans="1:31" x14ac:dyDescent="0.35">
      <c r="A1372" s="6" t="s">
        <v>1393</v>
      </c>
      <c r="B1372" s="7">
        <v>5</v>
      </c>
      <c r="C1372" s="7">
        <v>8</v>
      </c>
      <c r="D1372" s="7">
        <v>1</v>
      </c>
      <c r="E1372" s="7">
        <v>4</v>
      </c>
      <c r="F1372">
        <v>41</v>
      </c>
      <c r="G1372">
        <v>2</v>
      </c>
      <c r="H1372">
        <v>3.84</v>
      </c>
      <c r="I1372">
        <v>-11</v>
      </c>
      <c r="J1372">
        <v>-25.99</v>
      </c>
      <c r="K1372">
        <v>235</v>
      </c>
      <c r="L1372">
        <v>140</v>
      </c>
      <c r="M1372">
        <v>95</v>
      </c>
      <c r="N1372">
        <v>9.1</v>
      </c>
      <c r="O1372">
        <v>-32.33</v>
      </c>
      <c r="P1372">
        <v>0</v>
      </c>
      <c r="Q1372">
        <v>12.64</v>
      </c>
      <c r="R1372">
        <v>1.39</v>
      </c>
      <c r="S1372">
        <v>-26</v>
      </c>
      <c r="T1372">
        <v>11</v>
      </c>
      <c r="U1372">
        <v>100</v>
      </c>
      <c r="V1372">
        <v>11</v>
      </c>
      <c r="W1372">
        <v>22.14</v>
      </c>
      <c r="X1372" s="10">
        <v>0.54722529275274312</v>
      </c>
      <c r="Y1372" s="9">
        <v>246</v>
      </c>
      <c r="Z1372" s="9">
        <v>168</v>
      </c>
      <c r="AA1372" s="9">
        <v>168</v>
      </c>
      <c r="AB1372">
        <v>0</v>
      </c>
      <c r="AC1372" s="11">
        <v>-0.8489302584051126</v>
      </c>
      <c r="AD1372" s="9">
        <v>236.90903954802261</v>
      </c>
      <c r="AE1372" s="8">
        <v>-0.17241379310344829</v>
      </c>
    </row>
    <row r="1373" spans="1:31" x14ac:dyDescent="0.35">
      <c r="A1373" s="6" t="s">
        <v>1394</v>
      </c>
      <c r="B1373" s="7">
        <v>5</v>
      </c>
      <c r="C1373" s="7">
        <v>4</v>
      </c>
      <c r="D1373" s="7">
        <v>2</v>
      </c>
      <c r="E1373" s="7">
        <v>7</v>
      </c>
      <c r="F1373">
        <v>1338</v>
      </c>
      <c r="G1373">
        <v>179</v>
      </c>
      <c r="H1373">
        <v>13.41</v>
      </c>
      <c r="I1373">
        <v>177</v>
      </c>
      <c r="J1373">
        <v>13.24</v>
      </c>
      <c r="K1373">
        <v>2530</v>
      </c>
      <c r="L1373">
        <v>812</v>
      </c>
      <c r="M1373">
        <v>1718</v>
      </c>
      <c r="N1373">
        <v>2142.02</v>
      </c>
      <c r="O1373">
        <v>12.74</v>
      </c>
      <c r="P1373">
        <v>36.17</v>
      </c>
      <c r="Q1373">
        <v>4.03</v>
      </c>
      <c r="R1373">
        <v>4.84</v>
      </c>
      <c r="S1373">
        <v>1222</v>
      </c>
      <c r="T1373">
        <v>10968</v>
      </c>
      <c r="U1373">
        <v>9128</v>
      </c>
      <c r="V1373">
        <v>209</v>
      </c>
      <c r="W1373">
        <v>31.78</v>
      </c>
      <c r="X1373" s="10">
        <v>9.581263998345671E-2</v>
      </c>
      <c r="Y1373" s="9">
        <v>50400</v>
      </c>
      <c r="Z1373" s="9">
        <v>43750</v>
      </c>
      <c r="AA1373" s="9">
        <v>46250</v>
      </c>
      <c r="AB1373">
        <v>0.37593984962406013</v>
      </c>
      <c r="AC1373" s="11">
        <v>-27.17421505973882</v>
      </c>
      <c r="AD1373" s="9">
        <v>48065.4802259887</v>
      </c>
      <c r="AE1373" s="8">
        <v>5.7142857142857141E-2</v>
      </c>
    </row>
    <row r="1374" spans="1:31" x14ac:dyDescent="0.35">
      <c r="A1374" s="6" t="s">
        <v>1395</v>
      </c>
      <c r="B1374" s="7">
        <v>1</v>
      </c>
      <c r="C1374" s="7">
        <v>12</v>
      </c>
      <c r="D1374" s="7">
        <v>3</v>
      </c>
      <c r="E1374" s="7">
        <v>2</v>
      </c>
      <c r="F1374">
        <v>2613</v>
      </c>
      <c r="G1374">
        <v>311</v>
      </c>
      <c r="H1374">
        <v>11.91</v>
      </c>
      <c r="I1374">
        <v>94</v>
      </c>
      <c r="J1374">
        <v>3.6</v>
      </c>
      <c r="K1374">
        <v>4652</v>
      </c>
      <c r="L1374">
        <v>2766</v>
      </c>
      <c r="M1374">
        <v>1887</v>
      </c>
      <c r="N1374">
        <v>1441.25</v>
      </c>
      <c r="O1374">
        <v>5.04</v>
      </c>
      <c r="P1374">
        <v>24.1</v>
      </c>
      <c r="Q1374">
        <v>1.24</v>
      </c>
      <c r="R1374">
        <v>0.88</v>
      </c>
      <c r="S1374">
        <v>388</v>
      </c>
      <c r="T1374">
        <v>7537</v>
      </c>
      <c r="U1374">
        <v>10568</v>
      </c>
      <c r="V1374">
        <v>450</v>
      </c>
      <c r="W1374">
        <v>9.74</v>
      </c>
      <c r="X1374" s="10">
        <v>0.37947186861511828</v>
      </c>
      <c r="Y1374" s="9">
        <v>11750</v>
      </c>
      <c r="Z1374" s="9">
        <v>9020</v>
      </c>
      <c r="AA1374" s="9">
        <v>9910</v>
      </c>
      <c r="AB1374">
        <v>0.32600732600732601</v>
      </c>
      <c r="AC1374" s="11">
        <v>29.195332036676856</v>
      </c>
      <c r="AD1374" s="9">
        <v>9092.5423728813566</v>
      </c>
      <c r="AE1374" s="8">
        <v>9.140969162995595E-2</v>
      </c>
    </row>
    <row r="1375" spans="1:31" x14ac:dyDescent="0.35">
      <c r="A1375" s="6" t="s">
        <v>1396</v>
      </c>
      <c r="B1375" s="7">
        <v>6</v>
      </c>
      <c r="C1375" s="7">
        <v>7</v>
      </c>
      <c r="D1375" s="7">
        <v>1</v>
      </c>
      <c r="E1375" s="7">
        <v>4</v>
      </c>
      <c r="F1375">
        <v>144</v>
      </c>
      <c r="G1375">
        <v>27</v>
      </c>
      <c r="H1375">
        <v>19.010000000000002</v>
      </c>
      <c r="I1375">
        <v>30</v>
      </c>
      <c r="J1375">
        <v>20.74</v>
      </c>
      <c r="K1375">
        <v>615</v>
      </c>
      <c r="L1375">
        <v>27</v>
      </c>
      <c r="M1375">
        <v>588</v>
      </c>
      <c r="N1375">
        <v>2160.4499999999998</v>
      </c>
      <c r="O1375">
        <v>6.95</v>
      </c>
      <c r="P1375">
        <v>13.4</v>
      </c>
      <c r="Q1375">
        <v>0.91</v>
      </c>
      <c r="R1375">
        <v>2.78</v>
      </c>
      <c r="S1375">
        <v>765</v>
      </c>
      <c r="T1375">
        <v>11272</v>
      </c>
      <c r="U1375">
        <v>3692</v>
      </c>
      <c r="V1375">
        <v>46</v>
      </c>
      <c r="W1375">
        <v>11.55</v>
      </c>
      <c r="X1375" s="10">
        <v>0.74747813649493589</v>
      </c>
      <c r="Y1375" s="9">
        <v>15350</v>
      </c>
      <c r="Z1375" s="9">
        <v>11200</v>
      </c>
      <c r="AA1375" s="9">
        <v>15350</v>
      </c>
      <c r="AB1375">
        <v>1</v>
      </c>
      <c r="AC1375" s="11">
        <v>50.520978049458193</v>
      </c>
      <c r="AD1375" s="9">
        <v>11479.943502824859</v>
      </c>
      <c r="AE1375" s="8">
        <v>0.3705357142857143</v>
      </c>
    </row>
    <row r="1376" spans="1:31" x14ac:dyDescent="0.35">
      <c r="A1376" s="6" t="s">
        <v>1397</v>
      </c>
      <c r="B1376" s="7">
        <v>0</v>
      </c>
      <c r="C1376" s="7">
        <v>0</v>
      </c>
      <c r="D1376" s="7">
        <v>0</v>
      </c>
      <c r="E1376" s="7">
        <v>18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 s="10">
        <v>1.8195660457724677E-2</v>
      </c>
      <c r="Y1376" s="9">
        <v>3550</v>
      </c>
      <c r="Z1376" s="9">
        <v>2855</v>
      </c>
      <c r="AA1376" s="9">
        <v>2870</v>
      </c>
      <c r="AB1376">
        <v>2.1582733812949641E-2</v>
      </c>
      <c r="AC1376" s="11">
        <v>1.3741317032509031</v>
      </c>
      <c r="AD1376" s="9">
        <v>3137.6723163841812</v>
      </c>
      <c r="AE1376" s="8">
        <v>-0.15835777126099707</v>
      </c>
    </row>
    <row r="1377" spans="1:31" x14ac:dyDescent="0.35">
      <c r="A1377" s="6" t="s">
        <v>1398</v>
      </c>
      <c r="B1377" s="7">
        <v>0</v>
      </c>
      <c r="C1377" s="7">
        <v>8</v>
      </c>
      <c r="D1377" s="7">
        <v>2</v>
      </c>
      <c r="E1377" s="7">
        <v>8</v>
      </c>
      <c r="F1377">
        <v>541</v>
      </c>
      <c r="G1377">
        <v>-132</v>
      </c>
      <c r="H1377">
        <v>-24.43</v>
      </c>
      <c r="I1377">
        <v>-165</v>
      </c>
      <c r="J1377">
        <v>-30.5</v>
      </c>
      <c r="K1377">
        <v>1754</v>
      </c>
      <c r="L1377">
        <v>1313</v>
      </c>
      <c r="M1377">
        <v>440</v>
      </c>
      <c r="N1377">
        <v>289.77</v>
      </c>
      <c r="O1377">
        <v>-44.29</v>
      </c>
      <c r="P1377">
        <v>0</v>
      </c>
      <c r="Q1377">
        <v>0.75</v>
      </c>
      <c r="R1377">
        <v>0.39</v>
      </c>
      <c r="S1377">
        <v>-1141</v>
      </c>
      <c r="T1377">
        <v>1948</v>
      </c>
      <c r="U1377">
        <v>3743</v>
      </c>
      <c r="V1377">
        <v>-104</v>
      </c>
      <c r="W1377">
        <v>-9.85</v>
      </c>
      <c r="X1377" s="10">
        <v>0.52557890977587485</v>
      </c>
      <c r="Y1377" s="9">
        <v>1205</v>
      </c>
      <c r="Z1377" s="9">
        <v>928</v>
      </c>
      <c r="AA1377" s="9">
        <v>1150</v>
      </c>
      <c r="AB1377">
        <v>0.80144404332129959</v>
      </c>
      <c r="AC1377" s="11">
        <v>3.6325368157821618</v>
      </c>
      <c r="AD1377" s="9">
        <v>931.45762711864404</v>
      </c>
      <c r="AE1377" s="8">
        <v>0.19294605809128632</v>
      </c>
    </row>
    <row r="1378" spans="1:31" x14ac:dyDescent="0.35">
      <c r="A1378" s="6" t="s">
        <v>1399</v>
      </c>
      <c r="B1378" s="7">
        <v>3</v>
      </c>
      <c r="C1378" s="7">
        <v>8</v>
      </c>
      <c r="D1378" s="7">
        <v>2</v>
      </c>
      <c r="E1378" s="7">
        <v>5</v>
      </c>
      <c r="F1378">
        <v>379</v>
      </c>
      <c r="G1378">
        <v>29</v>
      </c>
      <c r="H1378">
        <v>7.57</v>
      </c>
      <c r="I1378">
        <v>30</v>
      </c>
      <c r="J1378">
        <v>7.83</v>
      </c>
      <c r="K1378">
        <v>699</v>
      </c>
      <c r="L1378">
        <v>101</v>
      </c>
      <c r="M1378">
        <v>598</v>
      </c>
      <c r="N1378">
        <v>861.42</v>
      </c>
      <c r="O1378">
        <v>6.7</v>
      </c>
      <c r="P1378">
        <v>11.51</v>
      </c>
      <c r="Q1378">
        <v>0.8</v>
      </c>
      <c r="R1378">
        <v>0.9</v>
      </c>
      <c r="S1378">
        <v>317</v>
      </c>
      <c r="T1378">
        <v>4547</v>
      </c>
      <c r="U1378">
        <v>4064</v>
      </c>
      <c r="V1378">
        <v>48</v>
      </c>
      <c r="W1378">
        <v>9.82</v>
      </c>
      <c r="X1378" s="10">
        <v>0.84143207465626368</v>
      </c>
      <c r="Y1378" s="9">
        <v>4425</v>
      </c>
      <c r="Z1378" s="9">
        <v>3330</v>
      </c>
      <c r="AA1378" s="9">
        <v>4395</v>
      </c>
      <c r="AB1378">
        <v>0.9726027397260274</v>
      </c>
      <c r="AC1378" s="11">
        <v>21.177549319255352</v>
      </c>
      <c r="AD1378" s="9">
        <v>3280.9180790960454</v>
      </c>
      <c r="AE1378" s="8">
        <v>0.23281907433380084</v>
      </c>
    </row>
    <row r="1379" spans="1:31" x14ac:dyDescent="0.35">
      <c r="A1379" s="6" t="s">
        <v>1400</v>
      </c>
      <c r="B1379" s="7">
        <v>0</v>
      </c>
      <c r="C1379" s="7">
        <v>6</v>
      </c>
      <c r="D1379" s="7">
        <v>0</v>
      </c>
      <c r="E1379" s="7">
        <v>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49</v>
      </c>
      <c r="L1379">
        <v>4</v>
      </c>
      <c r="M1379">
        <v>45</v>
      </c>
      <c r="N1379">
        <v>1689.39</v>
      </c>
      <c r="O1379">
        <v>-0.09</v>
      </c>
      <c r="P1379">
        <v>0</v>
      </c>
      <c r="Q1379">
        <v>1.1399999999999999</v>
      </c>
      <c r="R1379">
        <v>0</v>
      </c>
      <c r="S1379">
        <v>-4</v>
      </c>
      <c r="T1379">
        <v>1789</v>
      </c>
      <c r="U1379">
        <v>0</v>
      </c>
      <c r="V1379">
        <v>0</v>
      </c>
      <c r="W1379">
        <v>-537.12</v>
      </c>
      <c r="X1379" s="10">
        <v>0.63951856213740055</v>
      </c>
      <c r="Y1379" s="9">
        <v>2575</v>
      </c>
      <c r="Z1379" s="9">
        <v>2040</v>
      </c>
      <c r="AA1379" s="9">
        <v>2475</v>
      </c>
      <c r="AB1379">
        <v>0.81308411214953269</v>
      </c>
      <c r="AC1379" s="11">
        <v>6.198527368713532</v>
      </c>
      <c r="AD1379" s="9">
        <v>2143.361581920904</v>
      </c>
      <c r="AE1379" s="8">
        <v>0.21026894865525672</v>
      </c>
    </row>
    <row r="1380" spans="1:31" x14ac:dyDescent="0.35">
      <c r="A1380" s="6" t="s">
        <v>1401</v>
      </c>
      <c r="B1380" s="7">
        <v>2</v>
      </c>
      <c r="C1380" s="7">
        <v>8</v>
      </c>
      <c r="D1380" s="7">
        <v>1</v>
      </c>
      <c r="E1380" s="7">
        <v>7</v>
      </c>
      <c r="F1380">
        <v>77</v>
      </c>
      <c r="G1380">
        <v>-25</v>
      </c>
      <c r="H1380">
        <v>-32.659999999999997</v>
      </c>
      <c r="I1380">
        <v>-52</v>
      </c>
      <c r="J1380">
        <v>-66.73</v>
      </c>
      <c r="K1380">
        <v>860</v>
      </c>
      <c r="L1380">
        <v>496</v>
      </c>
      <c r="M1380">
        <v>364</v>
      </c>
      <c r="N1380">
        <v>9.98</v>
      </c>
      <c r="O1380">
        <v>-17.8</v>
      </c>
      <c r="P1380">
        <v>0</v>
      </c>
      <c r="Q1380">
        <v>1.05</v>
      </c>
      <c r="R1380">
        <v>3.13</v>
      </c>
      <c r="S1380">
        <v>-104</v>
      </c>
      <c r="T1380">
        <v>466</v>
      </c>
      <c r="U1380">
        <v>156</v>
      </c>
      <c r="V1380">
        <v>-14</v>
      </c>
      <c r="W1380">
        <v>-50.95</v>
      </c>
      <c r="X1380" s="10">
        <v>0.69668418101785323</v>
      </c>
      <c r="Y1380" s="9">
        <v>620</v>
      </c>
      <c r="Z1380" s="9">
        <v>464</v>
      </c>
      <c r="AA1380" s="9">
        <v>554</v>
      </c>
      <c r="AB1380">
        <v>0.57692307692307687</v>
      </c>
      <c r="AC1380" s="11">
        <v>2.1818838566268406</v>
      </c>
      <c r="AD1380" s="9">
        <v>447.61920903954797</v>
      </c>
      <c r="AE1380" s="8">
        <v>0.18629550321199143</v>
      </c>
    </row>
    <row r="1381" spans="1:31" x14ac:dyDescent="0.35">
      <c r="A1381" s="6" t="s">
        <v>1402</v>
      </c>
      <c r="B1381" s="7">
        <v>3</v>
      </c>
      <c r="C1381" s="7">
        <v>3</v>
      </c>
      <c r="D1381" s="7">
        <v>4</v>
      </c>
      <c r="E1381" s="7">
        <v>8</v>
      </c>
      <c r="F1381">
        <v>27</v>
      </c>
      <c r="G1381">
        <v>2</v>
      </c>
      <c r="H1381">
        <v>7.78</v>
      </c>
      <c r="I1381">
        <v>2</v>
      </c>
      <c r="J1381">
        <v>6.61</v>
      </c>
      <c r="K1381">
        <v>539</v>
      </c>
      <c r="L1381">
        <v>36</v>
      </c>
      <c r="M1381">
        <v>503</v>
      </c>
      <c r="N1381">
        <v>29.1</v>
      </c>
      <c r="O1381">
        <v>0.48</v>
      </c>
      <c r="P1381">
        <v>103.67</v>
      </c>
      <c r="Q1381">
        <v>0.53</v>
      </c>
      <c r="R1381">
        <v>6.48</v>
      </c>
      <c r="S1381">
        <v>3</v>
      </c>
      <c r="T1381">
        <v>591</v>
      </c>
      <c r="U1381">
        <v>48</v>
      </c>
      <c r="V1381">
        <v>0</v>
      </c>
      <c r="W1381">
        <v>0</v>
      </c>
      <c r="X1381" s="10">
        <v>0.76026690519769147</v>
      </c>
      <c r="Y1381" s="9">
        <v>490</v>
      </c>
      <c r="Z1381" s="9">
        <v>309</v>
      </c>
      <c r="AA1381" s="9">
        <v>471</v>
      </c>
      <c r="AB1381">
        <v>0.89502762430939231</v>
      </c>
      <c r="AC1381" s="11">
        <v>2.9728813559322034</v>
      </c>
      <c r="AD1381" s="9">
        <v>302.32711864406781</v>
      </c>
      <c r="AE1381" s="8">
        <v>0.50961538461538458</v>
      </c>
    </row>
    <row r="1382" spans="1:31" x14ac:dyDescent="0.35">
      <c r="A1382" s="6" t="s">
        <v>1403</v>
      </c>
      <c r="B1382" s="7">
        <v>6</v>
      </c>
      <c r="C1382" s="7">
        <v>10</v>
      </c>
      <c r="D1382" s="7">
        <v>2</v>
      </c>
      <c r="E1382" s="7">
        <v>0</v>
      </c>
      <c r="F1382">
        <v>453</v>
      </c>
      <c r="G1382">
        <v>49</v>
      </c>
      <c r="H1382">
        <v>10.71</v>
      </c>
      <c r="I1382">
        <v>44</v>
      </c>
      <c r="J1382">
        <v>9.6999999999999993</v>
      </c>
      <c r="K1382">
        <v>544</v>
      </c>
      <c r="L1382">
        <v>130</v>
      </c>
      <c r="M1382">
        <v>414</v>
      </c>
      <c r="N1382">
        <v>1202.23</v>
      </c>
      <c r="O1382">
        <v>11.08</v>
      </c>
      <c r="P1382">
        <v>5.64</v>
      </c>
      <c r="Q1382">
        <v>0.61</v>
      </c>
      <c r="R1382">
        <v>0.55000000000000004</v>
      </c>
      <c r="S1382">
        <v>691</v>
      </c>
      <c r="T1382">
        <v>6360</v>
      </c>
      <c r="U1382">
        <v>7123</v>
      </c>
      <c r="V1382">
        <v>57</v>
      </c>
      <c r="W1382">
        <v>4.3499999999999996</v>
      </c>
      <c r="X1382" s="10">
        <v>0.77673798358046187</v>
      </c>
      <c r="Y1382" s="9">
        <v>4760</v>
      </c>
      <c r="Z1382" s="9">
        <v>3675</v>
      </c>
      <c r="AA1382" s="9">
        <v>4690</v>
      </c>
      <c r="AB1382">
        <v>0.93548387096774188</v>
      </c>
      <c r="AC1382" s="11">
        <v>18.213114754098363</v>
      </c>
      <c r="AD1382" s="9">
        <v>3527.8333333333335</v>
      </c>
      <c r="AE1382" s="8">
        <v>0.20876288659793815</v>
      </c>
    </row>
    <row r="1383" spans="1:31" x14ac:dyDescent="0.35">
      <c r="A1383" s="6" t="s">
        <v>1404</v>
      </c>
      <c r="B1383" s="7">
        <v>3</v>
      </c>
      <c r="C1383" s="7">
        <v>6</v>
      </c>
      <c r="D1383" s="7">
        <v>6</v>
      </c>
      <c r="E1383" s="7">
        <v>3</v>
      </c>
      <c r="F1383">
        <v>442</v>
      </c>
      <c r="G1383">
        <v>-36</v>
      </c>
      <c r="H1383">
        <v>-8.09</v>
      </c>
      <c r="I1383">
        <v>-45</v>
      </c>
      <c r="J1383">
        <v>-10.19</v>
      </c>
      <c r="K1383">
        <v>423</v>
      </c>
      <c r="L1383">
        <v>216</v>
      </c>
      <c r="M1383">
        <v>206</v>
      </c>
      <c r="N1383">
        <v>421.06</v>
      </c>
      <c r="O1383">
        <v>-20.079999999999998</v>
      </c>
      <c r="P1383">
        <v>0</v>
      </c>
      <c r="Q1383">
        <v>2.2799999999999998</v>
      </c>
      <c r="R1383">
        <v>1</v>
      </c>
      <c r="S1383">
        <v>-570</v>
      </c>
      <c r="T1383">
        <v>2450</v>
      </c>
      <c r="U1383">
        <v>5588</v>
      </c>
      <c r="V1383">
        <v>-27</v>
      </c>
      <c r="W1383">
        <v>-18.11</v>
      </c>
      <c r="X1383" s="10">
        <v>0.27715587245958784</v>
      </c>
      <c r="Y1383" s="9">
        <v>8320</v>
      </c>
      <c r="Z1383" s="9">
        <v>5290</v>
      </c>
      <c r="AA1383" s="9">
        <v>6640</v>
      </c>
      <c r="AB1383">
        <v>0.44554455445544555</v>
      </c>
      <c r="AC1383" s="11">
        <v>18.519588774659624</v>
      </c>
      <c r="AD1383" s="9">
        <v>5769.4858757062148</v>
      </c>
      <c r="AE1383" s="8">
        <v>0.24112149532710281</v>
      </c>
    </row>
    <row r="1384" spans="1:31" x14ac:dyDescent="0.35">
      <c r="A1384" s="6" t="s">
        <v>1405</v>
      </c>
      <c r="B1384" s="7">
        <v>2</v>
      </c>
      <c r="C1384" s="7">
        <v>5</v>
      </c>
      <c r="D1384" s="7">
        <v>3</v>
      </c>
      <c r="E1384" s="7">
        <v>8</v>
      </c>
      <c r="F1384">
        <v>61</v>
      </c>
      <c r="G1384">
        <v>-51</v>
      </c>
      <c r="H1384">
        <v>-84.99</v>
      </c>
      <c r="I1384">
        <v>-80</v>
      </c>
      <c r="J1384">
        <v>-131.51</v>
      </c>
      <c r="K1384">
        <v>191</v>
      </c>
      <c r="L1384">
        <v>101</v>
      </c>
      <c r="M1384">
        <v>90</v>
      </c>
      <c r="N1384">
        <v>113.69</v>
      </c>
      <c r="O1384">
        <v>-64.349999999999994</v>
      </c>
      <c r="P1384">
        <v>0</v>
      </c>
      <c r="Q1384">
        <v>4.53</v>
      </c>
      <c r="R1384">
        <v>5.29</v>
      </c>
      <c r="S1384">
        <v>-984</v>
      </c>
      <c r="T1384">
        <v>875</v>
      </c>
      <c r="U1384">
        <v>748</v>
      </c>
      <c r="V1384">
        <v>-45</v>
      </c>
      <c r="W1384">
        <v>-8.84</v>
      </c>
      <c r="X1384" s="10">
        <v>3.7415369672634236E-3</v>
      </c>
      <c r="Y1384" s="9">
        <v>5810</v>
      </c>
      <c r="Z1384" s="9">
        <v>3800</v>
      </c>
      <c r="AA1384" s="9">
        <v>4280</v>
      </c>
      <c r="AB1384">
        <v>0.23880597014925373</v>
      </c>
      <c r="AC1384" s="11">
        <v>-1.6172547929980556</v>
      </c>
      <c r="AD1384" s="9">
        <v>4499.7429378531078</v>
      </c>
      <c r="AE1384" s="8">
        <v>9.7435897435897437E-2</v>
      </c>
    </row>
    <row r="1385" spans="1:31" x14ac:dyDescent="0.35">
      <c r="A1385" s="6" t="s">
        <v>1406</v>
      </c>
      <c r="B1385" s="7">
        <v>1</v>
      </c>
      <c r="C1385" s="7">
        <v>8</v>
      </c>
      <c r="D1385" s="7">
        <v>0</v>
      </c>
      <c r="E1385" s="7">
        <v>9</v>
      </c>
      <c r="F1385">
        <v>105</v>
      </c>
      <c r="G1385">
        <v>-29</v>
      </c>
      <c r="H1385">
        <v>-27.48</v>
      </c>
      <c r="I1385">
        <v>-20</v>
      </c>
      <c r="J1385">
        <v>-19.46</v>
      </c>
      <c r="K1385">
        <v>435</v>
      </c>
      <c r="L1385">
        <v>171</v>
      </c>
      <c r="M1385">
        <v>265</v>
      </c>
      <c r="N1385">
        <v>662.28</v>
      </c>
      <c r="O1385">
        <v>-9.99</v>
      </c>
      <c r="P1385">
        <v>0</v>
      </c>
      <c r="Q1385">
        <v>0.8</v>
      </c>
      <c r="R1385">
        <v>1.47</v>
      </c>
      <c r="S1385">
        <v>-392</v>
      </c>
      <c r="T1385">
        <v>3695</v>
      </c>
      <c r="U1385">
        <v>2015</v>
      </c>
      <c r="V1385">
        <v>-21</v>
      </c>
      <c r="W1385">
        <v>-9.99</v>
      </c>
      <c r="X1385" s="10">
        <v>8.5984709998883899E-2</v>
      </c>
      <c r="Y1385" s="9">
        <v>4815</v>
      </c>
      <c r="Z1385" s="9">
        <v>3805</v>
      </c>
      <c r="AA1385" s="9">
        <v>4090</v>
      </c>
      <c r="AB1385">
        <v>0.28217821782178215</v>
      </c>
      <c r="AC1385" s="11">
        <v>-3.0380661294804114</v>
      </c>
      <c r="AD1385" s="9">
        <v>4458.1610169491523</v>
      </c>
      <c r="AE1385" s="8">
        <v>7.4901445466491454E-2</v>
      </c>
    </row>
    <row r="1386" spans="1:31" x14ac:dyDescent="0.35">
      <c r="A1386" s="6" t="s">
        <v>1407</v>
      </c>
      <c r="B1386" s="7">
        <v>14</v>
      </c>
      <c r="C1386" s="7">
        <v>0</v>
      </c>
      <c r="D1386" s="7">
        <v>4</v>
      </c>
      <c r="E1386" s="7">
        <v>0</v>
      </c>
      <c r="F1386">
        <v>2581</v>
      </c>
      <c r="G1386">
        <v>155</v>
      </c>
      <c r="H1386">
        <v>6.02</v>
      </c>
      <c r="I1386">
        <v>118</v>
      </c>
      <c r="J1386">
        <v>4.57</v>
      </c>
      <c r="K1386">
        <v>2140</v>
      </c>
      <c r="L1386">
        <v>1414</v>
      </c>
      <c r="M1386">
        <v>726</v>
      </c>
      <c r="N1386">
        <v>827.86</v>
      </c>
      <c r="O1386">
        <v>17.57</v>
      </c>
      <c r="P1386">
        <v>13.44</v>
      </c>
      <c r="Q1386">
        <v>2.4</v>
      </c>
      <c r="R1386">
        <v>0.62</v>
      </c>
      <c r="S1386">
        <v>755</v>
      </c>
      <c r="T1386">
        <v>4226</v>
      </c>
      <c r="U1386">
        <v>16496</v>
      </c>
      <c r="V1386">
        <v>221</v>
      </c>
      <c r="W1386">
        <v>9.58</v>
      </c>
      <c r="X1386" s="10">
        <v>0.70647356288710506</v>
      </c>
      <c r="Y1386" s="9">
        <v>13200</v>
      </c>
      <c r="Z1386" s="9">
        <v>9920</v>
      </c>
      <c r="AA1386" s="9">
        <v>11800</v>
      </c>
      <c r="AB1386">
        <v>0.57317073170731703</v>
      </c>
      <c r="AC1386" s="11">
        <v>47.70547374270631</v>
      </c>
      <c r="AD1386" s="9">
        <v>10065.983050847457</v>
      </c>
      <c r="AE1386" s="8">
        <v>0.18951612903225806</v>
      </c>
    </row>
    <row r="1387" spans="1:31" x14ac:dyDescent="0.35">
      <c r="A1387" s="6" t="s">
        <v>1408</v>
      </c>
      <c r="B1387" s="7">
        <v>8</v>
      </c>
      <c r="C1387" s="7">
        <v>2</v>
      </c>
      <c r="D1387" s="7">
        <v>1</v>
      </c>
      <c r="E1387" s="7">
        <v>7</v>
      </c>
      <c r="F1387">
        <v>0</v>
      </c>
      <c r="G1387">
        <v>-1</v>
      </c>
      <c r="H1387">
        <v>0</v>
      </c>
      <c r="I1387">
        <v>2</v>
      </c>
      <c r="J1387">
        <v>0</v>
      </c>
      <c r="K1387">
        <v>151</v>
      </c>
      <c r="L1387">
        <v>14</v>
      </c>
      <c r="M1387">
        <v>137</v>
      </c>
      <c r="N1387">
        <v>1854.77</v>
      </c>
      <c r="O1387">
        <v>1.58</v>
      </c>
      <c r="P1387">
        <v>73.39</v>
      </c>
      <c r="Q1387">
        <v>1.1599999999999999</v>
      </c>
      <c r="R1387">
        <v>0</v>
      </c>
      <c r="S1387">
        <v>31</v>
      </c>
      <c r="T1387">
        <v>1955</v>
      </c>
      <c r="U1387">
        <v>0</v>
      </c>
      <c r="V1387">
        <v>-1</v>
      </c>
      <c r="W1387">
        <v>-169.27</v>
      </c>
      <c r="X1387" s="10">
        <v>0.90975484166191589</v>
      </c>
      <c r="Y1387" s="9">
        <v>3975</v>
      </c>
      <c r="Z1387" s="9">
        <v>2200</v>
      </c>
      <c r="AA1387" s="9">
        <v>3660</v>
      </c>
      <c r="AB1387">
        <v>0.82253521126760565</v>
      </c>
      <c r="AC1387" s="11">
        <v>27.81439288691303</v>
      </c>
      <c r="AD1387" s="9">
        <v>1971.6610169491526</v>
      </c>
      <c r="AE1387" s="8">
        <v>0.61589403973509937</v>
      </c>
    </row>
    <row r="1388" spans="1:31" x14ac:dyDescent="0.35">
      <c r="A1388" s="6" t="s">
        <v>1409</v>
      </c>
      <c r="B1388" s="7">
        <v>0</v>
      </c>
      <c r="C1388" s="7">
        <v>9</v>
      </c>
      <c r="D1388" s="7">
        <v>0</v>
      </c>
      <c r="E1388" s="7">
        <v>9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148</v>
      </c>
      <c r="L1388">
        <v>13</v>
      </c>
      <c r="M1388">
        <v>135</v>
      </c>
      <c r="N1388">
        <v>1823.41</v>
      </c>
      <c r="O1388">
        <v>0.12</v>
      </c>
      <c r="P1388">
        <v>294.29000000000002</v>
      </c>
      <c r="Q1388">
        <v>1.07</v>
      </c>
      <c r="R1388">
        <v>0</v>
      </c>
      <c r="S1388">
        <v>7</v>
      </c>
      <c r="T1388">
        <v>1923</v>
      </c>
      <c r="U1388">
        <v>0</v>
      </c>
      <c r="V1388">
        <v>0</v>
      </c>
      <c r="W1388">
        <v>-392.35</v>
      </c>
      <c r="X1388" s="10">
        <v>0.87848968410189499</v>
      </c>
      <c r="Y1388" s="9">
        <v>3000</v>
      </c>
      <c r="Z1388" s="9">
        <v>2045</v>
      </c>
      <c r="AA1388" s="9">
        <v>3000</v>
      </c>
      <c r="AB1388">
        <v>1</v>
      </c>
      <c r="AC1388" s="11">
        <v>13.943317588218948</v>
      </c>
      <c r="AD1388" s="9">
        <v>1940.3954802259886</v>
      </c>
      <c r="AE1388" s="8">
        <v>0.45985401459854014</v>
      </c>
    </row>
    <row r="1389" spans="1:31" x14ac:dyDescent="0.35">
      <c r="A1389" s="6" t="s">
        <v>1410</v>
      </c>
      <c r="B1389" s="7">
        <v>2</v>
      </c>
      <c r="C1389" s="7">
        <v>11</v>
      </c>
      <c r="D1389" s="7">
        <v>1</v>
      </c>
      <c r="E1389" s="7">
        <v>4</v>
      </c>
      <c r="F1389">
        <v>158402</v>
      </c>
      <c r="G1389">
        <v>8709</v>
      </c>
      <c r="H1389">
        <v>5.5</v>
      </c>
      <c r="I1389">
        <v>6463</v>
      </c>
      <c r="J1389">
        <v>4.08</v>
      </c>
      <c r="K1389">
        <v>2560713</v>
      </c>
      <c r="L1389">
        <v>2382149</v>
      </c>
      <c r="M1389">
        <v>178564</v>
      </c>
      <c r="N1389">
        <v>429.19</v>
      </c>
      <c r="O1389">
        <v>3.58</v>
      </c>
      <c r="P1389">
        <v>11.88</v>
      </c>
      <c r="Q1389">
        <v>0.39</v>
      </c>
      <c r="R1389">
        <v>0.38</v>
      </c>
      <c r="S1389">
        <v>842</v>
      </c>
      <c r="T1389">
        <v>25829</v>
      </c>
      <c r="U1389">
        <v>26010</v>
      </c>
      <c r="V1389">
        <v>0</v>
      </c>
      <c r="W1389">
        <v>0</v>
      </c>
      <c r="X1389" s="10">
        <v>3.4362365497229132E-2</v>
      </c>
      <c r="Y1389" s="9">
        <v>10250</v>
      </c>
      <c r="Z1389" s="9">
        <v>8780</v>
      </c>
      <c r="AA1389" s="9">
        <v>9390</v>
      </c>
      <c r="AB1389">
        <v>0.41496598639455784</v>
      </c>
      <c r="AC1389" s="11">
        <v>3.4376215615448733</v>
      </c>
      <c r="AD1389" s="9">
        <v>9259.8192090395478</v>
      </c>
      <c r="AE1389" s="8">
        <v>-8.3902439024390249E-2</v>
      </c>
    </row>
    <row r="1390" spans="1:31" x14ac:dyDescent="0.35">
      <c r="A1390" s="6" t="s">
        <v>1411</v>
      </c>
      <c r="B1390" s="7">
        <v>0</v>
      </c>
      <c r="C1390" s="7">
        <v>8</v>
      </c>
      <c r="D1390" s="7">
        <v>7</v>
      </c>
      <c r="E1390" s="7">
        <v>3</v>
      </c>
      <c r="F1390">
        <v>1414</v>
      </c>
      <c r="G1390">
        <v>1</v>
      </c>
      <c r="H1390">
        <v>0.04</v>
      </c>
      <c r="I1390">
        <v>-17</v>
      </c>
      <c r="J1390">
        <v>-1.22</v>
      </c>
      <c r="K1390">
        <v>2725</v>
      </c>
      <c r="L1390">
        <v>1701</v>
      </c>
      <c r="M1390">
        <v>1024</v>
      </c>
      <c r="N1390">
        <v>554.17999999999995</v>
      </c>
      <c r="O1390">
        <v>-2.2200000000000002</v>
      </c>
      <c r="P1390">
        <v>0</v>
      </c>
      <c r="Q1390">
        <v>0.64</v>
      </c>
      <c r="R1390">
        <v>0.34</v>
      </c>
      <c r="S1390">
        <v>-73</v>
      </c>
      <c r="T1390">
        <v>3178</v>
      </c>
      <c r="U1390">
        <v>6064</v>
      </c>
      <c r="V1390">
        <v>31</v>
      </c>
      <c r="W1390">
        <v>26.84</v>
      </c>
      <c r="X1390" s="10">
        <v>0.40211373862827926</v>
      </c>
      <c r="Y1390" s="9">
        <v>2505</v>
      </c>
      <c r="Z1390" s="9">
        <v>2020</v>
      </c>
      <c r="AA1390" s="9">
        <v>2325</v>
      </c>
      <c r="AB1390">
        <v>0.62886597938144329</v>
      </c>
      <c r="AC1390" s="11">
        <v>5.328841344818005</v>
      </c>
      <c r="AD1390" s="9">
        <v>2081.5536723163841</v>
      </c>
      <c r="AE1390" s="8">
        <v>8.1395348837209308E-2</v>
      </c>
    </row>
    <row r="1391" spans="1:31" x14ac:dyDescent="0.35">
      <c r="A1391" s="6" t="s">
        <v>1412</v>
      </c>
      <c r="B1391" s="7">
        <v>2</v>
      </c>
      <c r="C1391" s="7">
        <v>6</v>
      </c>
      <c r="D1391" s="7">
        <v>4</v>
      </c>
      <c r="E1391" s="7">
        <v>6</v>
      </c>
      <c r="F1391">
        <v>111</v>
      </c>
      <c r="G1391">
        <v>-15</v>
      </c>
      <c r="H1391">
        <v>-13.64</v>
      </c>
      <c r="I1391">
        <v>-73</v>
      </c>
      <c r="J1391">
        <v>-65.569999999999993</v>
      </c>
      <c r="K1391">
        <v>1745</v>
      </c>
      <c r="L1391">
        <v>440</v>
      </c>
      <c r="M1391">
        <v>1305</v>
      </c>
      <c r="N1391">
        <v>592.84</v>
      </c>
      <c r="O1391">
        <v>-10.83</v>
      </c>
      <c r="P1391">
        <v>0</v>
      </c>
      <c r="Q1391">
        <v>0.76</v>
      </c>
      <c r="R1391">
        <v>4.04</v>
      </c>
      <c r="S1391">
        <v>-374</v>
      </c>
      <c r="T1391">
        <v>3059</v>
      </c>
      <c r="U1391">
        <v>572</v>
      </c>
      <c r="V1391">
        <v>-2</v>
      </c>
      <c r="W1391">
        <v>-668.29</v>
      </c>
      <c r="X1391" s="10">
        <v>0.86278636334263914</v>
      </c>
      <c r="Y1391" s="9">
        <v>3255</v>
      </c>
      <c r="Z1391" s="9">
        <v>1815</v>
      </c>
      <c r="AA1391" s="9">
        <v>3005</v>
      </c>
      <c r="AB1391">
        <v>0.82638888888888884</v>
      </c>
      <c r="AC1391" s="11">
        <v>25.257849402611836</v>
      </c>
      <c r="AD1391" s="9">
        <v>1641.6355932203392</v>
      </c>
      <c r="AE1391" s="8">
        <v>0.65564738292011016</v>
      </c>
    </row>
    <row r="1392" spans="1:31" x14ac:dyDescent="0.35">
      <c r="A1392" s="6" t="s">
        <v>1413</v>
      </c>
      <c r="B1392" s="7">
        <v>3</v>
      </c>
      <c r="C1392" s="7">
        <v>2</v>
      </c>
      <c r="D1392" s="7">
        <v>5</v>
      </c>
      <c r="E1392" s="7">
        <v>8</v>
      </c>
      <c r="F1392">
        <v>333</v>
      </c>
      <c r="G1392">
        <v>3</v>
      </c>
      <c r="H1392">
        <v>0.82</v>
      </c>
      <c r="I1392">
        <v>3</v>
      </c>
      <c r="J1392">
        <v>0.93</v>
      </c>
      <c r="K1392">
        <v>1381</v>
      </c>
      <c r="L1392">
        <v>362</v>
      </c>
      <c r="M1392">
        <v>1019</v>
      </c>
      <c r="N1392">
        <v>784.25</v>
      </c>
      <c r="O1392">
        <v>0.41</v>
      </c>
      <c r="P1392">
        <v>90.53</v>
      </c>
      <c r="Q1392">
        <v>0.41</v>
      </c>
      <c r="R1392">
        <v>0.85</v>
      </c>
      <c r="S1392">
        <v>19</v>
      </c>
      <c r="T1392">
        <v>4239</v>
      </c>
      <c r="U1392">
        <v>2035</v>
      </c>
      <c r="V1392">
        <v>13</v>
      </c>
      <c r="W1392">
        <v>38.630000000000003</v>
      </c>
      <c r="X1392" s="10">
        <v>0.89185100481223156</v>
      </c>
      <c r="Y1392" s="9">
        <v>2790</v>
      </c>
      <c r="Z1392" s="9">
        <v>1630</v>
      </c>
      <c r="AA1392" s="9">
        <v>2540</v>
      </c>
      <c r="AB1392">
        <v>0.78448275862068961</v>
      </c>
      <c r="AC1392" s="11">
        <v>21.345095859961098</v>
      </c>
      <c r="AD1392" s="9">
        <v>1500.1412429378529</v>
      </c>
      <c r="AE1392" s="8">
        <v>0.54878048780487809</v>
      </c>
    </row>
    <row r="1393" spans="1:31" x14ac:dyDescent="0.35">
      <c r="A1393" s="6" t="s">
        <v>1414</v>
      </c>
      <c r="B1393" s="7">
        <v>2</v>
      </c>
      <c r="C1393" s="7">
        <v>8</v>
      </c>
      <c r="D1393" s="7">
        <v>2</v>
      </c>
      <c r="E1393" s="7">
        <v>6</v>
      </c>
      <c r="F1393">
        <v>714</v>
      </c>
      <c r="G1393">
        <v>50</v>
      </c>
      <c r="H1393">
        <v>7.02</v>
      </c>
      <c r="I1393">
        <v>53</v>
      </c>
      <c r="J1393">
        <v>7.38</v>
      </c>
      <c r="K1393">
        <v>10015</v>
      </c>
      <c r="L1393">
        <v>8610</v>
      </c>
      <c r="M1393">
        <v>1404</v>
      </c>
      <c r="N1393">
        <v>-40.69</v>
      </c>
      <c r="O1393">
        <v>3.75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 s="10">
        <v>0.21535216629348861</v>
      </c>
      <c r="Y1393" s="9">
        <v>431</v>
      </c>
      <c r="Z1393" s="9">
        <v>380</v>
      </c>
      <c r="AA1393" s="9">
        <v>393</v>
      </c>
      <c r="AB1393">
        <v>0.25490196078431371</v>
      </c>
      <c r="AC1393" s="11">
        <v>0.34090025006946373</v>
      </c>
      <c r="AD1393" s="9">
        <v>395.05254237288136</v>
      </c>
      <c r="AE1393" s="8">
        <v>-1.0075566750629723E-2</v>
      </c>
    </row>
    <row r="1394" spans="1:31" x14ac:dyDescent="0.35">
      <c r="A1394" s="6" t="s">
        <v>1415</v>
      </c>
      <c r="B1394" s="7">
        <v>3</v>
      </c>
      <c r="C1394" s="7">
        <v>9</v>
      </c>
      <c r="D1394" s="7">
        <v>5</v>
      </c>
      <c r="E1394" s="7">
        <v>1</v>
      </c>
      <c r="F1394">
        <v>458</v>
      </c>
      <c r="G1394">
        <v>34</v>
      </c>
      <c r="H1394">
        <v>7.47</v>
      </c>
      <c r="I1394">
        <v>35</v>
      </c>
      <c r="J1394">
        <v>7.64</v>
      </c>
      <c r="K1394">
        <v>1020</v>
      </c>
      <c r="L1394">
        <v>197</v>
      </c>
      <c r="M1394">
        <v>823</v>
      </c>
      <c r="N1394">
        <v>1134.8599999999999</v>
      </c>
      <c r="O1394">
        <v>5.73</v>
      </c>
      <c r="P1394">
        <v>13.26</v>
      </c>
      <c r="Q1394">
        <v>0.77</v>
      </c>
      <c r="R1394">
        <v>0</v>
      </c>
      <c r="S1394">
        <v>347</v>
      </c>
      <c r="T1394">
        <v>6003</v>
      </c>
      <c r="U1394">
        <v>0</v>
      </c>
      <c r="V1394">
        <v>96</v>
      </c>
      <c r="W1394">
        <v>6.47</v>
      </c>
      <c r="X1394" s="10">
        <v>0.40070319905191426</v>
      </c>
      <c r="Y1394" s="9">
        <v>4660</v>
      </c>
      <c r="Z1394" s="9">
        <v>4100</v>
      </c>
      <c r="AA1394" s="9">
        <v>4500</v>
      </c>
      <c r="AB1394">
        <v>0.7142857142857143</v>
      </c>
      <c r="AC1394" s="11">
        <v>4.6578216171158653</v>
      </c>
      <c r="AD1394" s="9">
        <v>4219.019774011299</v>
      </c>
      <c r="AE1394" s="8">
        <v>2.2727272727272728E-2</v>
      </c>
    </row>
    <row r="1395" spans="1:31" x14ac:dyDescent="0.35">
      <c r="A1395" s="6" t="s">
        <v>1416</v>
      </c>
      <c r="B1395" s="7">
        <v>14</v>
      </c>
      <c r="C1395" s="7">
        <v>1</v>
      </c>
      <c r="D1395" s="7">
        <v>2</v>
      </c>
      <c r="E1395" s="7">
        <v>1</v>
      </c>
      <c r="F1395">
        <v>928</v>
      </c>
      <c r="G1395">
        <v>25</v>
      </c>
      <c r="H1395">
        <v>2.64</v>
      </c>
      <c r="I1395">
        <v>21</v>
      </c>
      <c r="J1395">
        <v>2.27</v>
      </c>
      <c r="K1395">
        <v>969</v>
      </c>
      <c r="L1395">
        <v>538</v>
      </c>
      <c r="M1395">
        <v>431</v>
      </c>
      <c r="N1395">
        <v>163.62</v>
      </c>
      <c r="O1395">
        <v>5.95</v>
      </c>
      <c r="P1395">
        <v>17.95</v>
      </c>
      <c r="Q1395">
        <v>1.17</v>
      </c>
      <c r="R1395">
        <v>0.41</v>
      </c>
      <c r="S1395">
        <v>73</v>
      </c>
      <c r="T1395">
        <v>1123</v>
      </c>
      <c r="U1395">
        <v>3194</v>
      </c>
      <c r="V1395">
        <v>41</v>
      </c>
      <c r="W1395">
        <v>15.04</v>
      </c>
      <c r="X1395" s="10">
        <v>0.50918773449575672</v>
      </c>
      <c r="Y1395" s="9">
        <v>1645</v>
      </c>
      <c r="Z1395" s="9">
        <v>1230</v>
      </c>
      <c r="AA1395" s="9">
        <v>1380</v>
      </c>
      <c r="AB1395">
        <v>0.36144578313253012</v>
      </c>
      <c r="AC1395" s="11">
        <v>4.934565156988052</v>
      </c>
      <c r="AD1395" s="9">
        <v>1225.2457627118645</v>
      </c>
      <c r="AE1395" s="8">
        <v>5.3435114503816793E-2</v>
      </c>
    </row>
    <row r="1396" spans="1:31" x14ac:dyDescent="0.35">
      <c r="A1396" s="6" t="s">
        <v>1417</v>
      </c>
      <c r="B1396" s="7">
        <v>3</v>
      </c>
      <c r="C1396" s="7">
        <v>11</v>
      </c>
      <c r="D1396" s="7">
        <v>2</v>
      </c>
      <c r="E1396" s="7">
        <v>2</v>
      </c>
      <c r="F1396">
        <v>2942</v>
      </c>
      <c r="G1396">
        <v>55</v>
      </c>
      <c r="H1396">
        <v>1.88</v>
      </c>
      <c r="I1396">
        <v>37</v>
      </c>
      <c r="J1396">
        <v>1.27</v>
      </c>
      <c r="K1396">
        <v>2524</v>
      </c>
      <c r="L1396">
        <v>894</v>
      </c>
      <c r="M1396">
        <v>1630</v>
      </c>
      <c r="N1396">
        <v>989.64</v>
      </c>
      <c r="O1396">
        <v>2.2999999999999998</v>
      </c>
      <c r="P1396">
        <v>19.97</v>
      </c>
      <c r="Q1396">
        <v>0.55000000000000004</v>
      </c>
      <c r="R1396">
        <v>0.25</v>
      </c>
      <c r="S1396">
        <v>145</v>
      </c>
      <c r="T1396">
        <v>5269</v>
      </c>
      <c r="U1396">
        <v>11442</v>
      </c>
      <c r="V1396">
        <v>85</v>
      </c>
      <c r="W1396">
        <v>10.53</v>
      </c>
      <c r="X1396" s="10">
        <v>0.81555176867910684</v>
      </c>
      <c r="Y1396" s="9">
        <v>3405</v>
      </c>
      <c r="Z1396" s="9">
        <v>2895</v>
      </c>
      <c r="AA1396" s="9">
        <v>3405</v>
      </c>
      <c r="AB1396">
        <v>1</v>
      </c>
      <c r="AC1396" s="11">
        <v>7.5272297860516808</v>
      </c>
      <c r="AD1396" s="9">
        <v>2918.0028248587573</v>
      </c>
      <c r="AE1396" s="8">
        <v>0.16013628620102216</v>
      </c>
    </row>
    <row r="1397" spans="1:31" x14ac:dyDescent="0.35">
      <c r="A1397" s="6" t="s">
        <v>1418</v>
      </c>
      <c r="B1397" s="7">
        <v>4</v>
      </c>
      <c r="C1397" s="7">
        <v>2</v>
      </c>
      <c r="D1397" s="7">
        <v>12</v>
      </c>
      <c r="E1397" s="7">
        <v>0</v>
      </c>
      <c r="F1397">
        <v>1842</v>
      </c>
      <c r="G1397">
        <v>15</v>
      </c>
      <c r="H1397">
        <v>0.82</v>
      </c>
      <c r="I1397">
        <v>5</v>
      </c>
      <c r="J1397">
        <v>0.28999999999999998</v>
      </c>
      <c r="K1397">
        <v>1218</v>
      </c>
      <c r="L1397">
        <v>871</v>
      </c>
      <c r="M1397">
        <v>347</v>
      </c>
      <c r="N1397">
        <v>308.8</v>
      </c>
      <c r="O1397">
        <v>1.59</v>
      </c>
      <c r="P1397">
        <v>56.06</v>
      </c>
      <c r="Q1397">
        <v>0.98</v>
      </c>
      <c r="R1397">
        <v>0.16</v>
      </c>
      <c r="S1397">
        <v>33</v>
      </c>
      <c r="T1397">
        <v>1883</v>
      </c>
      <c r="U1397">
        <v>11289</v>
      </c>
      <c r="V1397">
        <v>57</v>
      </c>
      <c r="W1397">
        <v>6.52</v>
      </c>
      <c r="X1397" s="10">
        <v>7.5790093364971618E-4</v>
      </c>
      <c r="Y1397" s="9">
        <v>1920</v>
      </c>
      <c r="Z1397" s="9">
        <v>1700</v>
      </c>
      <c r="AA1397" s="9">
        <v>1740</v>
      </c>
      <c r="AB1397">
        <v>0.18181818181818182</v>
      </c>
      <c r="AC1397" s="11">
        <v>-7.6826896360100025E-2</v>
      </c>
      <c r="AD1397" s="9">
        <v>1831.593220338983</v>
      </c>
      <c r="AE1397" s="8">
        <v>-5.6910569105691054E-2</v>
      </c>
    </row>
    <row r="1398" spans="1:31" x14ac:dyDescent="0.35">
      <c r="A1398" s="6" t="s">
        <v>1419</v>
      </c>
      <c r="B1398" s="7">
        <v>4</v>
      </c>
      <c r="C1398" s="7">
        <v>8</v>
      </c>
      <c r="D1398" s="7">
        <v>5</v>
      </c>
      <c r="E1398" s="7">
        <v>1</v>
      </c>
      <c r="F1398">
        <v>1390</v>
      </c>
      <c r="G1398">
        <v>93</v>
      </c>
      <c r="H1398">
        <v>6.71</v>
      </c>
      <c r="I1398">
        <v>67</v>
      </c>
      <c r="J1398">
        <v>4.8499999999999996</v>
      </c>
      <c r="K1398">
        <v>1479</v>
      </c>
      <c r="L1398">
        <v>633</v>
      </c>
      <c r="M1398">
        <v>846</v>
      </c>
      <c r="N1398">
        <v>1086.3399999999999</v>
      </c>
      <c r="O1398">
        <v>8.36</v>
      </c>
      <c r="P1398">
        <v>5.01</v>
      </c>
      <c r="Q1398">
        <v>0.45</v>
      </c>
      <c r="R1398">
        <v>0.24</v>
      </c>
      <c r="S1398">
        <v>506</v>
      </c>
      <c r="T1398">
        <v>5646</v>
      </c>
      <c r="U1398">
        <v>10430</v>
      </c>
      <c r="V1398">
        <v>116</v>
      </c>
      <c r="W1398">
        <v>3.55</v>
      </c>
      <c r="X1398" s="10">
        <v>0.8623007554775266</v>
      </c>
      <c r="Y1398" s="9">
        <v>4525</v>
      </c>
      <c r="Z1398" s="9">
        <v>2490</v>
      </c>
      <c r="AA1398" s="9">
        <v>4525</v>
      </c>
      <c r="AB1398">
        <v>1</v>
      </c>
      <c r="AC1398" s="11">
        <v>34.732286746318422</v>
      </c>
      <c r="AD1398" s="9">
        <v>2251.4152542372881</v>
      </c>
      <c r="AE1398" s="8">
        <v>0.78853754940711462</v>
      </c>
    </row>
    <row r="1399" spans="1:31" x14ac:dyDescent="0.35">
      <c r="A1399" s="6" t="s">
        <v>1420</v>
      </c>
      <c r="B1399" s="7">
        <v>5</v>
      </c>
      <c r="C1399" s="7">
        <v>0</v>
      </c>
      <c r="D1399" s="7">
        <v>11</v>
      </c>
      <c r="E1399" s="7">
        <v>2</v>
      </c>
      <c r="F1399">
        <v>1697</v>
      </c>
      <c r="G1399">
        <v>131</v>
      </c>
      <c r="H1399">
        <v>7.73</v>
      </c>
      <c r="I1399">
        <v>52</v>
      </c>
      <c r="J1399">
        <v>3.06</v>
      </c>
      <c r="K1399">
        <v>4124</v>
      </c>
      <c r="L1399">
        <v>2594</v>
      </c>
      <c r="M1399">
        <v>1530</v>
      </c>
      <c r="N1399">
        <v>1584.07</v>
      </c>
      <c r="O1399">
        <v>4.9000000000000004</v>
      </c>
      <c r="P1399">
        <v>8.4700000000000006</v>
      </c>
      <c r="Q1399">
        <v>0.42</v>
      </c>
      <c r="R1399">
        <v>0.26</v>
      </c>
      <c r="S1399">
        <v>377</v>
      </c>
      <c r="T1399">
        <v>7590</v>
      </c>
      <c r="U1399">
        <v>12305</v>
      </c>
      <c r="V1399">
        <v>255</v>
      </c>
      <c r="W1399">
        <v>9.59</v>
      </c>
      <c r="X1399" s="10">
        <v>0.8623007554775266</v>
      </c>
      <c r="Y1399" s="9">
        <v>0</v>
      </c>
      <c r="Z1399" s="9">
        <v>0</v>
      </c>
      <c r="AA1399" s="9">
        <v>0</v>
      </c>
      <c r="AC1399" s="11">
        <v>34.732286746318422</v>
      </c>
      <c r="AD1399" s="9">
        <v>2251.4152542372881</v>
      </c>
      <c r="AE1399" s="8">
        <v>0</v>
      </c>
    </row>
    <row r="1400" spans="1:31" x14ac:dyDescent="0.35">
      <c r="A1400" s="6" t="s">
        <v>1421</v>
      </c>
      <c r="B1400" s="7">
        <v>2</v>
      </c>
      <c r="C1400" s="7">
        <v>11</v>
      </c>
      <c r="D1400" s="7">
        <v>3</v>
      </c>
      <c r="E1400" s="7">
        <v>2</v>
      </c>
      <c r="F1400">
        <v>1506</v>
      </c>
      <c r="G1400">
        <v>21</v>
      </c>
      <c r="H1400">
        <v>1.4</v>
      </c>
      <c r="I1400">
        <v>10</v>
      </c>
      <c r="J1400">
        <v>0.64</v>
      </c>
      <c r="K1400">
        <v>1033</v>
      </c>
      <c r="L1400">
        <v>588</v>
      </c>
      <c r="M1400">
        <v>445</v>
      </c>
      <c r="N1400">
        <v>507.27</v>
      </c>
      <c r="O1400">
        <v>2.89</v>
      </c>
      <c r="P1400">
        <v>22.82</v>
      </c>
      <c r="Q1400">
        <v>1.04</v>
      </c>
      <c r="R1400">
        <v>0.14000000000000001</v>
      </c>
      <c r="S1400">
        <v>87</v>
      </c>
      <c r="T1400">
        <v>1903</v>
      </c>
      <c r="U1400">
        <v>13704</v>
      </c>
      <c r="V1400">
        <v>40</v>
      </c>
      <c r="W1400">
        <v>8.43</v>
      </c>
      <c r="X1400" s="10">
        <v>0.68301742349253092</v>
      </c>
      <c r="Y1400" s="9">
        <v>2705</v>
      </c>
      <c r="Z1400" s="9">
        <v>1715</v>
      </c>
      <c r="AA1400" s="9">
        <v>2705</v>
      </c>
      <c r="AB1400">
        <v>1</v>
      </c>
      <c r="AC1400" s="11">
        <v>10.558905251458738</v>
      </c>
      <c r="AD1400" s="9">
        <v>1798.370056497175</v>
      </c>
      <c r="AE1400" s="8">
        <v>0.5545977011494253</v>
      </c>
    </row>
    <row r="1401" spans="1:31" x14ac:dyDescent="0.35">
      <c r="A1401" s="6" t="s">
        <v>1422</v>
      </c>
      <c r="B1401" s="7">
        <v>1</v>
      </c>
      <c r="C1401" s="7">
        <v>1</v>
      </c>
      <c r="D1401" s="7">
        <v>8</v>
      </c>
      <c r="E1401" s="7">
        <v>8</v>
      </c>
      <c r="F1401">
        <v>888</v>
      </c>
      <c r="G1401">
        <v>-129</v>
      </c>
      <c r="H1401">
        <v>-14.5</v>
      </c>
      <c r="I1401">
        <v>-138</v>
      </c>
      <c r="J1401">
        <v>-15.6</v>
      </c>
      <c r="K1401">
        <v>3129</v>
      </c>
      <c r="L1401">
        <v>1638</v>
      </c>
      <c r="M1401">
        <v>1491</v>
      </c>
      <c r="N1401">
        <v>1280.56</v>
      </c>
      <c r="O1401">
        <v>-11.74</v>
      </c>
      <c r="P1401">
        <v>0</v>
      </c>
      <c r="Q1401">
        <v>0.64</v>
      </c>
      <c r="R1401">
        <v>0.56999999999999995</v>
      </c>
      <c r="S1401">
        <v>-799</v>
      </c>
      <c r="T1401">
        <v>4528</v>
      </c>
      <c r="U1401">
        <v>5119</v>
      </c>
      <c r="V1401">
        <v>-125</v>
      </c>
      <c r="W1401">
        <v>-14.05</v>
      </c>
      <c r="X1401" s="10">
        <v>0.13104342624455972</v>
      </c>
      <c r="Y1401" s="9">
        <v>3185</v>
      </c>
      <c r="Z1401" s="9">
        <v>1700</v>
      </c>
      <c r="AA1401" s="9">
        <v>1700</v>
      </c>
      <c r="AB1401">
        <v>0</v>
      </c>
      <c r="AC1401" s="11">
        <v>-6.4126146151708809</v>
      </c>
      <c r="AD1401" s="9">
        <v>2776.4180790960454</v>
      </c>
      <c r="AE1401" s="8">
        <v>-0.41074523396880414</v>
      </c>
    </row>
    <row r="1402" spans="1:31" x14ac:dyDescent="0.35">
      <c r="A1402" s="6" t="s">
        <v>1423</v>
      </c>
      <c r="B1402" s="7">
        <v>5</v>
      </c>
      <c r="C1402" s="7">
        <v>3</v>
      </c>
      <c r="D1402" s="7">
        <v>8</v>
      </c>
      <c r="E1402" s="7">
        <v>2</v>
      </c>
      <c r="F1402">
        <v>1808</v>
      </c>
      <c r="G1402">
        <v>97</v>
      </c>
      <c r="H1402">
        <v>5.37</v>
      </c>
      <c r="I1402">
        <v>83</v>
      </c>
      <c r="J1402">
        <v>4.5999999999999996</v>
      </c>
      <c r="K1402">
        <v>2180</v>
      </c>
      <c r="L1402">
        <v>509</v>
      </c>
      <c r="M1402">
        <v>1671</v>
      </c>
      <c r="N1402">
        <v>3343.03</v>
      </c>
      <c r="O1402">
        <v>5.05</v>
      </c>
      <c r="P1402">
        <v>16.63</v>
      </c>
      <c r="Q1402">
        <v>0.85</v>
      </c>
      <c r="R1402">
        <v>0.76</v>
      </c>
      <c r="S1402">
        <v>854</v>
      </c>
      <c r="T1402">
        <v>16650</v>
      </c>
      <c r="U1402">
        <v>18579</v>
      </c>
      <c r="V1402">
        <v>249</v>
      </c>
      <c r="W1402">
        <v>5.68</v>
      </c>
      <c r="X1402" s="10">
        <v>0.63143189461778948</v>
      </c>
      <c r="Y1402" s="9">
        <v>16950</v>
      </c>
      <c r="Z1402" s="9">
        <v>13800</v>
      </c>
      <c r="AA1402" s="9">
        <v>15900</v>
      </c>
      <c r="AB1402">
        <v>0.66666666666666663</v>
      </c>
      <c r="AC1402" s="11">
        <v>32.203389830508478</v>
      </c>
      <c r="AD1402" s="9">
        <v>14836.129943502825</v>
      </c>
      <c r="AE1402" s="8">
        <v>0.15217391304347827</v>
      </c>
    </row>
    <row r="1403" spans="1:31" x14ac:dyDescent="0.35">
      <c r="A1403" s="6" t="s">
        <v>1424</v>
      </c>
      <c r="B1403" s="7">
        <v>6</v>
      </c>
      <c r="C1403" s="7">
        <v>10</v>
      </c>
      <c r="D1403" s="7">
        <v>2</v>
      </c>
      <c r="E1403" s="7">
        <v>0</v>
      </c>
      <c r="F1403">
        <v>561</v>
      </c>
      <c r="G1403">
        <v>14</v>
      </c>
      <c r="H1403">
        <v>2.48</v>
      </c>
      <c r="I1403">
        <v>25</v>
      </c>
      <c r="J1403">
        <v>4.3899999999999997</v>
      </c>
      <c r="K1403">
        <v>1246</v>
      </c>
      <c r="L1403">
        <v>336</v>
      </c>
      <c r="M1403">
        <v>910</v>
      </c>
      <c r="N1403">
        <v>947.84</v>
      </c>
      <c r="O1403">
        <v>2.71</v>
      </c>
      <c r="P1403">
        <v>62.54</v>
      </c>
      <c r="Q1403">
        <v>1.74</v>
      </c>
      <c r="R1403">
        <v>2.75</v>
      </c>
      <c r="S1403">
        <v>142</v>
      </c>
      <c r="T1403">
        <v>5093</v>
      </c>
      <c r="U1403">
        <v>3230</v>
      </c>
      <c r="V1403">
        <v>24</v>
      </c>
      <c r="W1403">
        <v>71.739999999999995</v>
      </c>
      <c r="X1403" s="10">
        <v>0.44488577628837245</v>
      </c>
      <c r="Y1403" s="9">
        <v>8880</v>
      </c>
      <c r="Z1403" s="9">
        <v>7540</v>
      </c>
      <c r="AA1403" s="9">
        <v>7900</v>
      </c>
      <c r="AB1403">
        <v>0.26865671641791045</v>
      </c>
      <c r="AC1403" s="11">
        <v>-15.810225062517366</v>
      </c>
      <c r="AD1403" s="9">
        <v>8626.3785310734474</v>
      </c>
      <c r="AE1403" s="8">
        <v>-0.10022779043280182</v>
      </c>
    </row>
    <row r="1404" spans="1:31" x14ac:dyDescent="0.35">
      <c r="A1404" s="6" t="s">
        <v>1425</v>
      </c>
      <c r="B1404" s="7">
        <v>4</v>
      </c>
      <c r="C1404" s="7">
        <v>5</v>
      </c>
      <c r="D1404" s="7">
        <v>1</v>
      </c>
      <c r="E1404" s="7">
        <v>8</v>
      </c>
      <c r="F1404">
        <v>167</v>
      </c>
      <c r="G1404">
        <v>7</v>
      </c>
      <c r="H1404">
        <v>3.94</v>
      </c>
      <c r="I1404">
        <v>5</v>
      </c>
      <c r="J1404">
        <v>2.85</v>
      </c>
      <c r="K1404">
        <v>283</v>
      </c>
      <c r="L1404">
        <v>83</v>
      </c>
      <c r="M1404">
        <v>200</v>
      </c>
      <c r="N1404">
        <v>734.23</v>
      </c>
      <c r="O1404">
        <v>3.24</v>
      </c>
      <c r="P1404">
        <v>42.73</v>
      </c>
      <c r="Q1404">
        <v>1.45</v>
      </c>
      <c r="R1404">
        <v>1.22</v>
      </c>
      <c r="S1404">
        <v>139</v>
      </c>
      <c r="T1404">
        <v>4108</v>
      </c>
      <c r="U1404">
        <v>4873</v>
      </c>
      <c r="V1404">
        <v>18</v>
      </c>
      <c r="W1404">
        <v>18.510000000000002</v>
      </c>
      <c r="X1404" s="10">
        <v>9.9356365290505649E-3</v>
      </c>
      <c r="Y1404" s="9">
        <v>3745</v>
      </c>
      <c r="Z1404" s="9">
        <v>2815</v>
      </c>
      <c r="AA1404" s="9">
        <v>3745</v>
      </c>
      <c r="AB1404">
        <v>1</v>
      </c>
      <c r="AC1404" s="11">
        <v>1.2385384829119195</v>
      </c>
      <c r="AD1404" s="9">
        <v>3071.3079096045199</v>
      </c>
      <c r="AE1404" s="8">
        <v>9.9853157121879588E-2</v>
      </c>
    </row>
    <row r="1405" spans="1:31" x14ac:dyDescent="0.35">
      <c r="A1405" s="6" t="s">
        <v>1426</v>
      </c>
      <c r="B1405" s="7">
        <v>3</v>
      </c>
      <c r="C1405" s="7">
        <v>0</v>
      </c>
      <c r="D1405" s="7">
        <v>8</v>
      </c>
      <c r="E1405" s="7">
        <v>7</v>
      </c>
      <c r="F1405">
        <v>1838</v>
      </c>
      <c r="G1405">
        <v>-46</v>
      </c>
      <c r="H1405">
        <v>-2.48</v>
      </c>
      <c r="I1405">
        <v>-20</v>
      </c>
      <c r="J1405">
        <v>-1.1100000000000001</v>
      </c>
      <c r="K1405">
        <v>3498</v>
      </c>
      <c r="L1405">
        <v>2667</v>
      </c>
      <c r="M1405">
        <v>831</v>
      </c>
      <c r="N1405">
        <v>1561.34</v>
      </c>
      <c r="O1405">
        <v>-2.42</v>
      </c>
      <c r="P1405">
        <v>0</v>
      </c>
      <c r="Q1405">
        <v>0.51</v>
      </c>
      <c r="R1405">
        <v>0.22</v>
      </c>
      <c r="S1405">
        <v>-204</v>
      </c>
      <c r="T1405">
        <v>8170</v>
      </c>
      <c r="U1405">
        <v>18384</v>
      </c>
      <c r="V1405">
        <v>13</v>
      </c>
      <c r="W1405">
        <v>174.39</v>
      </c>
      <c r="X1405" s="10">
        <v>0.27829017118013327</v>
      </c>
      <c r="Y1405" s="9">
        <v>4820</v>
      </c>
      <c r="Z1405" s="9">
        <v>4065</v>
      </c>
      <c r="AA1405" s="9">
        <v>4525</v>
      </c>
      <c r="AB1405">
        <v>0.60927152317880795</v>
      </c>
      <c r="AC1405" s="11">
        <v>5.4662406223951105</v>
      </c>
      <c r="AD1405" s="9">
        <v>4242.4463276836159</v>
      </c>
      <c r="AE1405" s="8">
        <v>0.11316113161131611</v>
      </c>
    </row>
    <row r="1406" spans="1:31" x14ac:dyDescent="0.35">
      <c r="A1406" s="6" t="s">
        <v>1427</v>
      </c>
      <c r="B1406" s="7">
        <v>2</v>
      </c>
      <c r="C1406" s="7">
        <v>0</v>
      </c>
      <c r="D1406" s="7">
        <v>12</v>
      </c>
      <c r="E1406" s="7">
        <v>4</v>
      </c>
      <c r="F1406">
        <v>2329</v>
      </c>
      <c r="G1406">
        <v>-84</v>
      </c>
      <c r="H1406">
        <v>-3.63</v>
      </c>
      <c r="I1406">
        <v>-279</v>
      </c>
      <c r="J1406">
        <v>-11.98</v>
      </c>
      <c r="K1406">
        <v>2724</v>
      </c>
      <c r="L1406">
        <v>2281</v>
      </c>
      <c r="M1406">
        <v>443</v>
      </c>
      <c r="N1406">
        <v>9.75</v>
      </c>
      <c r="O1406">
        <v>-63.72</v>
      </c>
      <c r="P1406">
        <v>0</v>
      </c>
      <c r="Q1406">
        <v>0.81</v>
      </c>
      <c r="R1406">
        <v>0.12</v>
      </c>
      <c r="S1406">
        <v>-5568</v>
      </c>
      <c r="T1406">
        <v>5487</v>
      </c>
      <c r="U1406">
        <v>38420</v>
      </c>
      <c r="V1406">
        <v>-102</v>
      </c>
      <c r="W1406">
        <v>-10.27</v>
      </c>
      <c r="X1406" s="10">
        <v>0.33209901650126628</v>
      </c>
      <c r="Y1406" s="9">
        <v>1500</v>
      </c>
      <c r="Z1406" s="9">
        <v>890</v>
      </c>
      <c r="AA1406" s="9">
        <v>1020</v>
      </c>
      <c r="AB1406">
        <v>0.21311475409836064</v>
      </c>
      <c r="AC1406" s="11">
        <v>-4.7308419005279241</v>
      </c>
      <c r="AD1406" s="9">
        <v>1299.9406779661017</v>
      </c>
      <c r="AE1406" s="8">
        <v>-8.9285714285714288E-2</v>
      </c>
    </row>
    <row r="1407" spans="1:31" x14ac:dyDescent="0.35">
      <c r="A1407" s="6" t="s">
        <v>1428</v>
      </c>
      <c r="B1407" s="7">
        <v>0</v>
      </c>
      <c r="C1407" s="7">
        <v>0</v>
      </c>
      <c r="D1407" s="7">
        <v>0</v>
      </c>
      <c r="E1407" s="7">
        <v>18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 s="10">
        <v>7.1547905837273884E-2</v>
      </c>
      <c r="Y1407" s="9">
        <v>1310</v>
      </c>
      <c r="Z1407" s="9">
        <v>617</v>
      </c>
      <c r="AA1407" s="9">
        <v>724</v>
      </c>
      <c r="AB1407">
        <v>0.1544011544011544</v>
      </c>
      <c r="AC1407" s="11">
        <v>2.0649347040844672</v>
      </c>
      <c r="AD1407" s="9">
        <v>666.43615819209037</v>
      </c>
      <c r="AE1407" s="8">
        <v>0.13836477987421383</v>
      </c>
    </row>
    <row r="1408" spans="1:31" x14ac:dyDescent="0.35">
      <c r="A1408" s="6" t="s">
        <v>1429</v>
      </c>
      <c r="B1408" s="7">
        <v>9</v>
      </c>
      <c r="C1408" s="7">
        <v>4</v>
      </c>
      <c r="D1408" s="7">
        <v>0</v>
      </c>
      <c r="E1408" s="7">
        <v>5</v>
      </c>
      <c r="F1408">
        <v>6332</v>
      </c>
      <c r="G1408">
        <v>179</v>
      </c>
      <c r="H1408">
        <v>2.83</v>
      </c>
      <c r="I1408">
        <v>119</v>
      </c>
      <c r="J1408">
        <v>1.88</v>
      </c>
      <c r="K1408">
        <v>4605</v>
      </c>
      <c r="L1408">
        <v>2204</v>
      </c>
      <c r="M1408">
        <v>2401</v>
      </c>
      <c r="N1408">
        <v>1344.95</v>
      </c>
      <c r="O1408">
        <v>5.45</v>
      </c>
      <c r="P1408">
        <v>18.72</v>
      </c>
      <c r="Q1408">
        <v>1.54</v>
      </c>
      <c r="R1408">
        <v>0.35</v>
      </c>
      <c r="S1408">
        <v>406</v>
      </c>
      <c r="T1408">
        <v>4921</v>
      </c>
      <c r="U1408">
        <v>21606</v>
      </c>
      <c r="V1408">
        <v>454</v>
      </c>
      <c r="W1408">
        <v>6.62</v>
      </c>
      <c r="X1408" s="10">
        <v>0.71449503908932865</v>
      </c>
      <c r="Y1408" s="9">
        <v>9920</v>
      </c>
      <c r="Z1408" s="9">
        <v>7050</v>
      </c>
      <c r="AA1408" s="9">
        <v>9720</v>
      </c>
      <c r="AB1408">
        <v>0.93031358885017423</v>
      </c>
      <c r="AC1408" s="11">
        <v>37.34287302028342</v>
      </c>
      <c r="AD1408" s="9">
        <v>6789.2090395480227</v>
      </c>
      <c r="AE1408" s="8">
        <v>0.2413793103448276</v>
      </c>
    </row>
    <row r="1409" spans="1:31" x14ac:dyDescent="0.35">
      <c r="A1409" s="6" t="s">
        <v>1430</v>
      </c>
      <c r="B1409" s="7">
        <v>6</v>
      </c>
      <c r="C1409" s="7">
        <v>4</v>
      </c>
      <c r="D1409" s="7">
        <v>3</v>
      </c>
      <c r="E1409" s="7">
        <v>5</v>
      </c>
      <c r="F1409">
        <v>1633</v>
      </c>
      <c r="G1409">
        <v>-131</v>
      </c>
      <c r="H1409">
        <v>-8.02</v>
      </c>
      <c r="I1409">
        <v>-357</v>
      </c>
      <c r="J1409">
        <v>-21.85</v>
      </c>
      <c r="K1409">
        <v>3397</v>
      </c>
      <c r="L1409">
        <v>2680</v>
      </c>
      <c r="M1409">
        <v>718</v>
      </c>
      <c r="N1409">
        <v>93.99</v>
      </c>
      <c r="O1409">
        <v>-43.51</v>
      </c>
      <c r="P1409">
        <v>0</v>
      </c>
      <c r="Q1409">
        <v>1.41</v>
      </c>
      <c r="R1409">
        <v>0.57999999999999996</v>
      </c>
      <c r="S1409">
        <v>-501</v>
      </c>
      <c r="T1409">
        <v>947</v>
      </c>
      <c r="U1409">
        <v>2294</v>
      </c>
      <c r="V1409">
        <v>23</v>
      </c>
      <c r="W1409">
        <v>141.21</v>
      </c>
      <c r="X1409" s="10">
        <v>0.67456394243024032</v>
      </c>
      <c r="Y1409" s="9">
        <v>2005</v>
      </c>
      <c r="Z1409" s="9">
        <v>1315</v>
      </c>
      <c r="AA1409" s="9">
        <v>1690</v>
      </c>
      <c r="AB1409">
        <v>0.54347826086956519</v>
      </c>
      <c r="AC1409" s="11">
        <v>8.2786885245901622</v>
      </c>
      <c r="AD1409" s="9">
        <v>1345.3333333333333</v>
      </c>
      <c r="AE1409" s="8">
        <v>0.28517110266159695</v>
      </c>
    </row>
    <row r="1410" spans="1:31" x14ac:dyDescent="0.35">
      <c r="A1410" s="6" t="s">
        <v>1431</v>
      </c>
      <c r="B1410" s="7">
        <v>4</v>
      </c>
      <c r="C1410" s="7">
        <v>1</v>
      </c>
      <c r="D1410" s="7">
        <v>9</v>
      </c>
      <c r="E1410" s="7">
        <v>4</v>
      </c>
      <c r="F1410">
        <v>1689</v>
      </c>
      <c r="G1410">
        <v>153</v>
      </c>
      <c r="H1410">
        <v>9.07</v>
      </c>
      <c r="I1410">
        <v>1011</v>
      </c>
      <c r="J1410">
        <v>59.87</v>
      </c>
      <c r="K1410">
        <v>7985</v>
      </c>
      <c r="L1410">
        <v>4751</v>
      </c>
      <c r="M1410">
        <v>3234</v>
      </c>
      <c r="N1410">
        <v>1034.96</v>
      </c>
      <c r="O1410">
        <v>36.43</v>
      </c>
      <c r="P1410">
        <v>1.01</v>
      </c>
      <c r="Q1410">
        <v>0.32</v>
      </c>
      <c r="R1410">
        <v>0.6</v>
      </c>
      <c r="S1410">
        <v>1914</v>
      </c>
      <c r="T1410">
        <v>6010</v>
      </c>
      <c r="U1410">
        <v>3197</v>
      </c>
      <c r="V1410">
        <v>184</v>
      </c>
      <c r="W1410">
        <v>5.53</v>
      </c>
      <c r="X1410" s="10">
        <v>0.85072140879933322</v>
      </c>
      <c r="Y1410" s="9">
        <v>2390</v>
      </c>
      <c r="Z1410" s="9">
        <v>1830</v>
      </c>
      <c r="AA1410" s="9">
        <v>2260</v>
      </c>
      <c r="AB1410">
        <v>0.7678571428571429</v>
      </c>
      <c r="AC1410" s="11">
        <v>9.7054737427063067</v>
      </c>
      <c r="AD1410" s="9">
        <v>1792.1497175141242</v>
      </c>
      <c r="AE1410" s="8">
        <v>0.18324607329842932</v>
      </c>
    </row>
    <row r="1411" spans="1:31" x14ac:dyDescent="0.35">
      <c r="A1411" s="6" t="s">
        <v>1432</v>
      </c>
      <c r="B1411" s="7">
        <v>2</v>
      </c>
      <c r="C1411" s="7">
        <v>5</v>
      </c>
      <c r="D1411" s="7">
        <v>9</v>
      </c>
      <c r="E1411" s="7">
        <v>2</v>
      </c>
      <c r="F1411">
        <v>580</v>
      </c>
      <c r="G1411">
        <v>20</v>
      </c>
      <c r="H1411">
        <v>3.48</v>
      </c>
      <c r="I1411">
        <v>29</v>
      </c>
      <c r="J1411">
        <v>4.99</v>
      </c>
      <c r="K1411">
        <v>870</v>
      </c>
      <c r="L1411">
        <v>195</v>
      </c>
      <c r="M1411">
        <v>676</v>
      </c>
      <c r="N1411">
        <v>526.66999999999996</v>
      </c>
      <c r="O1411">
        <v>4.34</v>
      </c>
      <c r="P1411">
        <v>12.03</v>
      </c>
      <c r="Q1411">
        <v>0.6</v>
      </c>
      <c r="R1411">
        <v>0.6</v>
      </c>
      <c r="S1411">
        <v>1475</v>
      </c>
      <c r="T1411">
        <v>29409</v>
      </c>
      <c r="U1411">
        <v>29578</v>
      </c>
      <c r="V1411">
        <v>27</v>
      </c>
      <c r="W1411">
        <v>16.07</v>
      </c>
      <c r="X1411" s="10">
        <v>0.75162284881681463</v>
      </c>
      <c r="Y1411" s="9">
        <v>26650</v>
      </c>
      <c r="Z1411" s="9">
        <v>17750</v>
      </c>
      <c r="AA1411" s="9">
        <v>26650</v>
      </c>
      <c r="AB1411">
        <v>1</v>
      </c>
      <c r="AC1411" s="11">
        <v>112.7785495971103</v>
      </c>
      <c r="AD1411" s="9">
        <v>16953.587570621468</v>
      </c>
      <c r="AE1411" s="8">
        <v>0.49719101123595505</v>
      </c>
    </row>
    <row r="1412" spans="1:31" x14ac:dyDescent="0.35">
      <c r="A1412" s="6" t="s">
        <v>1433</v>
      </c>
      <c r="B1412" s="7">
        <v>6</v>
      </c>
      <c r="C1412" s="7">
        <v>9</v>
      </c>
      <c r="D1412" s="7">
        <v>0</v>
      </c>
      <c r="E1412" s="7">
        <v>3</v>
      </c>
      <c r="F1412">
        <v>322</v>
      </c>
      <c r="G1412">
        <v>1</v>
      </c>
      <c r="H1412">
        <v>0.25</v>
      </c>
      <c r="I1412">
        <v>0</v>
      </c>
      <c r="J1412">
        <v>0.03</v>
      </c>
      <c r="K1412">
        <v>748</v>
      </c>
      <c r="L1412">
        <v>453</v>
      </c>
      <c r="M1412">
        <v>296</v>
      </c>
      <c r="N1412">
        <v>389.82</v>
      </c>
      <c r="O1412">
        <v>0.04</v>
      </c>
      <c r="P1412">
        <v>3310</v>
      </c>
      <c r="Q1412">
        <v>1.38</v>
      </c>
      <c r="R1412">
        <v>0.85</v>
      </c>
      <c r="S1412">
        <v>1</v>
      </c>
      <c r="T1412">
        <v>2393</v>
      </c>
      <c r="U1412">
        <v>3901</v>
      </c>
      <c r="V1412">
        <v>5</v>
      </c>
      <c r="W1412">
        <v>147.52000000000001</v>
      </c>
      <c r="X1412" s="10">
        <v>0.733806918216939</v>
      </c>
      <c r="Y1412" s="9">
        <v>3950</v>
      </c>
      <c r="Z1412" s="9">
        <v>2945</v>
      </c>
      <c r="AA1412" s="9">
        <v>3800</v>
      </c>
      <c r="AB1412">
        <v>0.85074626865671643</v>
      </c>
      <c r="AC1412" s="11">
        <v>12.895804390108363</v>
      </c>
      <c r="AD1412" s="9">
        <v>2962.1779661016949</v>
      </c>
      <c r="AE1412" s="8">
        <v>0.24183006535947713</v>
      </c>
    </row>
    <row r="1413" spans="1:31" x14ac:dyDescent="0.35">
      <c r="A1413" s="6" t="s">
        <v>1434</v>
      </c>
      <c r="B1413" s="7">
        <v>16</v>
      </c>
      <c r="C1413" s="7">
        <v>0</v>
      </c>
      <c r="D1413" s="7">
        <v>0</v>
      </c>
      <c r="E1413" s="7">
        <v>2</v>
      </c>
      <c r="F1413">
        <v>4133</v>
      </c>
      <c r="G1413">
        <v>644</v>
      </c>
      <c r="H1413">
        <v>15.58</v>
      </c>
      <c r="I1413">
        <v>389</v>
      </c>
      <c r="J1413">
        <v>9.42</v>
      </c>
      <c r="K1413">
        <v>4655</v>
      </c>
      <c r="L1413">
        <v>1637</v>
      </c>
      <c r="M1413">
        <v>3018</v>
      </c>
      <c r="N1413">
        <v>704.37</v>
      </c>
      <c r="O1413">
        <v>13.56</v>
      </c>
      <c r="P1413">
        <v>26.98</v>
      </c>
      <c r="Q1413">
        <v>3.89</v>
      </c>
      <c r="R1413">
        <v>2.54</v>
      </c>
      <c r="S1413">
        <v>517</v>
      </c>
      <c r="T1413">
        <v>3585</v>
      </c>
      <c r="U1413">
        <v>5485</v>
      </c>
      <c r="V1413">
        <v>770</v>
      </c>
      <c r="W1413">
        <v>14.59</v>
      </c>
      <c r="X1413" s="10">
        <v>0.75211851029786925</v>
      </c>
      <c r="Y1413" s="9">
        <v>14150</v>
      </c>
      <c r="Z1413" s="9">
        <v>11350</v>
      </c>
      <c r="AA1413" s="9">
        <v>11350</v>
      </c>
      <c r="AB1413">
        <v>0</v>
      </c>
      <c r="AC1413" s="11">
        <v>-35.454292859127534</v>
      </c>
      <c r="AD1413" s="9">
        <v>13899.689265536723</v>
      </c>
      <c r="AE1413" s="8">
        <v>-0.16236162361623616</v>
      </c>
    </row>
    <row r="1414" spans="1:31" x14ac:dyDescent="0.35">
      <c r="A1414" s="6" t="s">
        <v>1435</v>
      </c>
      <c r="B1414" s="7">
        <v>8</v>
      </c>
      <c r="C1414" s="7">
        <v>5</v>
      </c>
      <c r="D1414" s="7">
        <v>5</v>
      </c>
      <c r="E1414" s="7">
        <v>0</v>
      </c>
      <c r="F1414">
        <v>657</v>
      </c>
      <c r="G1414">
        <v>116</v>
      </c>
      <c r="H1414">
        <v>17.670000000000002</v>
      </c>
      <c r="I1414">
        <v>125</v>
      </c>
      <c r="J1414">
        <v>18.96</v>
      </c>
      <c r="K1414">
        <v>1475</v>
      </c>
      <c r="L1414">
        <v>589</v>
      </c>
      <c r="M1414">
        <v>886</v>
      </c>
      <c r="N1414">
        <v>1261.3800000000001</v>
      </c>
      <c r="O1414">
        <v>20.23</v>
      </c>
      <c r="P1414">
        <v>10.3</v>
      </c>
      <c r="Q1414">
        <v>2.0499999999999998</v>
      </c>
      <c r="R1414">
        <v>1.95</v>
      </c>
      <c r="S1414">
        <v>1281</v>
      </c>
      <c r="T1414">
        <v>6443</v>
      </c>
      <c r="U1414">
        <v>6759</v>
      </c>
      <c r="V1414">
        <v>197</v>
      </c>
      <c r="W1414">
        <v>11.1</v>
      </c>
      <c r="X1414" s="10">
        <v>0.55164768807927289</v>
      </c>
      <c r="Y1414" s="9">
        <v>14150</v>
      </c>
      <c r="Z1414" s="9">
        <v>10050</v>
      </c>
      <c r="AA1414" s="9">
        <v>13800</v>
      </c>
      <c r="AB1414">
        <v>0.91463414634146345</v>
      </c>
      <c r="AC1414" s="11">
        <v>49.809669352597936</v>
      </c>
      <c r="AD1414" s="9">
        <v>9834.9717514124295</v>
      </c>
      <c r="AE1414" s="8">
        <v>0.18454935622317598</v>
      </c>
    </row>
    <row r="1415" spans="1:31" x14ac:dyDescent="0.35">
      <c r="A1415" s="6" t="s">
        <v>1436</v>
      </c>
      <c r="B1415" s="7">
        <v>9</v>
      </c>
      <c r="C1415" s="7">
        <v>6</v>
      </c>
      <c r="D1415" s="7">
        <v>3</v>
      </c>
      <c r="E1415" s="7">
        <v>0</v>
      </c>
      <c r="F1415">
        <v>1403</v>
      </c>
      <c r="G1415">
        <v>286</v>
      </c>
      <c r="H1415">
        <v>20.41</v>
      </c>
      <c r="I1415">
        <v>238</v>
      </c>
      <c r="J1415">
        <v>16.98</v>
      </c>
      <c r="K1415">
        <v>1991</v>
      </c>
      <c r="L1415">
        <v>219</v>
      </c>
      <c r="M1415">
        <v>1772</v>
      </c>
      <c r="N1415">
        <v>5651.8</v>
      </c>
      <c r="O1415">
        <v>14.42</v>
      </c>
      <c r="P1415">
        <v>11.78</v>
      </c>
      <c r="Q1415">
        <v>1.61</v>
      </c>
      <c r="R1415">
        <v>2</v>
      </c>
      <c r="S1415">
        <v>3872</v>
      </c>
      <c r="T1415">
        <v>28360</v>
      </c>
      <c r="U1415">
        <v>22803</v>
      </c>
      <c r="V1415">
        <v>372</v>
      </c>
      <c r="W1415">
        <v>7.55</v>
      </c>
      <c r="X1415" s="10">
        <v>1.1649229278353976E-3</v>
      </c>
      <c r="Y1415" s="9">
        <v>49950</v>
      </c>
      <c r="Z1415" s="9">
        <v>44150</v>
      </c>
      <c r="AA1415" s="9">
        <v>47100</v>
      </c>
      <c r="AB1415">
        <v>0.50862068965517238</v>
      </c>
      <c r="AC1415" s="11">
        <v>-2.479855515420951</v>
      </c>
      <c r="AD1415" s="9">
        <v>47221.468926553673</v>
      </c>
      <c r="AE1415" s="8">
        <v>3.1763417305585982E-2</v>
      </c>
    </row>
    <row r="1416" spans="1:31" x14ac:dyDescent="0.35">
      <c r="A1416" s="6" t="s">
        <v>1437</v>
      </c>
      <c r="B1416" s="7">
        <v>1</v>
      </c>
      <c r="C1416" s="7">
        <v>5</v>
      </c>
      <c r="D1416" s="7">
        <v>9</v>
      </c>
      <c r="E1416" s="7">
        <v>3</v>
      </c>
      <c r="F1416">
        <v>1593</v>
      </c>
      <c r="G1416">
        <v>32</v>
      </c>
      <c r="H1416">
        <v>2</v>
      </c>
      <c r="I1416">
        <v>-164</v>
      </c>
      <c r="J1416">
        <v>-10.29</v>
      </c>
      <c r="K1416">
        <v>931</v>
      </c>
      <c r="L1416">
        <v>304</v>
      </c>
      <c r="M1416">
        <v>627</v>
      </c>
      <c r="N1416">
        <v>357.72</v>
      </c>
      <c r="O1416">
        <v>-21.91</v>
      </c>
      <c r="P1416">
        <v>0</v>
      </c>
      <c r="Q1416">
        <v>1.2</v>
      </c>
      <c r="R1416">
        <v>0.45</v>
      </c>
      <c r="S1416">
        <v>-598</v>
      </c>
      <c r="T1416">
        <v>2189</v>
      </c>
      <c r="U1416">
        <v>5815</v>
      </c>
      <c r="V1416">
        <v>39</v>
      </c>
      <c r="W1416">
        <v>22.23</v>
      </c>
      <c r="X1416" s="10">
        <v>0.19672781862571356</v>
      </c>
      <c r="Y1416" s="9">
        <v>3735</v>
      </c>
      <c r="Z1416" s="9">
        <v>2490</v>
      </c>
      <c r="AA1416" s="9">
        <v>3345</v>
      </c>
      <c r="AB1416">
        <v>0.68674698795180722</v>
      </c>
      <c r="AC1416" s="11">
        <v>7.1325368157821618</v>
      </c>
      <c r="AD1416" s="9">
        <v>2721.4576271186443</v>
      </c>
      <c r="AE1416" s="8">
        <v>0.29150579150579148</v>
      </c>
    </row>
    <row r="1417" spans="1:31" x14ac:dyDescent="0.35">
      <c r="A1417" s="6" t="s">
        <v>1438</v>
      </c>
      <c r="B1417" s="7">
        <v>6</v>
      </c>
      <c r="C1417" s="7">
        <v>11</v>
      </c>
      <c r="D1417" s="7">
        <v>1</v>
      </c>
      <c r="E1417" s="7">
        <v>0</v>
      </c>
      <c r="F1417">
        <v>2309</v>
      </c>
      <c r="G1417">
        <v>120</v>
      </c>
      <c r="H1417">
        <v>5.2</v>
      </c>
      <c r="I1417">
        <v>75</v>
      </c>
      <c r="J1417">
        <v>3.23</v>
      </c>
      <c r="K1417">
        <v>1658</v>
      </c>
      <c r="L1417">
        <v>799</v>
      </c>
      <c r="M1417">
        <v>859</v>
      </c>
      <c r="N1417">
        <v>3805.89</v>
      </c>
      <c r="O1417">
        <v>9.0399999999999991</v>
      </c>
      <c r="P1417">
        <v>5.18</v>
      </c>
      <c r="Q1417">
        <v>0.46</v>
      </c>
      <c r="R1417">
        <v>0.17</v>
      </c>
      <c r="S1417">
        <v>1695</v>
      </c>
      <c r="T1417">
        <v>19244</v>
      </c>
      <c r="U1417">
        <v>52487</v>
      </c>
      <c r="V1417">
        <v>131</v>
      </c>
      <c r="W1417">
        <v>6.3</v>
      </c>
      <c r="X1417" s="10">
        <v>0.69771733815846304</v>
      </c>
      <c r="Y1417" s="9">
        <v>13350</v>
      </c>
      <c r="Z1417" s="9">
        <v>8750</v>
      </c>
      <c r="AA1417" s="9">
        <v>12850</v>
      </c>
      <c r="AB1417">
        <v>0.89130434782608692</v>
      </c>
      <c r="AC1417" s="11">
        <v>76.563212003334257</v>
      </c>
      <c r="AD1417" s="9">
        <v>8263.3220338983047</v>
      </c>
      <c r="AE1417" s="8">
        <v>0.4405829596412556</v>
      </c>
    </row>
    <row r="1418" spans="1:31" x14ac:dyDescent="0.35">
      <c r="A1418" s="6" t="s">
        <v>1439</v>
      </c>
      <c r="B1418" s="7">
        <v>9</v>
      </c>
      <c r="C1418" s="7">
        <v>4</v>
      </c>
      <c r="D1418" s="7">
        <v>1</v>
      </c>
      <c r="E1418" s="7">
        <v>4</v>
      </c>
      <c r="F1418">
        <v>805</v>
      </c>
      <c r="G1418">
        <v>52</v>
      </c>
      <c r="H1418">
        <v>6.51</v>
      </c>
      <c r="I1418">
        <v>50</v>
      </c>
      <c r="J1418">
        <v>6.21</v>
      </c>
      <c r="K1418">
        <v>789</v>
      </c>
      <c r="L1418">
        <v>112</v>
      </c>
      <c r="M1418">
        <v>677</v>
      </c>
      <c r="N1418">
        <v>1031.1099999999999</v>
      </c>
      <c r="O1418">
        <v>7.61</v>
      </c>
      <c r="P1418">
        <v>7.47</v>
      </c>
      <c r="Q1418">
        <v>0.56000000000000005</v>
      </c>
      <c r="R1418">
        <v>0.46</v>
      </c>
      <c r="S1418">
        <v>419</v>
      </c>
      <c r="T1418">
        <v>5627</v>
      </c>
      <c r="U1418">
        <v>6751</v>
      </c>
      <c r="V1418">
        <v>76</v>
      </c>
      <c r="W1418">
        <v>4.97</v>
      </c>
      <c r="X1418" s="10">
        <v>0.84404709783306031</v>
      </c>
      <c r="Y1418" s="9">
        <v>3460</v>
      </c>
      <c r="Z1418" s="9">
        <v>2990</v>
      </c>
      <c r="AA1418" s="9">
        <v>3440</v>
      </c>
      <c r="AB1418">
        <v>0.95744680851063835</v>
      </c>
      <c r="AC1418" s="11">
        <v>6.8723256460127793</v>
      </c>
      <c r="AD1418" s="9">
        <v>2974.9774011299437</v>
      </c>
      <c r="AE1418" s="8">
        <v>0.1008</v>
      </c>
    </row>
    <row r="1419" spans="1:31" x14ac:dyDescent="0.35">
      <c r="A1419" s="6" t="s">
        <v>1440</v>
      </c>
      <c r="B1419" s="7">
        <v>7</v>
      </c>
      <c r="C1419" s="7">
        <v>2</v>
      </c>
      <c r="D1419" s="7">
        <v>1</v>
      </c>
      <c r="E1419" s="7">
        <v>8</v>
      </c>
      <c r="F1419">
        <v>310</v>
      </c>
      <c r="G1419">
        <v>12</v>
      </c>
      <c r="H1419">
        <v>3.93</v>
      </c>
      <c r="I1419">
        <v>1</v>
      </c>
      <c r="J1419">
        <v>0.37</v>
      </c>
      <c r="K1419">
        <v>569</v>
      </c>
      <c r="L1419">
        <v>326</v>
      </c>
      <c r="M1419">
        <v>243</v>
      </c>
      <c r="N1419">
        <v>44.29</v>
      </c>
      <c r="O1419">
        <v>0.65</v>
      </c>
      <c r="P1419">
        <v>488</v>
      </c>
      <c r="Q1419">
        <v>3.38</v>
      </c>
      <c r="R1419">
        <v>1.91</v>
      </c>
      <c r="S1419">
        <v>5</v>
      </c>
      <c r="T1419">
        <v>721</v>
      </c>
      <c r="U1419">
        <v>1275</v>
      </c>
      <c r="V1419">
        <v>27</v>
      </c>
      <c r="W1419">
        <v>38.76</v>
      </c>
      <c r="X1419" s="10">
        <v>0.48157901319026769</v>
      </c>
      <c r="Y1419" s="9">
        <v>4285</v>
      </c>
      <c r="Z1419" s="9">
        <v>1855</v>
      </c>
      <c r="AA1419" s="9">
        <v>4100</v>
      </c>
      <c r="AB1419">
        <v>0.9238683127572016</v>
      </c>
      <c r="AC1419" s="11">
        <v>21.764656849124759</v>
      </c>
      <c r="AD1419" s="9">
        <v>2203.0112994350284</v>
      </c>
      <c r="AE1419" s="8">
        <v>1.2102425876010781</v>
      </c>
    </row>
    <row r="1420" spans="1:31" x14ac:dyDescent="0.35">
      <c r="A1420" s="6" t="s">
        <v>1441</v>
      </c>
      <c r="B1420" s="7">
        <v>0</v>
      </c>
      <c r="C1420" s="7">
        <v>12</v>
      </c>
      <c r="D1420" s="7">
        <v>1</v>
      </c>
      <c r="E1420" s="7">
        <v>5</v>
      </c>
      <c r="F1420">
        <v>309</v>
      </c>
      <c r="G1420">
        <v>16</v>
      </c>
      <c r="H1420">
        <v>5.29</v>
      </c>
      <c r="I1420">
        <v>12</v>
      </c>
      <c r="J1420">
        <v>4.03</v>
      </c>
      <c r="K1420">
        <v>1133</v>
      </c>
      <c r="L1420">
        <v>635</v>
      </c>
      <c r="M1420">
        <v>498</v>
      </c>
      <c r="N1420">
        <v>1322.31</v>
      </c>
      <c r="O1420">
        <v>3.37</v>
      </c>
      <c r="P1420">
        <v>5.76</v>
      </c>
      <c r="Q1420">
        <v>0.22</v>
      </c>
      <c r="R1420">
        <v>0.23</v>
      </c>
      <c r="S1420">
        <v>237</v>
      </c>
      <c r="T1420">
        <v>6184</v>
      </c>
      <c r="U1420">
        <v>5893</v>
      </c>
      <c r="V1420">
        <v>71</v>
      </c>
      <c r="W1420">
        <v>6.87</v>
      </c>
      <c r="X1420" s="10">
        <v>0.39322841720204404</v>
      </c>
      <c r="Y1420" s="9">
        <v>2685</v>
      </c>
      <c r="Z1420" s="9">
        <v>1875</v>
      </c>
      <c r="AA1420" s="9">
        <v>2285</v>
      </c>
      <c r="AB1420">
        <v>0.50617283950617287</v>
      </c>
      <c r="AC1420" s="11">
        <v>7.6098916365657123</v>
      </c>
      <c r="AD1420" s="9">
        <v>1945.8983050847457</v>
      </c>
      <c r="AE1420" s="8">
        <v>8.5510688836104506E-2</v>
      </c>
    </row>
    <row r="1421" spans="1:31" x14ac:dyDescent="0.35">
      <c r="A1421" s="6" t="s">
        <v>1442</v>
      </c>
      <c r="B1421" s="7">
        <v>3</v>
      </c>
      <c r="C1421" s="7">
        <v>11</v>
      </c>
      <c r="D1421" s="7">
        <v>4</v>
      </c>
      <c r="E1421" s="7">
        <v>0</v>
      </c>
      <c r="F1421">
        <v>308</v>
      </c>
      <c r="G1421">
        <v>8</v>
      </c>
      <c r="H1421">
        <v>2.72</v>
      </c>
      <c r="I1421">
        <v>10</v>
      </c>
      <c r="J1421">
        <v>3.37</v>
      </c>
      <c r="K1421">
        <v>438</v>
      </c>
      <c r="L1421">
        <v>125</v>
      </c>
      <c r="M1421">
        <v>313</v>
      </c>
      <c r="N1421">
        <v>605.73</v>
      </c>
      <c r="O1421">
        <v>4.87</v>
      </c>
      <c r="P1421">
        <v>95.22</v>
      </c>
      <c r="Q1421">
        <v>5.51</v>
      </c>
      <c r="R1421">
        <v>3.19</v>
      </c>
      <c r="S1421">
        <v>157</v>
      </c>
      <c r="T1421">
        <v>2712</v>
      </c>
      <c r="U1421">
        <v>4680</v>
      </c>
      <c r="V1421">
        <v>21</v>
      </c>
      <c r="W1421">
        <v>75.239999999999995</v>
      </c>
      <c r="X1421" s="10">
        <v>0.58579820519113457</v>
      </c>
      <c r="Y1421" s="9">
        <v>15250</v>
      </c>
      <c r="Z1421" s="9">
        <v>5100</v>
      </c>
      <c r="AA1421" s="9">
        <v>14250</v>
      </c>
      <c r="AB1421">
        <v>0.90147783251231528</v>
      </c>
      <c r="AC1421" s="11">
        <v>142.83356487913309</v>
      </c>
      <c r="AD1421" s="9">
        <v>5582.5762711864409</v>
      </c>
      <c r="AE1421" s="8">
        <v>0.34433962264150941</v>
      </c>
    </row>
    <row r="1422" spans="1:31" x14ac:dyDescent="0.35">
      <c r="A1422" s="6" t="s">
        <v>1443</v>
      </c>
      <c r="B1422" s="7">
        <v>0</v>
      </c>
      <c r="C1422" s="7">
        <v>0</v>
      </c>
      <c r="D1422" s="7">
        <v>0</v>
      </c>
      <c r="E1422" s="7">
        <v>18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 s="10">
        <v>0.21737824190202823</v>
      </c>
      <c r="Y1422" s="9">
        <v>1205</v>
      </c>
      <c r="Z1422" s="9">
        <v>671</v>
      </c>
      <c r="AA1422" s="9">
        <v>836</v>
      </c>
      <c r="AB1422">
        <v>0.3089887640449438</v>
      </c>
      <c r="AC1422" s="11">
        <v>3.2556821339260904</v>
      </c>
      <c r="AD1422" s="9">
        <v>713.13502824858756</v>
      </c>
      <c r="AE1422" s="8">
        <v>-9.0315560391730138E-2</v>
      </c>
    </row>
    <row r="1423" spans="1:31" x14ac:dyDescent="0.35">
      <c r="A1423" s="6" t="s">
        <v>1444</v>
      </c>
      <c r="B1423" s="7">
        <v>4</v>
      </c>
      <c r="C1423" s="7">
        <v>11</v>
      </c>
      <c r="D1423" s="7">
        <v>3</v>
      </c>
      <c r="E1423" s="7">
        <v>0</v>
      </c>
      <c r="F1423">
        <v>38</v>
      </c>
      <c r="G1423">
        <v>-3</v>
      </c>
      <c r="H1423">
        <v>-7.16</v>
      </c>
      <c r="I1423">
        <v>1</v>
      </c>
      <c r="J1423">
        <v>2.2200000000000002</v>
      </c>
      <c r="K1423">
        <v>236</v>
      </c>
      <c r="L1423">
        <v>94</v>
      </c>
      <c r="M1423">
        <v>142</v>
      </c>
      <c r="N1423">
        <v>117.64</v>
      </c>
      <c r="O1423">
        <v>0.96</v>
      </c>
      <c r="P1423">
        <v>353.33</v>
      </c>
      <c r="Q1423">
        <v>3.14</v>
      </c>
      <c r="R1423">
        <v>7.1</v>
      </c>
      <c r="S1423">
        <v>9</v>
      </c>
      <c r="T1423">
        <v>1014</v>
      </c>
      <c r="U1423">
        <v>448</v>
      </c>
      <c r="V1423">
        <v>-1</v>
      </c>
      <c r="W1423">
        <v>-364.91</v>
      </c>
      <c r="X1423" s="10">
        <v>0.7805529406832713</v>
      </c>
      <c r="Y1423" s="9">
        <v>4100</v>
      </c>
      <c r="Z1423" s="9">
        <v>2675</v>
      </c>
      <c r="AA1423" s="9">
        <v>3750</v>
      </c>
      <c r="AB1423">
        <v>0.75438596491228072</v>
      </c>
      <c r="AC1423" s="11">
        <v>17.84273409280356</v>
      </c>
      <c r="AD1423" s="9">
        <v>2995.629943502825</v>
      </c>
      <c r="AE1423" s="8">
        <v>0.40186915887850466</v>
      </c>
    </row>
    <row r="1424" spans="1:31" x14ac:dyDescent="0.35">
      <c r="A1424" s="6" t="s">
        <v>1445</v>
      </c>
      <c r="B1424" s="7">
        <v>9</v>
      </c>
      <c r="C1424" s="7">
        <v>4</v>
      </c>
      <c r="D1424" s="7">
        <v>0</v>
      </c>
      <c r="E1424" s="7">
        <v>5</v>
      </c>
      <c r="F1424">
        <v>725</v>
      </c>
      <c r="G1424">
        <v>31</v>
      </c>
      <c r="H1424">
        <v>4.3099999999999996</v>
      </c>
      <c r="I1424">
        <v>12</v>
      </c>
      <c r="J1424">
        <v>1.66</v>
      </c>
      <c r="K1424">
        <v>1012</v>
      </c>
      <c r="L1424">
        <v>449</v>
      </c>
      <c r="M1424">
        <v>563</v>
      </c>
      <c r="N1424">
        <v>374.85</v>
      </c>
      <c r="O1424">
        <v>2.2000000000000002</v>
      </c>
      <c r="P1424">
        <v>41.98</v>
      </c>
      <c r="Q1424">
        <v>1.01</v>
      </c>
      <c r="R1424">
        <v>0.7</v>
      </c>
      <c r="S1424">
        <v>53</v>
      </c>
      <c r="T1424">
        <v>2201</v>
      </c>
      <c r="U1424">
        <v>3181</v>
      </c>
      <c r="V1424">
        <v>48</v>
      </c>
      <c r="W1424">
        <v>15.55</v>
      </c>
      <c r="X1424" s="10">
        <v>0.82669336577814023</v>
      </c>
      <c r="Y1424" s="9">
        <v>2540</v>
      </c>
      <c r="Z1424" s="9">
        <v>2205</v>
      </c>
      <c r="AA1424" s="9">
        <v>2430</v>
      </c>
      <c r="AB1424">
        <v>0.67164179104477617</v>
      </c>
      <c r="AC1424" s="11">
        <v>5.1422617393720467</v>
      </c>
      <c r="AD1424" s="9">
        <v>2209.4943502824863</v>
      </c>
      <c r="AE1424" s="8">
        <v>9.7065462753950338E-2</v>
      </c>
    </row>
    <row r="1425" spans="1:31" x14ac:dyDescent="0.35">
      <c r="A1425" s="6" t="s">
        <v>1446</v>
      </c>
      <c r="B1425" s="7">
        <v>4</v>
      </c>
      <c r="C1425" s="7">
        <v>1</v>
      </c>
      <c r="D1425" s="7">
        <v>2</v>
      </c>
      <c r="E1425" s="7">
        <v>11</v>
      </c>
      <c r="F1425">
        <v>515</v>
      </c>
      <c r="G1425">
        <v>16</v>
      </c>
      <c r="H1425">
        <v>3.16</v>
      </c>
      <c r="I1425">
        <v>11</v>
      </c>
      <c r="J1425">
        <v>2.1800000000000002</v>
      </c>
      <c r="K1425">
        <v>670</v>
      </c>
      <c r="L1425">
        <v>166</v>
      </c>
      <c r="M1425">
        <v>504</v>
      </c>
      <c r="N1425">
        <v>601.07000000000005</v>
      </c>
      <c r="O1425">
        <v>2.33</v>
      </c>
      <c r="P1425">
        <v>26.31</v>
      </c>
      <c r="Q1425">
        <v>0.62</v>
      </c>
      <c r="R1425">
        <v>0.56999999999999995</v>
      </c>
      <c r="S1425">
        <v>80</v>
      </c>
      <c r="T1425">
        <v>3386</v>
      </c>
      <c r="U1425">
        <v>3671</v>
      </c>
      <c r="V1425">
        <v>22</v>
      </c>
      <c r="W1425">
        <v>13.82</v>
      </c>
      <c r="X1425" s="10">
        <v>0.79961684002299782</v>
      </c>
      <c r="Y1425" s="9">
        <v>2585</v>
      </c>
      <c r="Z1425" s="9">
        <v>2060</v>
      </c>
      <c r="AA1425" s="9">
        <v>2555</v>
      </c>
      <c r="AB1425">
        <v>0.94285714285714284</v>
      </c>
      <c r="AC1425" s="11">
        <v>7.2371492081133653</v>
      </c>
      <c r="AD1425" s="9">
        <v>2131.1836158192091</v>
      </c>
      <c r="AE1425" s="8">
        <v>0.22248803827751196</v>
      </c>
    </row>
    <row r="1426" spans="1:31" x14ac:dyDescent="0.35">
      <c r="A1426" s="6" t="s">
        <v>1447</v>
      </c>
      <c r="B1426" s="7">
        <v>0</v>
      </c>
      <c r="C1426" s="7">
        <v>0</v>
      </c>
      <c r="D1426" s="7">
        <v>12</v>
      </c>
      <c r="E1426" s="7">
        <v>6</v>
      </c>
      <c r="F1426">
        <v>745</v>
      </c>
      <c r="G1426">
        <v>-62</v>
      </c>
      <c r="H1426">
        <v>-8.32</v>
      </c>
      <c r="I1426">
        <v>-51</v>
      </c>
      <c r="J1426">
        <v>-6.83</v>
      </c>
      <c r="K1426">
        <v>857</v>
      </c>
      <c r="L1426">
        <v>259</v>
      </c>
      <c r="M1426">
        <v>599</v>
      </c>
      <c r="N1426">
        <v>575.85</v>
      </c>
      <c r="O1426">
        <v>-8.0500000000000007</v>
      </c>
      <c r="P1426">
        <v>0</v>
      </c>
      <c r="Q1426">
        <v>0.68</v>
      </c>
      <c r="R1426">
        <v>0.53</v>
      </c>
      <c r="S1426">
        <v>-287</v>
      </c>
      <c r="T1426">
        <v>3244</v>
      </c>
      <c r="U1426">
        <v>4203</v>
      </c>
      <c r="V1426">
        <v>-55</v>
      </c>
      <c r="W1426">
        <v>-7.45</v>
      </c>
      <c r="X1426" s="10">
        <v>0.27266646177205989</v>
      </c>
      <c r="Y1426" s="9">
        <v>2875</v>
      </c>
      <c r="Z1426" s="9">
        <v>2210</v>
      </c>
      <c r="AA1426" s="9">
        <v>2875</v>
      </c>
      <c r="AB1426">
        <v>1</v>
      </c>
      <c r="AC1426" s="11">
        <v>3.6971380939149765</v>
      </c>
      <c r="AD1426" s="9">
        <v>2471.9039548022597</v>
      </c>
      <c r="AE1426" s="8">
        <v>0.25545851528384278</v>
      </c>
    </row>
    <row r="1427" spans="1:31" x14ac:dyDescent="0.35">
      <c r="A1427" s="6" t="s">
        <v>1448</v>
      </c>
      <c r="B1427" s="7">
        <v>9</v>
      </c>
      <c r="C1427" s="7">
        <v>3</v>
      </c>
      <c r="D1427" s="7">
        <v>5</v>
      </c>
      <c r="E1427" s="7">
        <v>1</v>
      </c>
      <c r="F1427">
        <v>562</v>
      </c>
      <c r="G1427">
        <v>131</v>
      </c>
      <c r="H1427">
        <v>23.24</v>
      </c>
      <c r="I1427">
        <v>79</v>
      </c>
      <c r="J1427">
        <v>14.05</v>
      </c>
      <c r="K1427">
        <v>1679</v>
      </c>
      <c r="L1427">
        <v>167</v>
      </c>
      <c r="M1427">
        <v>1513</v>
      </c>
      <c r="N1427">
        <v>979.98</v>
      </c>
      <c r="O1427">
        <v>5.4</v>
      </c>
      <c r="P1427">
        <v>115.28</v>
      </c>
      <c r="Q1427">
        <v>9.7200000000000006</v>
      </c>
      <c r="R1427">
        <v>16.190000000000001</v>
      </c>
      <c r="S1427">
        <v>252</v>
      </c>
      <c r="T1427">
        <v>2988</v>
      </c>
      <c r="U1427">
        <v>1794</v>
      </c>
      <c r="V1427">
        <v>157</v>
      </c>
      <c r="W1427">
        <v>65.38</v>
      </c>
      <c r="X1427" s="10">
        <v>0.51443946143602559</v>
      </c>
      <c r="Y1427" s="9">
        <v>36800</v>
      </c>
      <c r="Z1427" s="9">
        <v>23500</v>
      </c>
      <c r="AA1427" s="9">
        <v>28400</v>
      </c>
      <c r="AB1427">
        <v>0.36842105263157893</v>
      </c>
      <c r="AC1427" s="11">
        <v>-143.67879966657406</v>
      </c>
      <c r="AD1427" s="9">
        <v>33635.536723163837</v>
      </c>
      <c r="AE1427" s="8">
        <v>2.7124773960216998E-2</v>
      </c>
    </row>
    <row r="1428" spans="1:31" x14ac:dyDescent="0.35">
      <c r="A1428" s="6" t="s">
        <v>1449</v>
      </c>
      <c r="B1428" s="7">
        <v>0</v>
      </c>
      <c r="C1428" s="7">
        <v>5</v>
      </c>
      <c r="D1428" s="7">
        <v>1</v>
      </c>
      <c r="E1428" s="7">
        <v>12</v>
      </c>
      <c r="F1428">
        <v>128</v>
      </c>
      <c r="G1428">
        <v>-62</v>
      </c>
      <c r="H1428">
        <v>-48.33</v>
      </c>
      <c r="I1428">
        <v>-127</v>
      </c>
      <c r="J1428">
        <v>-99.43</v>
      </c>
      <c r="K1428">
        <v>368</v>
      </c>
      <c r="L1428">
        <v>198</v>
      </c>
      <c r="M1428">
        <v>170</v>
      </c>
      <c r="N1428">
        <v>-7.24</v>
      </c>
      <c r="O1428">
        <v>-56.26</v>
      </c>
      <c r="P1428">
        <v>0</v>
      </c>
      <c r="Q1428">
        <v>2.61</v>
      </c>
      <c r="R1428">
        <v>2.2999999999999998</v>
      </c>
      <c r="S1428">
        <v>-238</v>
      </c>
      <c r="T1428">
        <v>211</v>
      </c>
      <c r="U1428">
        <v>239</v>
      </c>
      <c r="V1428">
        <v>-50</v>
      </c>
      <c r="W1428">
        <v>-8.2100000000000009</v>
      </c>
      <c r="X1428" s="10">
        <v>0.71879460527651684</v>
      </c>
      <c r="Y1428" s="9">
        <v>1550</v>
      </c>
      <c r="Z1428" s="9">
        <v>536</v>
      </c>
      <c r="AA1428" s="9">
        <v>1200</v>
      </c>
      <c r="AB1428">
        <v>0.65483234714003946</v>
      </c>
      <c r="AC1428" s="11">
        <v>13.620505696026674</v>
      </c>
      <c r="AD1428" s="9">
        <v>503.37457627118641</v>
      </c>
      <c r="AE1428" s="8">
        <v>1.2388059701492538</v>
      </c>
    </row>
    <row r="1429" spans="1:31" x14ac:dyDescent="0.35">
      <c r="A1429" s="6" t="s">
        <v>1450</v>
      </c>
      <c r="B1429" s="7">
        <v>9</v>
      </c>
      <c r="C1429" s="7">
        <v>0</v>
      </c>
      <c r="D1429" s="7">
        <v>9</v>
      </c>
      <c r="E1429" s="7">
        <v>0</v>
      </c>
      <c r="F1429">
        <v>2019</v>
      </c>
      <c r="G1429">
        <v>67</v>
      </c>
      <c r="H1429">
        <v>3.3</v>
      </c>
      <c r="I1429">
        <v>29</v>
      </c>
      <c r="J1429">
        <v>1.45</v>
      </c>
      <c r="K1429">
        <v>2556</v>
      </c>
      <c r="L1429">
        <v>1387</v>
      </c>
      <c r="M1429">
        <v>1169</v>
      </c>
      <c r="N1429">
        <v>1520.46</v>
      </c>
      <c r="O1429">
        <v>3.1</v>
      </c>
      <c r="P1429">
        <v>65.510000000000005</v>
      </c>
      <c r="Q1429">
        <v>3.63</v>
      </c>
      <c r="R1429">
        <v>0.95</v>
      </c>
      <c r="S1429">
        <v>216</v>
      </c>
      <c r="T1429">
        <v>3895</v>
      </c>
      <c r="U1429">
        <v>14873</v>
      </c>
      <c r="V1429">
        <v>125</v>
      </c>
      <c r="W1429">
        <v>27.23</v>
      </c>
      <c r="X1429" s="10">
        <v>0.87010048113748251</v>
      </c>
      <c r="Y1429" s="9">
        <v>22600</v>
      </c>
      <c r="Z1429" s="9">
        <v>14100</v>
      </c>
      <c r="AA1429" s="9">
        <v>21250</v>
      </c>
      <c r="AB1429">
        <v>0.8411764705882353</v>
      </c>
      <c r="AC1429" s="11">
        <v>118.828841344818</v>
      </c>
      <c r="AD1429" s="9">
        <v>14683.22033898305</v>
      </c>
      <c r="AE1429" s="8">
        <v>0.47058823529411764</v>
      </c>
    </row>
    <row r="1430" spans="1:31" x14ac:dyDescent="0.35">
      <c r="A1430" s="6" t="s">
        <v>1451</v>
      </c>
      <c r="B1430" s="7">
        <v>0</v>
      </c>
      <c r="C1430" s="7">
        <v>2</v>
      </c>
      <c r="D1430" s="7">
        <v>12</v>
      </c>
      <c r="E1430" s="7">
        <v>4</v>
      </c>
      <c r="F1430">
        <v>1178</v>
      </c>
      <c r="G1430">
        <v>-57</v>
      </c>
      <c r="H1430">
        <v>-4.8499999999999996</v>
      </c>
      <c r="I1430">
        <v>-27</v>
      </c>
      <c r="J1430">
        <v>-2.27</v>
      </c>
      <c r="K1430">
        <v>3359</v>
      </c>
      <c r="L1430">
        <v>244</v>
      </c>
      <c r="M1430">
        <v>3116</v>
      </c>
      <c r="N1430">
        <v>3563.76</v>
      </c>
      <c r="O1430">
        <v>-1.1399999999999999</v>
      </c>
      <c r="P1430">
        <v>0</v>
      </c>
      <c r="Q1430">
        <v>2.46</v>
      </c>
      <c r="R1430">
        <v>4.67</v>
      </c>
      <c r="S1430">
        <v>-215</v>
      </c>
      <c r="T1430">
        <v>17909</v>
      </c>
      <c r="U1430">
        <v>9428</v>
      </c>
      <c r="V1430">
        <v>-4</v>
      </c>
      <c r="W1430">
        <v>-1739.62</v>
      </c>
      <c r="X1430" s="10">
        <v>0.18738101344347116</v>
      </c>
      <c r="Y1430" s="9">
        <v>49350</v>
      </c>
      <c r="Z1430" s="9">
        <v>35450</v>
      </c>
      <c r="AA1430" s="9">
        <v>35450</v>
      </c>
      <c r="AB1430">
        <v>0</v>
      </c>
      <c r="AC1430" s="11">
        <v>-87.208946929702691</v>
      </c>
      <c r="AD1430" s="9">
        <v>43777.372881355928</v>
      </c>
      <c r="AE1430" s="8">
        <v>-6.0927152317880796E-2</v>
      </c>
    </row>
    <row r="1431" spans="1:31" x14ac:dyDescent="0.35">
      <c r="A1431" s="6" t="s">
        <v>1452</v>
      </c>
      <c r="B1431" s="7">
        <v>11</v>
      </c>
      <c r="C1431" s="7">
        <v>5</v>
      </c>
      <c r="D1431" s="7">
        <v>2</v>
      </c>
      <c r="E1431" s="7">
        <v>0</v>
      </c>
      <c r="F1431">
        <v>111</v>
      </c>
      <c r="G1431">
        <v>6</v>
      </c>
      <c r="H1431">
        <v>5.57</v>
      </c>
      <c r="I1431">
        <v>7</v>
      </c>
      <c r="J1431">
        <v>6.52</v>
      </c>
      <c r="K1431">
        <v>418</v>
      </c>
      <c r="L1431">
        <v>59</v>
      </c>
      <c r="M1431">
        <v>359</v>
      </c>
      <c r="N1431">
        <v>194.1</v>
      </c>
      <c r="O1431">
        <v>2.0299999999999998</v>
      </c>
      <c r="P1431">
        <v>24.47</v>
      </c>
      <c r="Q1431">
        <v>0.56000000000000005</v>
      </c>
      <c r="R1431">
        <v>1.57</v>
      </c>
      <c r="S1431">
        <v>30</v>
      </c>
      <c r="T1431">
        <v>1310</v>
      </c>
      <c r="U1431">
        <v>468</v>
      </c>
      <c r="V1431">
        <v>8</v>
      </c>
      <c r="W1431">
        <v>26.52</v>
      </c>
      <c r="X1431" s="10">
        <v>0.64398306730698374</v>
      </c>
      <c r="Y1431" s="9">
        <v>1215</v>
      </c>
      <c r="Z1431" s="9">
        <v>734</v>
      </c>
      <c r="AA1431" s="9">
        <v>975</v>
      </c>
      <c r="AB1431">
        <v>0.50103950103950101</v>
      </c>
      <c r="AC1431" s="11">
        <v>5.4922200611280907</v>
      </c>
      <c r="AD1431" s="9">
        <v>680.90395480225993</v>
      </c>
      <c r="AE1431" s="8">
        <v>0.32833787465940056</v>
      </c>
    </row>
    <row r="1432" spans="1:31" x14ac:dyDescent="0.35">
      <c r="A1432" s="6" t="s">
        <v>1453</v>
      </c>
      <c r="B1432" s="7">
        <v>7</v>
      </c>
      <c r="C1432" s="7">
        <v>6</v>
      </c>
      <c r="D1432" s="7">
        <v>0</v>
      </c>
      <c r="E1432" s="7">
        <v>5</v>
      </c>
      <c r="F1432">
        <v>281</v>
      </c>
      <c r="G1432">
        <v>32</v>
      </c>
      <c r="H1432">
        <v>11.46</v>
      </c>
      <c r="I1432">
        <v>30</v>
      </c>
      <c r="J1432">
        <v>10.74</v>
      </c>
      <c r="K1432">
        <v>480</v>
      </c>
      <c r="L1432">
        <v>121</v>
      </c>
      <c r="M1432">
        <v>358</v>
      </c>
      <c r="N1432">
        <v>17.52</v>
      </c>
      <c r="O1432">
        <v>11.45</v>
      </c>
      <c r="P1432">
        <v>11.36</v>
      </c>
      <c r="Q1432">
        <v>1.57</v>
      </c>
      <c r="R1432">
        <v>1.22</v>
      </c>
      <c r="S1432">
        <v>77</v>
      </c>
      <c r="T1432">
        <v>557</v>
      </c>
      <c r="U1432">
        <v>720</v>
      </c>
      <c r="V1432">
        <v>47</v>
      </c>
      <c r="W1432">
        <v>7.43</v>
      </c>
      <c r="X1432" s="10">
        <v>0.67621079142581042</v>
      </c>
      <c r="Y1432" s="9">
        <v>1165</v>
      </c>
      <c r="Z1432" s="9">
        <v>846</v>
      </c>
      <c r="AA1432" s="9">
        <v>1045</v>
      </c>
      <c r="AB1432">
        <v>0.62382445141065834</v>
      </c>
      <c r="AC1432" s="11">
        <v>4.3638788552375667</v>
      </c>
      <c r="AD1432" s="9">
        <v>845.36836158192091</v>
      </c>
      <c r="AE1432" s="8">
        <v>0.23522458628841608</v>
      </c>
    </row>
    <row r="1433" spans="1:31" x14ac:dyDescent="0.35">
      <c r="A1433" s="6" t="s">
        <v>1454</v>
      </c>
      <c r="B1433" s="7">
        <v>5</v>
      </c>
      <c r="C1433" s="7">
        <v>0</v>
      </c>
      <c r="D1433" s="7">
        <v>7</v>
      </c>
      <c r="E1433" s="7">
        <v>6</v>
      </c>
      <c r="F1433">
        <v>372</v>
      </c>
      <c r="G1433">
        <v>27</v>
      </c>
      <c r="H1433">
        <v>7.2</v>
      </c>
      <c r="I1433">
        <v>34</v>
      </c>
      <c r="J1433">
        <v>9.1</v>
      </c>
      <c r="K1433">
        <v>820</v>
      </c>
      <c r="L1433">
        <v>126</v>
      </c>
      <c r="M1433">
        <v>693</v>
      </c>
      <c r="N1433">
        <v>1161.93</v>
      </c>
      <c r="O1433">
        <v>6.58</v>
      </c>
      <c r="P1433">
        <v>21.79</v>
      </c>
      <c r="Q1433">
        <v>1.47</v>
      </c>
      <c r="R1433">
        <v>1.98</v>
      </c>
      <c r="S1433">
        <v>408</v>
      </c>
      <c r="T1433">
        <v>6031</v>
      </c>
      <c r="U1433">
        <v>4489</v>
      </c>
      <c r="V1433">
        <v>58</v>
      </c>
      <c r="W1433">
        <v>17.37</v>
      </c>
      <c r="X1433" s="10">
        <v>0.55910063465569404</v>
      </c>
      <c r="Y1433" s="9">
        <v>11200</v>
      </c>
      <c r="Z1433" s="9">
        <v>8440</v>
      </c>
      <c r="AA1433" s="9">
        <v>10850</v>
      </c>
      <c r="AB1433">
        <v>0.87318840579710144</v>
      </c>
      <c r="AC1433" s="11">
        <v>27.84856904695749</v>
      </c>
      <c r="AD1433" s="9">
        <v>8898.1186440677957</v>
      </c>
      <c r="AE1433" s="8">
        <v>0.28554502369668244</v>
      </c>
    </row>
    <row r="1434" spans="1:31" x14ac:dyDescent="0.35">
      <c r="A1434" s="6" t="s">
        <v>1455</v>
      </c>
      <c r="B1434" s="7">
        <v>2</v>
      </c>
      <c r="C1434" s="7">
        <v>7</v>
      </c>
      <c r="D1434" s="7">
        <v>4</v>
      </c>
      <c r="E1434" s="7">
        <v>5</v>
      </c>
      <c r="F1434">
        <v>503</v>
      </c>
      <c r="G1434">
        <v>1</v>
      </c>
      <c r="H1434">
        <v>0.18</v>
      </c>
      <c r="I1434">
        <v>-51</v>
      </c>
      <c r="J1434">
        <v>-10.1</v>
      </c>
      <c r="K1434">
        <v>910</v>
      </c>
      <c r="L1434">
        <v>515</v>
      </c>
      <c r="M1434">
        <v>395</v>
      </c>
      <c r="N1434">
        <v>455.74</v>
      </c>
      <c r="O1434">
        <v>-12.1</v>
      </c>
      <c r="P1434">
        <v>0</v>
      </c>
      <c r="Q1434">
        <v>0.76</v>
      </c>
      <c r="R1434">
        <v>0.56000000000000005</v>
      </c>
      <c r="S1434">
        <v>-358</v>
      </c>
      <c r="T1434">
        <v>2613</v>
      </c>
      <c r="U1434">
        <v>3542</v>
      </c>
      <c r="V1434">
        <v>127</v>
      </c>
      <c r="W1434">
        <v>5.46</v>
      </c>
      <c r="X1434" s="10">
        <v>0.28845647070226377</v>
      </c>
      <c r="Y1434" s="9">
        <v>3050</v>
      </c>
      <c r="Z1434" s="9">
        <v>1990</v>
      </c>
      <c r="AA1434" s="9">
        <v>2410</v>
      </c>
      <c r="AB1434">
        <v>0.39622641509433965</v>
      </c>
      <c r="AC1434" s="11">
        <v>7.7495137538205023</v>
      </c>
      <c r="AD1434" s="9">
        <v>2247.556497175141</v>
      </c>
      <c r="AE1434" s="8">
        <v>0.19602977667493796</v>
      </c>
    </row>
    <row r="1435" spans="1:31" x14ac:dyDescent="0.35">
      <c r="A1435" s="6" t="s">
        <v>1456</v>
      </c>
      <c r="B1435" s="7">
        <v>4</v>
      </c>
      <c r="C1435" s="7">
        <v>4</v>
      </c>
      <c r="D1435" s="7">
        <v>7</v>
      </c>
      <c r="E1435" s="7">
        <v>3</v>
      </c>
      <c r="F1435">
        <v>386</v>
      </c>
      <c r="G1435">
        <v>22</v>
      </c>
      <c r="H1435">
        <v>5.76</v>
      </c>
      <c r="I1435">
        <v>24</v>
      </c>
      <c r="J1435">
        <v>6.15</v>
      </c>
      <c r="K1435">
        <v>459</v>
      </c>
      <c r="L1435">
        <v>74</v>
      </c>
      <c r="M1435">
        <v>385</v>
      </c>
      <c r="N1435">
        <v>1195.55</v>
      </c>
      <c r="O1435">
        <v>6.81</v>
      </c>
      <c r="P1435">
        <v>25.8</v>
      </c>
      <c r="Q1435">
        <v>2.0699999999999998</v>
      </c>
      <c r="R1435">
        <v>1.59</v>
      </c>
      <c r="S1435">
        <v>467</v>
      </c>
      <c r="T1435">
        <v>5819</v>
      </c>
      <c r="U1435">
        <v>7588</v>
      </c>
      <c r="V1435">
        <v>40</v>
      </c>
      <c r="W1435">
        <v>19.48</v>
      </c>
      <c r="X1435" s="10">
        <v>0.42190083529518196</v>
      </c>
      <c r="Y1435" s="9">
        <v>23350</v>
      </c>
      <c r="Z1435" s="9">
        <v>7790</v>
      </c>
      <c r="AA1435" s="9">
        <v>8950</v>
      </c>
      <c r="AB1435">
        <v>7.4550128534704371E-2</v>
      </c>
      <c r="AC1435" s="11">
        <v>-207.25118088357877</v>
      </c>
      <c r="AD1435" s="9">
        <v>20416.661016949154</v>
      </c>
      <c r="AE1435" s="8">
        <v>-0.29527559055118108</v>
      </c>
    </row>
    <row r="1436" spans="1:31" x14ac:dyDescent="0.35">
      <c r="A1436" s="6" t="s">
        <v>1457</v>
      </c>
      <c r="B1436" s="7">
        <v>2</v>
      </c>
      <c r="C1436" s="7">
        <v>8</v>
      </c>
      <c r="D1436" s="7">
        <v>7</v>
      </c>
      <c r="E1436" s="7">
        <v>1</v>
      </c>
      <c r="F1436">
        <v>413</v>
      </c>
      <c r="G1436">
        <v>60</v>
      </c>
      <c r="H1436">
        <v>14.62</v>
      </c>
      <c r="I1436">
        <v>49</v>
      </c>
      <c r="J1436">
        <v>11.81</v>
      </c>
      <c r="K1436">
        <v>493</v>
      </c>
      <c r="L1436">
        <v>77</v>
      </c>
      <c r="M1436">
        <v>417</v>
      </c>
      <c r="N1436">
        <v>1163.03</v>
      </c>
      <c r="O1436">
        <v>20.12</v>
      </c>
      <c r="P1436">
        <v>7.56</v>
      </c>
      <c r="Q1436">
        <v>1.47</v>
      </c>
      <c r="R1436">
        <v>0.89</v>
      </c>
      <c r="S1436">
        <v>1223</v>
      </c>
      <c r="T1436">
        <v>6302</v>
      </c>
      <c r="U1436">
        <v>10347</v>
      </c>
      <c r="V1436">
        <v>90</v>
      </c>
      <c r="W1436">
        <v>6.8</v>
      </c>
      <c r="X1436" s="10">
        <v>0.3086240262807417</v>
      </c>
      <c r="Y1436" s="9">
        <v>10950</v>
      </c>
      <c r="Z1436" s="9">
        <v>8620</v>
      </c>
      <c r="AA1436" s="9">
        <v>9790</v>
      </c>
      <c r="AB1436">
        <v>0.50214592274678116</v>
      </c>
      <c r="AC1436" s="11">
        <v>15.922200611280912</v>
      </c>
      <c r="AD1436" s="9">
        <v>9306.039548022598</v>
      </c>
      <c r="AE1436" s="8">
        <v>9.6304591265397532E-2</v>
      </c>
    </row>
    <row r="1437" spans="1:31" x14ac:dyDescent="0.35">
      <c r="A1437" s="6" t="s">
        <v>1458</v>
      </c>
      <c r="B1437" s="7">
        <v>5</v>
      </c>
      <c r="C1437" s="7">
        <v>9</v>
      </c>
      <c r="D1437" s="7">
        <v>4</v>
      </c>
      <c r="E1437" s="7">
        <v>0</v>
      </c>
      <c r="F1437">
        <v>2247</v>
      </c>
      <c r="G1437">
        <v>41</v>
      </c>
      <c r="H1437">
        <v>1.84</v>
      </c>
      <c r="I1437">
        <v>50</v>
      </c>
      <c r="J1437">
        <v>2.23</v>
      </c>
      <c r="K1437">
        <v>2388</v>
      </c>
      <c r="L1437">
        <v>666</v>
      </c>
      <c r="M1437">
        <v>1722</v>
      </c>
      <c r="N1437">
        <v>184.33</v>
      </c>
      <c r="O1437">
        <v>2.94</v>
      </c>
      <c r="P1437">
        <v>12.73</v>
      </c>
      <c r="Q1437">
        <v>0.45</v>
      </c>
      <c r="R1437">
        <v>0.28000000000000003</v>
      </c>
      <c r="S1437">
        <v>99</v>
      </c>
      <c r="T1437">
        <v>2785</v>
      </c>
      <c r="U1437">
        <v>4454</v>
      </c>
      <c r="V1437">
        <v>85</v>
      </c>
      <c r="W1437">
        <v>12.29</v>
      </c>
      <c r="X1437" s="10">
        <v>0.81123946466236818</v>
      </c>
      <c r="Y1437" s="9">
        <v>1515</v>
      </c>
      <c r="Z1437" s="9">
        <v>1240</v>
      </c>
      <c r="AA1437" s="9">
        <v>1485</v>
      </c>
      <c r="AB1437">
        <v>0.89090909090909087</v>
      </c>
      <c r="AC1437" s="11">
        <v>4.1749096971380943</v>
      </c>
      <c r="AD1437" s="9">
        <v>1246.4152542372881</v>
      </c>
      <c r="AE1437" s="8">
        <v>0.16929133858267717</v>
      </c>
    </row>
    <row r="1438" spans="1:31" x14ac:dyDescent="0.35">
      <c r="A1438" s="6" t="s">
        <v>1459</v>
      </c>
      <c r="B1438" s="7">
        <v>8</v>
      </c>
      <c r="C1438" s="7">
        <v>9</v>
      </c>
      <c r="D1438" s="7">
        <v>1</v>
      </c>
      <c r="E1438" s="7">
        <v>0</v>
      </c>
      <c r="F1438">
        <v>1515</v>
      </c>
      <c r="G1438">
        <v>210</v>
      </c>
      <c r="H1438">
        <v>13.85</v>
      </c>
      <c r="I1438">
        <v>168</v>
      </c>
      <c r="J1438">
        <v>11.12</v>
      </c>
      <c r="K1438">
        <v>2143</v>
      </c>
      <c r="L1438">
        <v>549</v>
      </c>
      <c r="M1438">
        <v>1593</v>
      </c>
      <c r="N1438">
        <v>1900.08</v>
      </c>
      <c r="O1438">
        <v>11.24</v>
      </c>
      <c r="P1438">
        <v>12.56</v>
      </c>
      <c r="Q1438">
        <v>1.39</v>
      </c>
      <c r="R1438">
        <v>1.4</v>
      </c>
      <c r="S1438">
        <v>1067</v>
      </c>
      <c r="T1438">
        <v>9612</v>
      </c>
      <c r="U1438">
        <v>9592</v>
      </c>
      <c r="V1438">
        <v>274</v>
      </c>
      <c r="W1438">
        <v>7.92</v>
      </c>
      <c r="X1438" s="10">
        <v>0.80250077002468589</v>
      </c>
      <c r="Y1438" s="9">
        <v>18500</v>
      </c>
      <c r="Z1438" s="9">
        <v>13050</v>
      </c>
      <c r="AA1438" s="9">
        <v>17700</v>
      </c>
      <c r="AB1438">
        <v>0.85321100917431192</v>
      </c>
      <c r="AC1438" s="11">
        <v>69.001111419838864</v>
      </c>
      <c r="AD1438" s="9">
        <v>13911.29943502825</v>
      </c>
      <c r="AE1438" s="8">
        <v>0.35632183908045978</v>
      </c>
    </row>
    <row r="1439" spans="1:31" x14ac:dyDescent="0.35">
      <c r="A1439" s="6" t="s">
        <v>1460</v>
      </c>
      <c r="B1439" s="7">
        <v>1</v>
      </c>
      <c r="C1439" s="7">
        <v>0</v>
      </c>
      <c r="D1439" s="7">
        <v>5</v>
      </c>
      <c r="E1439" s="7">
        <v>12</v>
      </c>
      <c r="F1439">
        <v>103</v>
      </c>
      <c r="G1439">
        <v>-7</v>
      </c>
      <c r="H1439">
        <v>-7.05</v>
      </c>
      <c r="I1439">
        <v>-6</v>
      </c>
      <c r="J1439">
        <v>-5.96</v>
      </c>
      <c r="K1439">
        <v>287</v>
      </c>
      <c r="L1439">
        <v>12</v>
      </c>
      <c r="M1439">
        <v>275</v>
      </c>
      <c r="N1439">
        <v>538.63</v>
      </c>
      <c r="O1439">
        <v>-2.94</v>
      </c>
      <c r="P1439">
        <v>0</v>
      </c>
      <c r="Q1439">
        <v>0.54</v>
      </c>
      <c r="R1439">
        <v>1.08</v>
      </c>
      <c r="S1439">
        <v>-95</v>
      </c>
      <c r="T1439">
        <v>3181</v>
      </c>
      <c r="U1439">
        <v>1591</v>
      </c>
      <c r="V1439">
        <v>-5</v>
      </c>
      <c r="W1439">
        <v>-31.92</v>
      </c>
      <c r="X1439" s="10">
        <v>0.32272894030728061</v>
      </c>
      <c r="Y1439" s="9">
        <v>3465</v>
      </c>
      <c r="Z1439" s="9">
        <v>2050</v>
      </c>
      <c r="AA1439" s="9">
        <v>2930</v>
      </c>
      <c r="AB1439">
        <v>0.62190812720848054</v>
      </c>
      <c r="AC1439" s="11">
        <v>11.088218949708251</v>
      </c>
      <c r="AD1439" s="9">
        <v>2345.2259887005648</v>
      </c>
      <c r="AE1439" s="8">
        <v>0.42926829268292682</v>
      </c>
    </row>
    <row r="1440" spans="1:31" x14ac:dyDescent="0.35">
      <c r="A1440" s="6" t="s">
        <v>1461</v>
      </c>
      <c r="B1440" s="7">
        <v>12</v>
      </c>
      <c r="C1440" s="7">
        <v>0</v>
      </c>
      <c r="D1440" s="7">
        <v>4</v>
      </c>
      <c r="E1440" s="7">
        <v>2</v>
      </c>
      <c r="F1440">
        <v>5331</v>
      </c>
      <c r="G1440">
        <v>470</v>
      </c>
      <c r="H1440">
        <v>8.82</v>
      </c>
      <c r="I1440">
        <v>345</v>
      </c>
      <c r="J1440">
        <v>6.47</v>
      </c>
      <c r="K1440">
        <v>6867</v>
      </c>
      <c r="L1440">
        <v>2279</v>
      </c>
      <c r="M1440">
        <v>4588</v>
      </c>
      <c r="N1440">
        <v>1293.33</v>
      </c>
      <c r="O1440">
        <v>7.72</v>
      </c>
      <c r="P1440">
        <v>10.97</v>
      </c>
      <c r="Q1440">
        <v>0.84</v>
      </c>
      <c r="R1440">
        <v>0.71</v>
      </c>
      <c r="S1440">
        <v>5240</v>
      </c>
      <c r="T1440">
        <v>68805</v>
      </c>
      <c r="U1440">
        <v>80954</v>
      </c>
      <c r="V1440">
        <v>660</v>
      </c>
      <c r="W1440">
        <v>6.65</v>
      </c>
      <c r="X1440" s="10">
        <v>0.85389112395045141</v>
      </c>
      <c r="Y1440" s="9">
        <v>65000</v>
      </c>
      <c r="Z1440" s="9">
        <v>54600</v>
      </c>
      <c r="AA1440" s="9">
        <v>63100</v>
      </c>
      <c r="AB1440">
        <v>0.81730769230769229</v>
      </c>
      <c r="AC1440" s="11">
        <v>138.43289802722975</v>
      </c>
      <c r="AD1440" s="9">
        <v>55751.129943502827</v>
      </c>
      <c r="AE1440" s="8">
        <v>8.6058519793459548E-2</v>
      </c>
    </row>
    <row r="1441" spans="1:31" x14ac:dyDescent="0.35">
      <c r="A1441" s="6" t="s">
        <v>1462</v>
      </c>
      <c r="B1441" s="7">
        <v>8</v>
      </c>
      <c r="C1441" s="7">
        <v>3</v>
      </c>
      <c r="D1441" s="7">
        <v>6</v>
      </c>
      <c r="E1441" s="7">
        <v>1</v>
      </c>
      <c r="F1441">
        <v>921</v>
      </c>
      <c r="G1441">
        <v>43</v>
      </c>
      <c r="H1441">
        <v>4.63</v>
      </c>
      <c r="I1441">
        <v>30</v>
      </c>
      <c r="J1441">
        <v>3.21</v>
      </c>
      <c r="K1441">
        <v>1000</v>
      </c>
      <c r="L1441">
        <v>420</v>
      </c>
      <c r="M1441">
        <v>580</v>
      </c>
      <c r="N1441">
        <v>736.93</v>
      </c>
      <c r="O1441">
        <v>5.44</v>
      </c>
      <c r="P1441">
        <v>8.2100000000000009</v>
      </c>
      <c r="Q1441">
        <v>0.49</v>
      </c>
      <c r="R1441">
        <v>0.26</v>
      </c>
      <c r="S1441">
        <v>238</v>
      </c>
      <c r="T1441">
        <v>4028</v>
      </c>
      <c r="U1441">
        <v>7396</v>
      </c>
      <c r="V1441">
        <v>59</v>
      </c>
      <c r="W1441">
        <v>5.75</v>
      </c>
      <c r="X1441" s="10">
        <v>0.73925442818303289</v>
      </c>
      <c r="Y1441" s="9">
        <v>4950</v>
      </c>
      <c r="Z1441" s="9">
        <v>1940</v>
      </c>
      <c r="AA1441" s="9">
        <v>4950</v>
      </c>
      <c r="AB1441">
        <v>1</v>
      </c>
      <c r="AC1441" s="11">
        <v>48.16393442622951</v>
      </c>
      <c r="AD1441" s="9">
        <v>1408.5</v>
      </c>
      <c r="AE1441" s="8">
        <v>1.5515463917525774</v>
      </c>
    </row>
    <row r="1442" spans="1:31" x14ac:dyDescent="0.35">
      <c r="A1442" s="6" t="s">
        <v>1463</v>
      </c>
      <c r="B1442" s="7">
        <v>1</v>
      </c>
      <c r="C1442" s="7">
        <v>12</v>
      </c>
      <c r="D1442" s="7">
        <v>1</v>
      </c>
      <c r="E1442" s="7">
        <v>4</v>
      </c>
      <c r="F1442">
        <v>580</v>
      </c>
      <c r="G1442">
        <v>26</v>
      </c>
      <c r="H1442">
        <v>4.53</v>
      </c>
      <c r="I1442">
        <v>-103</v>
      </c>
      <c r="J1442">
        <v>-17.68</v>
      </c>
      <c r="K1442">
        <v>3016</v>
      </c>
      <c r="L1442">
        <v>2505</v>
      </c>
      <c r="M1442">
        <v>512</v>
      </c>
      <c r="N1442">
        <v>124.29</v>
      </c>
      <c r="O1442">
        <v>-24.28</v>
      </c>
      <c r="P1442">
        <v>0</v>
      </c>
      <c r="Q1442">
        <v>2.63</v>
      </c>
      <c r="R1442">
        <v>1.57</v>
      </c>
      <c r="S1442">
        <v>-327</v>
      </c>
      <c r="T1442">
        <v>1013</v>
      </c>
      <c r="U1442">
        <v>1695</v>
      </c>
      <c r="V1442">
        <v>35</v>
      </c>
      <c r="W1442">
        <v>78.069999999999993</v>
      </c>
      <c r="X1442" s="10">
        <v>0.57363847316863925</v>
      </c>
      <c r="Y1442" s="9">
        <v>3745</v>
      </c>
      <c r="Z1442" s="9">
        <v>2240</v>
      </c>
      <c r="AA1442" s="9">
        <v>3150</v>
      </c>
      <c r="AB1442">
        <v>0.60465116279069764</v>
      </c>
      <c r="AC1442" s="11">
        <v>15.4119199777716</v>
      </c>
      <c r="AD1442" s="9">
        <v>2197.8531073446329</v>
      </c>
      <c r="AE1442" s="8">
        <v>0.2045889101338432</v>
      </c>
    </row>
    <row r="1443" spans="1:31" x14ac:dyDescent="0.35">
      <c r="A1443" s="6" t="s">
        <v>1464</v>
      </c>
      <c r="B1443" s="7">
        <v>1</v>
      </c>
      <c r="C1443" s="7">
        <v>10</v>
      </c>
      <c r="D1443" s="7">
        <v>6</v>
      </c>
      <c r="E1443" s="7">
        <v>1</v>
      </c>
      <c r="F1443">
        <v>1177</v>
      </c>
      <c r="G1443">
        <v>58</v>
      </c>
      <c r="H1443">
        <v>4.96</v>
      </c>
      <c r="I1443">
        <v>47</v>
      </c>
      <c r="J1443">
        <v>4.03</v>
      </c>
      <c r="K1443">
        <v>1780</v>
      </c>
      <c r="L1443">
        <v>461</v>
      </c>
      <c r="M1443">
        <v>1319</v>
      </c>
      <c r="N1443">
        <v>1654.33</v>
      </c>
      <c r="O1443">
        <v>2.81</v>
      </c>
      <c r="P1443">
        <v>12.26</v>
      </c>
      <c r="Q1443">
        <v>0.47</v>
      </c>
      <c r="R1443">
        <v>0.5</v>
      </c>
      <c r="S1443">
        <v>318</v>
      </c>
      <c r="T1443">
        <v>8374</v>
      </c>
      <c r="U1443">
        <v>7877</v>
      </c>
      <c r="V1443">
        <v>84</v>
      </c>
      <c r="W1443">
        <v>7.54</v>
      </c>
      <c r="X1443" s="10">
        <v>0.66112586292155484</v>
      </c>
      <c r="Y1443" s="9">
        <v>4900</v>
      </c>
      <c r="Z1443" s="9">
        <v>3845</v>
      </c>
      <c r="AA1443" s="9">
        <v>4625</v>
      </c>
      <c r="AB1443">
        <v>0.73933649289099523</v>
      </c>
      <c r="AC1443" s="11">
        <v>10.398582939705474</v>
      </c>
      <c r="AD1443" s="9">
        <v>3942.7598870056499</v>
      </c>
      <c r="AE1443" s="8">
        <v>0.18894601542416453</v>
      </c>
    </row>
    <row r="1444" spans="1:31" x14ac:dyDescent="0.35">
      <c r="A1444" s="6" t="s">
        <v>1465</v>
      </c>
      <c r="B1444" s="7">
        <v>1</v>
      </c>
      <c r="C1444" s="7">
        <v>8</v>
      </c>
      <c r="D1444" s="7">
        <v>3</v>
      </c>
      <c r="E1444" s="7">
        <v>6</v>
      </c>
      <c r="F1444">
        <v>43</v>
      </c>
      <c r="G1444">
        <v>-32</v>
      </c>
      <c r="H1444">
        <v>-74.8</v>
      </c>
      <c r="I1444">
        <v>-49</v>
      </c>
      <c r="J1444">
        <v>-114.94</v>
      </c>
      <c r="K1444">
        <v>535</v>
      </c>
      <c r="L1444">
        <v>409</v>
      </c>
      <c r="M1444">
        <v>126</v>
      </c>
      <c r="N1444">
        <v>-37.85</v>
      </c>
      <c r="O1444">
        <v>-98.67</v>
      </c>
      <c r="P1444">
        <v>0</v>
      </c>
      <c r="Q1444">
        <v>1.89</v>
      </c>
      <c r="R1444">
        <v>2.31</v>
      </c>
      <c r="S1444">
        <v>-282</v>
      </c>
      <c r="T1444">
        <v>300</v>
      </c>
      <c r="U1444">
        <v>246</v>
      </c>
      <c r="V1444">
        <v>-52</v>
      </c>
      <c r="W1444">
        <v>-10.54</v>
      </c>
      <c r="X1444" s="10">
        <v>0.16792978269949088</v>
      </c>
      <c r="Y1444" s="9">
        <v>651</v>
      </c>
      <c r="Z1444" s="9">
        <v>534</v>
      </c>
      <c r="AA1444" s="9">
        <v>534</v>
      </c>
      <c r="AB1444">
        <v>0</v>
      </c>
      <c r="AC1444" s="11">
        <v>-0.63220338983050861</v>
      </c>
      <c r="AD1444" s="9">
        <v>605.2655367231639</v>
      </c>
      <c r="AE1444" s="8">
        <v>-8.5616438356164379E-2</v>
      </c>
    </row>
    <row r="1445" spans="1:31" x14ac:dyDescent="0.35">
      <c r="A1445" s="6" t="s">
        <v>1466</v>
      </c>
      <c r="B1445" s="7">
        <v>9</v>
      </c>
      <c r="C1445" s="7">
        <v>3</v>
      </c>
      <c r="D1445" s="7">
        <v>4</v>
      </c>
      <c r="E1445" s="7">
        <v>2</v>
      </c>
      <c r="F1445">
        <v>2821</v>
      </c>
      <c r="G1445">
        <v>110</v>
      </c>
      <c r="H1445">
        <v>3.91</v>
      </c>
      <c r="I1445">
        <v>166</v>
      </c>
      <c r="J1445">
        <v>5.89</v>
      </c>
      <c r="K1445">
        <v>1960</v>
      </c>
      <c r="L1445">
        <v>544</v>
      </c>
      <c r="M1445">
        <v>1415</v>
      </c>
      <c r="N1445">
        <v>2001.85</v>
      </c>
      <c r="O1445">
        <v>12.97</v>
      </c>
      <c r="P1445">
        <v>7.86</v>
      </c>
      <c r="Q1445">
        <v>0.94</v>
      </c>
      <c r="R1445">
        <v>0.46</v>
      </c>
      <c r="S1445">
        <v>1241</v>
      </c>
      <c r="T1445">
        <v>10404</v>
      </c>
      <c r="U1445">
        <v>21066</v>
      </c>
      <c r="V1445">
        <v>116</v>
      </c>
      <c r="W1445">
        <v>11.34</v>
      </c>
      <c r="X1445" s="10">
        <v>0.40537699564619906</v>
      </c>
      <c r="Y1445" s="9">
        <v>6567</v>
      </c>
      <c r="Z1445" s="9">
        <v>4542</v>
      </c>
      <c r="AA1445" s="9">
        <v>5150</v>
      </c>
      <c r="AB1445">
        <v>0.30024691358024691</v>
      </c>
      <c r="AC1445" s="11">
        <v>19.966935259794386</v>
      </c>
      <c r="AD1445" s="9">
        <v>4785.2418079096051</v>
      </c>
      <c r="AE1445" s="8">
        <v>0.13386173491853809</v>
      </c>
    </row>
    <row r="1446" spans="1:31" x14ac:dyDescent="0.35">
      <c r="A1446" s="6" t="s">
        <v>1467</v>
      </c>
      <c r="B1446" s="7">
        <v>7</v>
      </c>
      <c r="C1446" s="7">
        <v>1</v>
      </c>
      <c r="D1446" s="7">
        <v>10</v>
      </c>
      <c r="E1446" s="7">
        <v>0</v>
      </c>
      <c r="F1446">
        <v>2115</v>
      </c>
      <c r="G1446">
        <v>72</v>
      </c>
      <c r="H1446">
        <v>3.38</v>
      </c>
      <c r="I1446">
        <v>113</v>
      </c>
      <c r="J1446">
        <v>5.35</v>
      </c>
      <c r="K1446">
        <v>1645</v>
      </c>
      <c r="L1446">
        <v>916</v>
      </c>
      <c r="M1446">
        <v>728</v>
      </c>
      <c r="N1446">
        <v>687.94</v>
      </c>
      <c r="O1446">
        <v>16.559999999999999</v>
      </c>
      <c r="P1446">
        <v>7.07</v>
      </c>
      <c r="Q1446">
        <v>1.22</v>
      </c>
      <c r="R1446">
        <v>0.38</v>
      </c>
      <c r="S1446">
        <v>641</v>
      </c>
      <c r="T1446">
        <v>3727</v>
      </c>
      <c r="U1446">
        <v>11990</v>
      </c>
      <c r="V1446">
        <v>138</v>
      </c>
      <c r="W1446">
        <v>8.44</v>
      </c>
      <c r="X1446" s="10">
        <v>8.4111953593714525E-2</v>
      </c>
      <c r="Y1446" s="9">
        <v>4670</v>
      </c>
      <c r="Z1446" s="9">
        <v>4105</v>
      </c>
      <c r="AA1446" s="9">
        <v>4210</v>
      </c>
      <c r="AB1446">
        <v>0.18584070796460178</v>
      </c>
      <c r="AC1446" s="11">
        <v>-2.2146429563767711</v>
      </c>
      <c r="AD1446" s="9">
        <v>4456.9632768361589</v>
      </c>
      <c r="AE1446" s="8">
        <v>-9.8501070663811557E-2</v>
      </c>
    </row>
    <row r="1447" spans="1:31" x14ac:dyDescent="0.35">
      <c r="A1447" s="6" t="s">
        <v>1468</v>
      </c>
      <c r="B1447" s="7">
        <v>3</v>
      </c>
      <c r="C1447" s="7">
        <v>15</v>
      </c>
      <c r="D1447" s="7">
        <v>0</v>
      </c>
      <c r="E1447" s="7">
        <v>0</v>
      </c>
      <c r="F1447">
        <v>594</v>
      </c>
      <c r="G1447">
        <v>81</v>
      </c>
      <c r="H1447">
        <v>13.59</v>
      </c>
      <c r="I1447">
        <v>64</v>
      </c>
      <c r="J1447">
        <v>10.8</v>
      </c>
      <c r="K1447">
        <v>768</v>
      </c>
      <c r="L1447">
        <v>397</v>
      </c>
      <c r="M1447">
        <v>371</v>
      </c>
      <c r="N1447">
        <v>330.52</v>
      </c>
      <c r="O1447">
        <v>20.55</v>
      </c>
      <c r="P1447">
        <v>24.46</v>
      </c>
      <c r="Q1447">
        <v>5.78</v>
      </c>
      <c r="R1447">
        <v>2.64</v>
      </c>
      <c r="S1447">
        <v>392</v>
      </c>
      <c r="T1447">
        <v>1659</v>
      </c>
      <c r="U1447">
        <v>3626</v>
      </c>
      <c r="V1447">
        <v>120</v>
      </c>
      <c r="W1447">
        <v>16.100000000000001</v>
      </c>
      <c r="X1447" s="10">
        <v>0.7206484296252047</v>
      </c>
      <c r="Y1447" s="9">
        <v>13650</v>
      </c>
      <c r="Z1447" s="9">
        <v>9390</v>
      </c>
      <c r="AA1447" s="9">
        <v>12500</v>
      </c>
      <c r="AB1447">
        <v>0.7300469483568075</v>
      </c>
      <c r="AC1447" s="11">
        <v>49.334259516532363</v>
      </c>
      <c r="AD1447" s="9">
        <v>10299.97175141243</v>
      </c>
      <c r="AE1447" s="8">
        <v>0.30344108446298229</v>
      </c>
    </row>
    <row r="1448" spans="1:31" x14ac:dyDescent="0.35">
      <c r="A1448" s="6" t="s">
        <v>1469</v>
      </c>
      <c r="B1448" s="7">
        <v>8</v>
      </c>
      <c r="C1448" s="7">
        <v>6</v>
      </c>
      <c r="D1448" s="7">
        <v>1</v>
      </c>
      <c r="E1448" s="7">
        <v>3</v>
      </c>
      <c r="F1448">
        <v>1586</v>
      </c>
      <c r="G1448">
        <v>26</v>
      </c>
      <c r="H1448">
        <v>1.64</v>
      </c>
      <c r="I1448">
        <v>136</v>
      </c>
      <c r="J1448">
        <v>8.5500000000000007</v>
      </c>
      <c r="K1448">
        <v>1097</v>
      </c>
      <c r="L1448">
        <v>391</v>
      </c>
      <c r="M1448">
        <v>706</v>
      </c>
      <c r="N1448">
        <v>1127.98</v>
      </c>
      <c r="O1448">
        <v>20.89</v>
      </c>
      <c r="P1448">
        <v>7.59</v>
      </c>
      <c r="Q1448">
        <v>1.51</v>
      </c>
      <c r="R1448">
        <v>0.65</v>
      </c>
      <c r="S1448">
        <v>1185</v>
      </c>
      <c r="T1448">
        <v>5971</v>
      </c>
      <c r="U1448">
        <v>13848</v>
      </c>
      <c r="V1448">
        <v>100</v>
      </c>
      <c r="W1448">
        <v>10.4</v>
      </c>
      <c r="X1448" s="10">
        <v>0.11036136801500133</v>
      </c>
      <c r="Y1448" s="9">
        <v>9270</v>
      </c>
      <c r="Z1448" s="9">
        <v>8180</v>
      </c>
      <c r="AA1448" s="9">
        <v>8180</v>
      </c>
      <c r="AB1448">
        <v>0</v>
      </c>
      <c r="AC1448" s="11">
        <v>-5.5195887746596277</v>
      </c>
      <c r="AD1448" s="9">
        <v>8835.5141242937843</v>
      </c>
      <c r="AE1448" s="8">
        <v>-9.0100111234705224E-2</v>
      </c>
    </row>
    <row r="1449" spans="1:31" x14ac:dyDescent="0.35">
      <c r="A1449" s="6" t="s">
        <v>1470</v>
      </c>
      <c r="B1449" s="7">
        <v>1</v>
      </c>
      <c r="C1449" s="7">
        <v>2</v>
      </c>
      <c r="D1449" s="7">
        <v>2</v>
      </c>
      <c r="E1449" s="7">
        <v>13</v>
      </c>
      <c r="F1449">
        <v>586</v>
      </c>
      <c r="G1449">
        <v>3</v>
      </c>
      <c r="H1449">
        <v>0.59</v>
      </c>
      <c r="I1449">
        <v>-32</v>
      </c>
      <c r="J1449">
        <v>-5.46</v>
      </c>
      <c r="K1449">
        <v>1097</v>
      </c>
      <c r="L1449">
        <v>433</v>
      </c>
      <c r="M1449">
        <v>664</v>
      </c>
      <c r="N1449">
        <v>2106.14</v>
      </c>
      <c r="O1449">
        <v>-4.7699999999999996</v>
      </c>
      <c r="P1449">
        <v>0</v>
      </c>
      <c r="Q1449">
        <v>1.39</v>
      </c>
      <c r="R1449">
        <v>1.33</v>
      </c>
      <c r="S1449">
        <v>-535</v>
      </c>
      <c r="T1449">
        <v>9385</v>
      </c>
      <c r="U1449">
        <v>9797</v>
      </c>
      <c r="V1449">
        <v>41</v>
      </c>
      <c r="W1449">
        <v>24.36</v>
      </c>
      <c r="X1449" s="10">
        <v>0.14528830831497772</v>
      </c>
      <c r="Y1449" s="9">
        <v>15800</v>
      </c>
      <c r="Z1449" s="9">
        <v>12000</v>
      </c>
      <c r="AA1449" s="9">
        <v>12000</v>
      </c>
      <c r="AB1449">
        <v>0</v>
      </c>
      <c r="AC1449" s="11">
        <v>-21.737982772992495</v>
      </c>
      <c r="AD1449" s="9">
        <v>14562.175141242937</v>
      </c>
      <c r="AE1449" s="8">
        <v>-2.8340080971659919E-2</v>
      </c>
    </row>
    <row r="1450" spans="1:31" x14ac:dyDescent="0.35">
      <c r="A1450" s="6" t="s">
        <v>1471</v>
      </c>
      <c r="B1450" s="7">
        <v>2</v>
      </c>
      <c r="C1450" s="7">
        <v>3</v>
      </c>
      <c r="D1450" s="7">
        <v>3</v>
      </c>
      <c r="E1450" s="7">
        <v>10</v>
      </c>
      <c r="F1450">
        <v>655</v>
      </c>
      <c r="G1450">
        <v>49</v>
      </c>
      <c r="H1450">
        <v>7.5</v>
      </c>
      <c r="I1450">
        <v>-57</v>
      </c>
      <c r="J1450">
        <v>-8.7100000000000009</v>
      </c>
      <c r="K1450">
        <v>535</v>
      </c>
      <c r="L1450">
        <v>133</v>
      </c>
      <c r="M1450">
        <v>402</v>
      </c>
      <c r="N1450">
        <v>99.59</v>
      </c>
      <c r="O1450">
        <v>-13.06</v>
      </c>
      <c r="P1450">
        <v>0</v>
      </c>
      <c r="Q1450">
        <v>2.88</v>
      </c>
      <c r="R1450">
        <v>1.61</v>
      </c>
      <c r="S1450">
        <v>-142</v>
      </c>
      <c r="T1450">
        <v>913</v>
      </c>
      <c r="U1450">
        <v>1626</v>
      </c>
      <c r="V1450">
        <v>59</v>
      </c>
      <c r="W1450">
        <v>18.010000000000002</v>
      </c>
      <c r="X1450" s="10">
        <v>0.75046495865258711</v>
      </c>
      <c r="Y1450" s="9">
        <v>3000</v>
      </c>
      <c r="Z1450" s="9">
        <v>2605</v>
      </c>
      <c r="AA1450" s="9">
        <v>3000</v>
      </c>
      <c r="AB1450">
        <v>1</v>
      </c>
      <c r="AC1450" s="11">
        <v>5.2688246735204212</v>
      </c>
      <c r="AD1450" s="9">
        <v>2639.8841807909607</v>
      </c>
      <c r="AE1450" s="8">
        <v>0.15163147792706333</v>
      </c>
    </row>
    <row r="1451" spans="1:31" x14ac:dyDescent="0.35">
      <c r="A1451" s="6" t="s">
        <v>1472</v>
      </c>
      <c r="B1451" s="7">
        <v>12</v>
      </c>
      <c r="C1451" s="7">
        <v>2</v>
      </c>
      <c r="D1451" s="7">
        <v>4</v>
      </c>
      <c r="E1451" s="7">
        <v>0</v>
      </c>
      <c r="F1451">
        <v>1133</v>
      </c>
      <c r="G1451">
        <v>210</v>
      </c>
      <c r="H1451">
        <v>18.53</v>
      </c>
      <c r="I1451">
        <v>216</v>
      </c>
      <c r="J1451">
        <v>19.100000000000001</v>
      </c>
      <c r="K1451">
        <v>2237</v>
      </c>
      <c r="L1451">
        <v>452</v>
      </c>
      <c r="M1451">
        <v>1786</v>
      </c>
      <c r="N1451">
        <v>1675.18</v>
      </c>
      <c r="O1451">
        <v>12.82</v>
      </c>
      <c r="P1451">
        <v>7.53</v>
      </c>
      <c r="Q1451">
        <v>1.02</v>
      </c>
      <c r="R1451">
        <v>1.44</v>
      </c>
      <c r="S1451">
        <v>1128</v>
      </c>
      <c r="T1451">
        <v>8342</v>
      </c>
      <c r="U1451">
        <v>5902</v>
      </c>
      <c r="V1451">
        <v>233</v>
      </c>
      <c r="W1451">
        <v>7.72</v>
      </c>
      <c r="X1451" s="10">
        <v>0.7520419456063967</v>
      </c>
      <c r="Y1451" s="9">
        <v>11200</v>
      </c>
      <c r="Z1451" s="9">
        <v>8490</v>
      </c>
      <c r="AA1451" s="9">
        <v>11050</v>
      </c>
      <c r="AB1451">
        <v>0.94464944649446492</v>
      </c>
      <c r="AC1451" s="11">
        <v>32.20839121978328</v>
      </c>
      <c r="AD1451" s="9">
        <v>8839.3107344632754</v>
      </c>
      <c r="AE1451" s="8">
        <v>0.28488372093023256</v>
      </c>
    </row>
    <row r="1452" spans="1:31" x14ac:dyDescent="0.35">
      <c r="A1452" s="6" t="s">
        <v>1473</v>
      </c>
      <c r="B1452" s="7">
        <v>8</v>
      </c>
      <c r="C1452" s="7">
        <v>3</v>
      </c>
      <c r="D1452" s="7">
        <v>4</v>
      </c>
      <c r="E1452" s="7">
        <v>3</v>
      </c>
      <c r="F1452">
        <v>3031</v>
      </c>
      <c r="G1452">
        <v>-14</v>
      </c>
      <c r="H1452">
        <v>-0.48</v>
      </c>
      <c r="I1452">
        <v>85</v>
      </c>
      <c r="J1452">
        <v>2.8</v>
      </c>
      <c r="K1452">
        <v>2869</v>
      </c>
      <c r="L1452">
        <v>895</v>
      </c>
      <c r="M1452">
        <v>1974</v>
      </c>
      <c r="N1452">
        <v>1425.2</v>
      </c>
      <c r="O1452">
        <v>4.37</v>
      </c>
      <c r="P1452">
        <v>15.77</v>
      </c>
      <c r="Q1452">
        <v>0.69</v>
      </c>
      <c r="R1452">
        <v>0.44</v>
      </c>
      <c r="S1452">
        <v>331</v>
      </c>
      <c r="T1452">
        <v>7587</v>
      </c>
      <c r="U1452">
        <v>11818</v>
      </c>
      <c r="V1452">
        <v>60</v>
      </c>
      <c r="W1452">
        <v>22.52</v>
      </c>
      <c r="X1452" s="10">
        <v>0.43002106857190331</v>
      </c>
      <c r="Y1452" s="9">
        <v>5830</v>
      </c>
      <c r="Z1452" s="9">
        <v>5050</v>
      </c>
      <c r="AA1452" s="9">
        <v>5390</v>
      </c>
      <c r="AB1452">
        <v>0.4358974358974359</v>
      </c>
      <c r="AC1452" s="11">
        <v>6.7646568491247558</v>
      </c>
      <c r="AD1452" s="9">
        <v>5150.3446327683623</v>
      </c>
      <c r="AE1452" s="8">
        <v>2.6666666666666668E-2</v>
      </c>
    </row>
    <row r="1453" spans="1:31" x14ac:dyDescent="0.35">
      <c r="A1453" s="6" t="s">
        <v>1474</v>
      </c>
      <c r="B1453" s="7">
        <v>12</v>
      </c>
      <c r="C1453" s="7">
        <v>4</v>
      </c>
      <c r="D1453" s="7">
        <v>1</v>
      </c>
      <c r="E1453" s="7">
        <v>1</v>
      </c>
      <c r="F1453">
        <v>5377</v>
      </c>
      <c r="G1453">
        <v>118</v>
      </c>
      <c r="H1453">
        <v>2.19</v>
      </c>
      <c r="I1453">
        <v>60</v>
      </c>
      <c r="J1453">
        <v>1.1100000000000001</v>
      </c>
      <c r="K1453">
        <v>3668</v>
      </c>
      <c r="L1453">
        <v>2320</v>
      </c>
      <c r="M1453">
        <v>1348</v>
      </c>
      <c r="N1453">
        <v>1106.8599999999999</v>
      </c>
      <c r="O1453">
        <v>4.5</v>
      </c>
      <c r="P1453">
        <v>7.83</v>
      </c>
      <c r="Q1453">
        <v>0.38</v>
      </c>
      <c r="R1453">
        <v>0.09</v>
      </c>
      <c r="S1453">
        <v>274</v>
      </c>
      <c r="T1453">
        <v>5607</v>
      </c>
      <c r="U1453">
        <v>24711</v>
      </c>
      <c r="V1453">
        <v>212</v>
      </c>
      <c r="W1453">
        <v>7.46</v>
      </c>
      <c r="X1453" s="10">
        <v>0.54581404349162033</v>
      </c>
      <c r="Y1453" s="9">
        <v>3250</v>
      </c>
      <c r="Z1453" s="9">
        <v>2040</v>
      </c>
      <c r="AA1453" s="9">
        <v>2910</v>
      </c>
      <c r="AB1453">
        <v>0.71900826446280997</v>
      </c>
      <c r="AC1453" s="11">
        <v>16.125590441789384</v>
      </c>
      <c r="AD1453" s="9">
        <v>2185.1694915254238</v>
      </c>
      <c r="AE1453" s="8">
        <v>0.4264705882352941</v>
      </c>
    </row>
    <row r="1454" spans="1:31" x14ac:dyDescent="0.35">
      <c r="A1454" s="6" t="s">
        <v>1475</v>
      </c>
      <c r="B1454" s="7">
        <v>2</v>
      </c>
      <c r="C1454" s="7">
        <v>5</v>
      </c>
      <c r="D1454" s="7">
        <v>8</v>
      </c>
      <c r="E1454" s="7">
        <v>3</v>
      </c>
      <c r="F1454">
        <v>148</v>
      </c>
      <c r="G1454">
        <v>55</v>
      </c>
      <c r="H1454">
        <v>37.31</v>
      </c>
      <c r="I1454">
        <v>-198</v>
      </c>
      <c r="J1454">
        <v>-133.91999999999999</v>
      </c>
      <c r="K1454">
        <v>2709</v>
      </c>
      <c r="L1454">
        <v>949</v>
      </c>
      <c r="M1454">
        <v>1761</v>
      </c>
      <c r="N1454">
        <v>202.05</v>
      </c>
      <c r="O1454">
        <v>-6.35</v>
      </c>
      <c r="P1454">
        <v>0</v>
      </c>
      <c r="Q1454">
        <v>1.24</v>
      </c>
      <c r="R1454">
        <v>27.89</v>
      </c>
      <c r="S1454">
        <v>-400</v>
      </c>
      <c r="T1454">
        <v>6740</v>
      </c>
      <c r="U1454">
        <v>299</v>
      </c>
      <c r="V1454">
        <v>70</v>
      </c>
      <c r="W1454">
        <v>39.549999999999997</v>
      </c>
      <c r="X1454" s="10">
        <v>1.2910960224115566E-3</v>
      </c>
      <c r="Y1454" s="9">
        <v>11550</v>
      </c>
      <c r="Z1454" s="9">
        <v>8190</v>
      </c>
      <c r="AA1454" s="9">
        <v>9170</v>
      </c>
      <c r="AB1454">
        <v>0.29166666666666669</v>
      </c>
      <c r="AC1454" s="11">
        <v>-1.3792720200055555</v>
      </c>
      <c r="AD1454" s="9">
        <v>9686.7344632768363</v>
      </c>
      <c r="AE1454" s="8">
        <v>0.11965811965811966</v>
      </c>
    </row>
    <row r="1455" spans="1:31" x14ac:dyDescent="0.35">
      <c r="A1455" s="6" t="s">
        <v>1476</v>
      </c>
      <c r="B1455" s="7">
        <v>1</v>
      </c>
      <c r="C1455" s="7">
        <v>4</v>
      </c>
      <c r="D1455" s="7">
        <v>13</v>
      </c>
      <c r="E1455" s="7">
        <v>0</v>
      </c>
      <c r="F1455">
        <v>1410</v>
      </c>
      <c r="G1455">
        <v>4</v>
      </c>
      <c r="H1455">
        <v>0.3</v>
      </c>
      <c r="I1455">
        <v>-29</v>
      </c>
      <c r="J1455">
        <v>-2.08</v>
      </c>
      <c r="K1455">
        <v>1472</v>
      </c>
      <c r="L1455">
        <v>638</v>
      </c>
      <c r="M1455">
        <v>834</v>
      </c>
      <c r="N1455">
        <v>456.28</v>
      </c>
      <c r="O1455">
        <v>-3.4</v>
      </c>
      <c r="P1455">
        <v>0</v>
      </c>
      <c r="Q1455">
        <v>0.3</v>
      </c>
      <c r="R1455">
        <v>0.18</v>
      </c>
      <c r="S1455">
        <v>-980</v>
      </c>
      <c r="T1455">
        <v>27668</v>
      </c>
      <c r="U1455">
        <v>47003</v>
      </c>
      <c r="V1455">
        <v>8</v>
      </c>
      <c r="W1455">
        <v>31.66</v>
      </c>
      <c r="X1455" s="10">
        <v>0.66475199249121686</v>
      </c>
      <c r="Y1455" s="9">
        <v>11350</v>
      </c>
      <c r="Z1455" s="9">
        <v>7900</v>
      </c>
      <c r="AA1455" s="9">
        <v>10000</v>
      </c>
      <c r="AB1455">
        <v>0.60869565217391308</v>
      </c>
      <c r="AC1455" s="11">
        <v>44.16060016671296</v>
      </c>
      <c r="AD1455" s="9">
        <v>7740.7683615819205</v>
      </c>
      <c r="AE1455" s="8">
        <v>0.20192307692307693</v>
      </c>
    </row>
    <row r="1456" spans="1:31" x14ac:dyDescent="0.35">
      <c r="A1456" s="6" t="s">
        <v>1477</v>
      </c>
      <c r="B1456" s="7">
        <v>4</v>
      </c>
      <c r="C1456" s="7">
        <v>0</v>
      </c>
      <c r="D1456" s="7">
        <v>8</v>
      </c>
      <c r="E1456" s="7">
        <v>6</v>
      </c>
      <c r="F1456">
        <v>467</v>
      </c>
      <c r="G1456">
        <v>64</v>
      </c>
      <c r="H1456">
        <v>13.76</v>
      </c>
      <c r="I1456">
        <v>36</v>
      </c>
      <c r="J1456">
        <v>7.7</v>
      </c>
      <c r="K1456">
        <v>715</v>
      </c>
      <c r="L1456">
        <v>180</v>
      </c>
      <c r="M1456">
        <v>535</v>
      </c>
      <c r="N1456">
        <v>844.69</v>
      </c>
      <c r="O1456">
        <v>6.84</v>
      </c>
      <c r="P1456">
        <v>14.19</v>
      </c>
      <c r="Q1456">
        <v>1.04</v>
      </c>
      <c r="R1456">
        <v>1.0900000000000001</v>
      </c>
      <c r="S1456">
        <v>327</v>
      </c>
      <c r="T1456">
        <v>4447</v>
      </c>
      <c r="U1456">
        <v>4247</v>
      </c>
      <c r="V1456">
        <v>97</v>
      </c>
      <c r="W1456">
        <v>5.72</v>
      </c>
      <c r="X1456" s="10">
        <v>0.30157379977617843</v>
      </c>
      <c r="Y1456" s="9">
        <v>5350</v>
      </c>
      <c r="Z1456" s="9">
        <v>4460</v>
      </c>
      <c r="AA1456" s="9">
        <v>4900</v>
      </c>
      <c r="AB1456">
        <v>0.4943820224719101</v>
      </c>
      <c r="AC1456" s="11">
        <v>6.7899416504584611</v>
      </c>
      <c r="AD1456" s="9">
        <v>4619.7401129943501</v>
      </c>
      <c r="AE1456" s="8">
        <v>5.0375133976420149E-2</v>
      </c>
    </row>
    <row r="1457" spans="1:31" x14ac:dyDescent="0.35">
      <c r="A1457" s="6" t="s">
        <v>1478</v>
      </c>
      <c r="B1457" s="7">
        <v>13</v>
      </c>
      <c r="C1457" s="7">
        <v>1</v>
      </c>
      <c r="D1457" s="7">
        <v>1</v>
      </c>
      <c r="E1457" s="7">
        <v>3</v>
      </c>
      <c r="F1457">
        <v>2679</v>
      </c>
      <c r="G1457">
        <v>118</v>
      </c>
      <c r="H1457">
        <v>4.41</v>
      </c>
      <c r="I1457">
        <v>147</v>
      </c>
      <c r="J1457">
        <v>5.49</v>
      </c>
      <c r="K1457">
        <v>1837</v>
      </c>
      <c r="L1457">
        <v>601</v>
      </c>
      <c r="M1457">
        <v>1236</v>
      </c>
      <c r="N1457">
        <v>2332.23</v>
      </c>
      <c r="O1457">
        <v>12.22</v>
      </c>
      <c r="P1457">
        <v>8.98</v>
      </c>
      <c r="Q1457">
        <v>1.23</v>
      </c>
      <c r="R1457">
        <v>0.49</v>
      </c>
      <c r="S1457">
        <v>1459</v>
      </c>
      <c r="T1457">
        <v>10680</v>
      </c>
      <c r="U1457">
        <v>26551</v>
      </c>
      <c r="V1457">
        <v>150</v>
      </c>
      <c r="W1457">
        <v>9.93</v>
      </c>
      <c r="X1457" s="10">
        <v>0.91477506139518761</v>
      </c>
      <c r="Y1457" s="9">
        <v>17900</v>
      </c>
      <c r="Z1457" s="9">
        <v>12800</v>
      </c>
      <c r="AA1457" s="9">
        <v>17000</v>
      </c>
      <c r="AB1457">
        <v>0.82352941176470584</v>
      </c>
      <c r="AC1457" s="11">
        <v>82.001944984717966</v>
      </c>
      <c r="AD1457" s="9">
        <v>12548.107344632768</v>
      </c>
      <c r="AE1457" s="8">
        <v>0.31274131274131273</v>
      </c>
    </row>
    <row r="1458" spans="1:31" x14ac:dyDescent="0.35">
      <c r="A1458" s="6" t="s">
        <v>1479</v>
      </c>
      <c r="B1458" s="7">
        <v>0</v>
      </c>
      <c r="C1458" s="7">
        <v>9</v>
      </c>
      <c r="D1458" s="7">
        <v>0</v>
      </c>
      <c r="E1458" s="7">
        <v>9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128</v>
      </c>
      <c r="L1458">
        <v>14</v>
      </c>
      <c r="M1458">
        <v>115</v>
      </c>
      <c r="N1458">
        <v>1812.56</v>
      </c>
      <c r="O1458">
        <v>0.11</v>
      </c>
      <c r="P1458">
        <v>335.83</v>
      </c>
      <c r="Q1458">
        <v>1.05</v>
      </c>
      <c r="R1458">
        <v>0</v>
      </c>
      <c r="S1458">
        <v>6</v>
      </c>
      <c r="T1458">
        <v>1913</v>
      </c>
      <c r="U1458">
        <v>0</v>
      </c>
      <c r="V1458">
        <v>0</v>
      </c>
      <c r="W1458">
        <v>-772.97</v>
      </c>
      <c r="X1458" s="10">
        <v>0.73968984317330178</v>
      </c>
      <c r="Y1458" s="9">
        <v>2600</v>
      </c>
      <c r="Z1458" s="9">
        <v>2015</v>
      </c>
      <c r="AA1458" s="9">
        <v>2335</v>
      </c>
      <c r="AB1458">
        <v>0.54700854700854706</v>
      </c>
      <c r="AC1458" s="11">
        <v>8.6555987774381773</v>
      </c>
      <c r="AD1458" s="9">
        <v>2015.7542372881355</v>
      </c>
      <c r="AE1458" s="8">
        <v>0.15308641975308643</v>
      </c>
    </row>
    <row r="1459" spans="1:31" x14ac:dyDescent="0.35">
      <c r="A1459" s="6" t="s">
        <v>1480</v>
      </c>
      <c r="B1459" s="7">
        <v>1</v>
      </c>
      <c r="C1459" s="7">
        <v>8</v>
      </c>
      <c r="D1459" s="7">
        <v>0</v>
      </c>
      <c r="E1459" s="7">
        <v>9</v>
      </c>
      <c r="F1459">
        <v>7953</v>
      </c>
      <c r="G1459">
        <v>-1145</v>
      </c>
      <c r="H1459">
        <v>-14.4</v>
      </c>
      <c r="I1459">
        <v>-1591</v>
      </c>
      <c r="J1459">
        <v>-20</v>
      </c>
      <c r="K1459">
        <v>70619</v>
      </c>
      <c r="L1459">
        <v>61575</v>
      </c>
      <c r="M1459">
        <v>9044</v>
      </c>
      <c r="N1459">
        <v>-8.1199999999999992</v>
      </c>
      <c r="O1459">
        <v>-17.670000000000002</v>
      </c>
      <c r="P1459">
        <v>0</v>
      </c>
      <c r="Q1459">
        <v>0.93</v>
      </c>
      <c r="R1459">
        <v>0.79</v>
      </c>
      <c r="S1459">
        <v>-1008</v>
      </c>
      <c r="T1459">
        <v>3996</v>
      </c>
      <c r="U1459">
        <v>4659</v>
      </c>
      <c r="V1459">
        <v>0</v>
      </c>
      <c r="W1459">
        <v>0</v>
      </c>
      <c r="X1459" s="10">
        <v>0.62122402500089602</v>
      </c>
      <c r="Y1459" s="9">
        <v>5560</v>
      </c>
      <c r="Z1459" s="9">
        <v>3580</v>
      </c>
      <c r="AA1459" s="9">
        <v>5450</v>
      </c>
      <c r="AB1459">
        <v>0.94444444444444442</v>
      </c>
      <c r="AC1459" s="11">
        <v>21.408863573214781</v>
      </c>
      <c r="AD1459" s="9">
        <v>3469.7796610169489</v>
      </c>
      <c r="AE1459" s="8">
        <v>0.44370860927152317</v>
      </c>
    </row>
    <row r="1460" spans="1:31" x14ac:dyDescent="0.35">
      <c r="A1460" s="6" t="s">
        <v>1481</v>
      </c>
      <c r="B1460" s="7">
        <v>0</v>
      </c>
      <c r="C1460" s="7">
        <v>0</v>
      </c>
      <c r="D1460" s="7">
        <v>0</v>
      </c>
      <c r="E1460" s="7">
        <v>18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 s="10">
        <v>0.70719084949453692</v>
      </c>
      <c r="Y1460" s="9">
        <v>2990</v>
      </c>
      <c r="Z1460" s="9">
        <v>2105</v>
      </c>
      <c r="AA1460" s="9">
        <v>2920</v>
      </c>
      <c r="AB1460">
        <v>0.92090395480225984</v>
      </c>
      <c r="AC1460" s="11">
        <v>11.593637121422619</v>
      </c>
      <c r="AD1460" s="9">
        <v>1996.4774011299437</v>
      </c>
      <c r="AE1460" s="8">
        <v>0.33638443935926776</v>
      </c>
    </row>
    <row r="1461" spans="1:31" x14ac:dyDescent="0.35">
      <c r="A1461" s="6" t="s">
        <v>1482</v>
      </c>
      <c r="B1461" s="7">
        <v>0</v>
      </c>
      <c r="C1461" s="7">
        <v>16</v>
      </c>
      <c r="D1461" s="7">
        <v>2</v>
      </c>
      <c r="E1461" s="7">
        <v>0</v>
      </c>
      <c r="F1461">
        <v>1371</v>
      </c>
      <c r="G1461">
        <v>40</v>
      </c>
      <c r="H1461">
        <v>2.93</v>
      </c>
      <c r="I1461">
        <v>9</v>
      </c>
      <c r="J1461">
        <v>0.65</v>
      </c>
      <c r="K1461">
        <v>1075</v>
      </c>
      <c r="L1461">
        <v>671</v>
      </c>
      <c r="M1461">
        <v>405</v>
      </c>
      <c r="N1461">
        <v>116.57</v>
      </c>
      <c r="O1461">
        <v>2.33</v>
      </c>
      <c r="P1461">
        <v>46.2</v>
      </c>
      <c r="Q1461">
        <v>1.19</v>
      </c>
      <c r="R1461">
        <v>0.3</v>
      </c>
      <c r="S1461">
        <v>25</v>
      </c>
      <c r="T1461">
        <v>968</v>
      </c>
      <c r="U1461">
        <v>3805</v>
      </c>
      <c r="V1461">
        <v>71</v>
      </c>
      <c r="W1461">
        <v>12.6</v>
      </c>
      <c r="X1461" s="10">
        <v>0.83558411819375145</v>
      </c>
      <c r="Y1461" s="9">
        <v>1475</v>
      </c>
      <c r="Z1461" s="9">
        <v>1100</v>
      </c>
      <c r="AA1461" s="9">
        <v>1430</v>
      </c>
      <c r="AB1461">
        <v>0.88</v>
      </c>
      <c r="AC1461" s="11">
        <v>4.6426785218116153</v>
      </c>
      <c r="AD1461" s="9">
        <v>1144.731638418079</v>
      </c>
      <c r="AE1461" s="8">
        <v>0.3</v>
      </c>
    </row>
    <row r="1462" spans="1:31" x14ac:dyDescent="0.35">
      <c r="A1462" s="6" t="s">
        <v>1483</v>
      </c>
      <c r="B1462" s="7">
        <v>0</v>
      </c>
      <c r="C1462" s="7">
        <v>2</v>
      </c>
      <c r="D1462" s="7">
        <v>4</v>
      </c>
      <c r="E1462" s="7">
        <v>12</v>
      </c>
      <c r="F1462">
        <v>257</v>
      </c>
      <c r="G1462">
        <v>-49</v>
      </c>
      <c r="H1462">
        <v>-19.260000000000002</v>
      </c>
      <c r="I1462">
        <v>-81</v>
      </c>
      <c r="J1462">
        <v>-31.68</v>
      </c>
      <c r="K1462">
        <v>610</v>
      </c>
      <c r="L1462">
        <v>63</v>
      </c>
      <c r="M1462">
        <v>546</v>
      </c>
      <c r="N1462">
        <v>884.32</v>
      </c>
      <c r="O1462">
        <v>-13.67</v>
      </c>
      <c r="P1462">
        <v>0</v>
      </c>
      <c r="Q1462">
        <v>1.19</v>
      </c>
      <c r="R1462">
        <v>2.1</v>
      </c>
      <c r="S1462">
        <v>-709</v>
      </c>
      <c r="T1462">
        <v>3964</v>
      </c>
      <c r="U1462">
        <v>2238</v>
      </c>
      <c r="V1462">
        <v>-40</v>
      </c>
      <c r="W1462">
        <v>-15.69</v>
      </c>
      <c r="X1462" s="10">
        <v>2.9695307831565314E-2</v>
      </c>
      <c r="Y1462" s="9">
        <v>6950</v>
      </c>
      <c r="Z1462" s="9">
        <v>4395</v>
      </c>
      <c r="AA1462" s="9">
        <v>5320</v>
      </c>
      <c r="AB1462">
        <v>0.36203522504892366</v>
      </c>
      <c r="AC1462" s="11">
        <v>5.4017782717421507</v>
      </c>
      <c r="AD1462" s="9">
        <v>5265.2457627118647</v>
      </c>
      <c r="AE1462" s="8">
        <v>9.8039215686274508E-2</v>
      </c>
    </row>
    <row r="1463" spans="1:31" x14ac:dyDescent="0.35">
      <c r="A1463" s="6" t="s">
        <v>1484</v>
      </c>
      <c r="B1463" s="7">
        <v>2</v>
      </c>
      <c r="C1463" s="7">
        <v>8</v>
      </c>
      <c r="D1463" s="7">
        <v>2</v>
      </c>
      <c r="E1463" s="7">
        <v>6</v>
      </c>
      <c r="F1463">
        <v>229</v>
      </c>
      <c r="G1463">
        <v>-72</v>
      </c>
      <c r="H1463">
        <v>-31.4</v>
      </c>
      <c r="I1463">
        <v>-115</v>
      </c>
      <c r="J1463">
        <v>-50.06</v>
      </c>
      <c r="K1463">
        <v>796</v>
      </c>
      <c r="L1463">
        <v>509</v>
      </c>
      <c r="M1463">
        <v>287</v>
      </c>
      <c r="N1463">
        <v>261.36</v>
      </c>
      <c r="O1463">
        <v>-35.270000000000003</v>
      </c>
      <c r="P1463">
        <v>0</v>
      </c>
      <c r="Q1463">
        <v>3.93</v>
      </c>
      <c r="R1463">
        <v>4.12</v>
      </c>
      <c r="S1463">
        <v>-710</v>
      </c>
      <c r="T1463">
        <v>1487</v>
      </c>
      <c r="U1463">
        <v>1419</v>
      </c>
      <c r="V1463">
        <v>-53</v>
      </c>
      <c r="W1463">
        <v>-23.72</v>
      </c>
      <c r="X1463" s="10">
        <v>4.8779410919781545E-2</v>
      </c>
      <c r="Y1463" s="9">
        <v>6810</v>
      </c>
      <c r="Z1463" s="9">
        <v>5570</v>
      </c>
      <c r="AA1463" s="9">
        <v>5880</v>
      </c>
      <c r="AB1463">
        <v>0.25</v>
      </c>
      <c r="AC1463" s="11">
        <v>-4.0027785495971093</v>
      </c>
      <c r="AD1463" s="9">
        <v>6403.4180790960445</v>
      </c>
      <c r="AE1463" s="8">
        <v>2.6178010471204188E-2</v>
      </c>
    </row>
    <row r="1464" spans="1:31" x14ac:dyDescent="0.35">
      <c r="A1464" s="6" t="s">
        <v>1485</v>
      </c>
      <c r="B1464" s="7">
        <v>4</v>
      </c>
      <c r="C1464" s="7">
        <v>1</v>
      </c>
      <c r="D1464" s="7">
        <v>4</v>
      </c>
      <c r="E1464" s="7">
        <v>9</v>
      </c>
      <c r="F1464">
        <v>386</v>
      </c>
      <c r="G1464">
        <v>-4</v>
      </c>
      <c r="H1464">
        <v>-1</v>
      </c>
      <c r="I1464">
        <v>1</v>
      </c>
      <c r="J1464">
        <v>0.26</v>
      </c>
      <c r="K1464">
        <v>896</v>
      </c>
      <c r="L1464">
        <v>148</v>
      </c>
      <c r="M1464">
        <v>748</v>
      </c>
      <c r="N1464">
        <v>933.79</v>
      </c>
      <c r="O1464">
        <v>0.18</v>
      </c>
      <c r="P1464">
        <v>0</v>
      </c>
      <c r="Q1464">
        <v>0.76</v>
      </c>
      <c r="R1464">
        <v>0.92</v>
      </c>
      <c r="S1464">
        <v>-40</v>
      </c>
      <c r="T1464">
        <v>10012</v>
      </c>
      <c r="U1464">
        <v>8304</v>
      </c>
      <c r="V1464">
        <v>8</v>
      </c>
      <c r="W1464">
        <v>62.57</v>
      </c>
      <c r="X1464" s="10">
        <v>0.7615641412997608</v>
      </c>
      <c r="Y1464" s="9">
        <v>10100</v>
      </c>
      <c r="Z1464" s="9">
        <v>7570</v>
      </c>
      <c r="AA1464" s="9">
        <v>9860</v>
      </c>
      <c r="AB1464">
        <v>0.90513833992094861</v>
      </c>
      <c r="AC1464" s="11">
        <v>35.346485134759654</v>
      </c>
      <c r="AD1464" s="9">
        <v>7834.9322033898306</v>
      </c>
      <c r="AE1464" s="8">
        <v>0.28385416666666669</v>
      </c>
    </row>
    <row r="1465" spans="1:31" x14ac:dyDescent="0.35">
      <c r="A1465" s="6" t="s">
        <v>1486</v>
      </c>
      <c r="B1465" s="7">
        <v>0</v>
      </c>
      <c r="C1465" s="7">
        <v>0</v>
      </c>
      <c r="D1465" s="7">
        <v>0</v>
      </c>
      <c r="E1465" s="7">
        <v>18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 s="10">
        <v>0.88207645038549265</v>
      </c>
      <c r="Y1465" s="9">
        <v>4900</v>
      </c>
      <c r="Z1465" s="9">
        <v>3805</v>
      </c>
      <c r="AA1465" s="9">
        <v>4670</v>
      </c>
      <c r="AB1465">
        <v>0.78995433789954339</v>
      </c>
      <c r="AC1465" s="11">
        <v>15.699499861072519</v>
      </c>
      <c r="AD1465" s="9">
        <v>3706.7485875706211</v>
      </c>
      <c r="AE1465" s="8">
        <v>0.21141374837872892</v>
      </c>
    </row>
    <row r="1466" spans="1:31" x14ac:dyDescent="0.35">
      <c r="A1466" s="6" t="s">
        <v>1487</v>
      </c>
      <c r="B1466" s="7">
        <v>0</v>
      </c>
      <c r="C1466" s="7">
        <v>0</v>
      </c>
      <c r="D1466" s="7">
        <v>0</v>
      </c>
      <c r="E1466" s="7">
        <v>18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 s="10">
        <v>0.62968599242494372</v>
      </c>
      <c r="Y1466" s="9">
        <v>13200</v>
      </c>
      <c r="Z1466" s="9">
        <v>6570</v>
      </c>
      <c r="AA1466" s="9">
        <v>9150</v>
      </c>
      <c r="AB1466">
        <v>0.38914027149321267</v>
      </c>
      <c r="AC1466" s="11">
        <v>62.93748263406502</v>
      </c>
      <c r="AD1466" s="9">
        <v>6052.073446327684</v>
      </c>
      <c r="AE1466" s="8">
        <v>0.35155096011816839</v>
      </c>
    </row>
    <row r="1467" spans="1:31" x14ac:dyDescent="0.35">
      <c r="A1467" s="6" t="s">
        <v>1488</v>
      </c>
      <c r="B1467" s="7">
        <v>3</v>
      </c>
      <c r="C1467" s="7">
        <v>5</v>
      </c>
      <c r="D1467" s="7">
        <v>4</v>
      </c>
      <c r="E1467" s="7">
        <v>6</v>
      </c>
      <c r="F1467">
        <v>4840</v>
      </c>
      <c r="G1467">
        <v>187</v>
      </c>
      <c r="H1467">
        <v>3.87</v>
      </c>
      <c r="I1467">
        <v>66</v>
      </c>
      <c r="J1467">
        <v>1.37</v>
      </c>
      <c r="K1467">
        <v>9446</v>
      </c>
      <c r="L1467">
        <v>4260</v>
      </c>
      <c r="M1467">
        <v>5186</v>
      </c>
      <c r="N1467">
        <v>1414.33</v>
      </c>
      <c r="O1467">
        <v>1.28</v>
      </c>
      <c r="P1467">
        <v>31.43</v>
      </c>
      <c r="Q1467">
        <v>0.48</v>
      </c>
      <c r="R1467">
        <v>0.43</v>
      </c>
      <c r="S1467">
        <v>98</v>
      </c>
      <c r="T1467">
        <v>6471</v>
      </c>
      <c r="U1467">
        <v>7177</v>
      </c>
      <c r="V1467">
        <v>264</v>
      </c>
      <c r="W1467">
        <v>18.62</v>
      </c>
      <c r="X1467" s="10">
        <v>0.52808574449154744</v>
      </c>
      <c r="Y1467" s="9">
        <v>4780</v>
      </c>
      <c r="Z1467" s="9">
        <v>3005</v>
      </c>
      <c r="AA1467" s="9">
        <v>4390</v>
      </c>
      <c r="AB1467">
        <v>0.78028169014084503</v>
      </c>
      <c r="AC1467" s="11">
        <v>14.22742428452348</v>
      </c>
      <c r="AD1467" s="9">
        <v>3214.8135593220341</v>
      </c>
      <c r="AE1467" s="8">
        <v>0.46089850249584025</v>
      </c>
    </row>
    <row r="1468" spans="1:31" x14ac:dyDescent="0.35">
      <c r="A1468" s="6" t="s">
        <v>1489</v>
      </c>
      <c r="B1468" s="7">
        <v>7</v>
      </c>
      <c r="C1468" s="7">
        <v>9</v>
      </c>
      <c r="D1468" s="7">
        <v>1</v>
      </c>
      <c r="E1468" s="7">
        <v>1</v>
      </c>
      <c r="F1468">
        <v>373</v>
      </c>
      <c r="G1468">
        <v>6</v>
      </c>
      <c r="H1468">
        <v>1.56</v>
      </c>
      <c r="I1468">
        <v>-2</v>
      </c>
      <c r="J1468">
        <v>-0.6</v>
      </c>
      <c r="K1468">
        <v>388</v>
      </c>
      <c r="L1468">
        <v>147</v>
      </c>
      <c r="M1468">
        <v>241</v>
      </c>
      <c r="N1468">
        <v>117.84</v>
      </c>
      <c r="O1468">
        <v>-1.1599999999999999</v>
      </c>
      <c r="P1468">
        <v>0</v>
      </c>
      <c r="Q1468">
        <v>4.9000000000000004</v>
      </c>
      <c r="R1468">
        <v>2.57</v>
      </c>
      <c r="S1468">
        <v>-11</v>
      </c>
      <c r="T1468">
        <v>964</v>
      </c>
      <c r="U1468">
        <v>1839</v>
      </c>
      <c r="V1468">
        <v>15</v>
      </c>
      <c r="W1468">
        <v>71.72</v>
      </c>
      <c r="X1468" s="10">
        <v>0.53947138040291798</v>
      </c>
      <c r="Y1468" s="9">
        <v>6500</v>
      </c>
      <c r="Z1468" s="9">
        <v>4675</v>
      </c>
      <c r="AA1468" s="9">
        <v>5740</v>
      </c>
      <c r="AB1468">
        <v>0.58356164383561648</v>
      </c>
      <c r="AC1468" s="11">
        <v>18.98388441233676</v>
      </c>
      <c r="AD1468" s="9">
        <v>5058.9915254237285</v>
      </c>
      <c r="AE1468" s="8">
        <v>0.20842105263157895</v>
      </c>
    </row>
    <row r="1469" spans="1:31" x14ac:dyDescent="0.35">
      <c r="A1469" s="6" t="s">
        <v>1490</v>
      </c>
      <c r="B1469" s="7">
        <v>4</v>
      </c>
      <c r="C1469" s="7">
        <v>5</v>
      </c>
      <c r="D1469" s="7">
        <v>1</v>
      </c>
      <c r="E1469" s="7">
        <v>8</v>
      </c>
      <c r="F1469">
        <v>0</v>
      </c>
      <c r="G1469">
        <v>-1</v>
      </c>
      <c r="H1469">
        <v>0</v>
      </c>
      <c r="I1469">
        <v>1</v>
      </c>
      <c r="J1469">
        <v>0</v>
      </c>
      <c r="K1469">
        <v>120</v>
      </c>
      <c r="L1469">
        <v>13</v>
      </c>
      <c r="M1469">
        <v>106</v>
      </c>
      <c r="N1469">
        <v>1831.95</v>
      </c>
      <c r="O1469">
        <v>1.25</v>
      </c>
      <c r="P1469">
        <v>121.11</v>
      </c>
      <c r="Q1469">
        <v>1.1299999999999999</v>
      </c>
      <c r="R1469">
        <v>0</v>
      </c>
      <c r="S1469">
        <v>18</v>
      </c>
      <c r="T1469">
        <v>1932</v>
      </c>
      <c r="U1469">
        <v>0</v>
      </c>
      <c r="V1469">
        <v>-1</v>
      </c>
      <c r="W1469">
        <v>-146.61000000000001</v>
      </c>
      <c r="X1469" s="10">
        <v>0.73741858392932491</v>
      </c>
      <c r="Y1469" s="9">
        <v>3890</v>
      </c>
      <c r="Z1469" s="9">
        <v>2090</v>
      </c>
      <c r="AA1469" s="9">
        <v>3740</v>
      </c>
      <c r="AB1469">
        <v>0.91666666666666663</v>
      </c>
      <c r="AC1469" s="11">
        <v>27.792164490136148</v>
      </c>
      <c r="AD1469" s="9">
        <v>2142.1723163841807</v>
      </c>
      <c r="AE1469" s="8">
        <v>0.7155963302752294</v>
      </c>
    </row>
    <row r="1470" spans="1:31" x14ac:dyDescent="0.35">
      <c r="A1470" s="6" t="s">
        <v>1491</v>
      </c>
      <c r="B1470" s="7">
        <v>6</v>
      </c>
      <c r="C1470" s="7">
        <v>0</v>
      </c>
      <c r="D1470" s="7">
        <v>2</v>
      </c>
      <c r="E1470" s="7">
        <v>10</v>
      </c>
      <c r="F1470">
        <v>635</v>
      </c>
      <c r="G1470">
        <v>139</v>
      </c>
      <c r="H1470">
        <v>21.91</v>
      </c>
      <c r="I1470">
        <v>136</v>
      </c>
      <c r="J1470">
        <v>21.49</v>
      </c>
      <c r="K1470">
        <v>1880</v>
      </c>
      <c r="L1470">
        <v>156</v>
      </c>
      <c r="M1470">
        <v>1725</v>
      </c>
      <c r="N1470">
        <v>1509.69</v>
      </c>
      <c r="O1470">
        <v>10.87</v>
      </c>
      <c r="P1470">
        <v>17.38</v>
      </c>
      <c r="Q1470">
        <v>1.92</v>
      </c>
      <c r="R1470">
        <v>3.73</v>
      </c>
      <c r="S1470">
        <v>843</v>
      </c>
      <c r="T1470">
        <v>7621</v>
      </c>
      <c r="U1470">
        <v>3924</v>
      </c>
      <c r="V1470">
        <v>203</v>
      </c>
      <c r="W1470">
        <v>15.71</v>
      </c>
      <c r="X1470" s="10">
        <v>1.5006755770650299E-2</v>
      </c>
      <c r="Y1470" s="9">
        <v>16400</v>
      </c>
      <c r="Z1470" s="9">
        <v>13450</v>
      </c>
      <c r="AA1470" s="9">
        <v>14350</v>
      </c>
      <c r="AB1470">
        <v>0.30508474576271188</v>
      </c>
      <c r="AC1470" s="11">
        <v>4.9110864128924705</v>
      </c>
      <c r="AD1470" s="9">
        <v>14704.378531073446</v>
      </c>
      <c r="AE1470" s="8">
        <v>-0.125</v>
      </c>
    </row>
    <row r="1471" spans="1:31" x14ac:dyDescent="0.35">
      <c r="A1471" s="6" t="s">
        <v>1492</v>
      </c>
      <c r="B1471" s="7">
        <v>8</v>
      </c>
      <c r="C1471" s="7">
        <v>4</v>
      </c>
      <c r="D1471" s="7">
        <v>1</v>
      </c>
      <c r="E1471" s="7">
        <v>5</v>
      </c>
      <c r="F1471">
        <v>5253</v>
      </c>
      <c r="G1471">
        <v>108</v>
      </c>
      <c r="H1471">
        <v>2.0499999999999998</v>
      </c>
      <c r="I1471">
        <v>43</v>
      </c>
      <c r="J1471">
        <v>0.81</v>
      </c>
      <c r="K1471">
        <v>44753</v>
      </c>
      <c r="L1471">
        <v>39123</v>
      </c>
      <c r="M1471">
        <v>5630</v>
      </c>
      <c r="N1471">
        <v>4.79</v>
      </c>
      <c r="O1471">
        <v>0.81</v>
      </c>
      <c r="P1471">
        <v>32.21</v>
      </c>
      <c r="Q1471">
        <v>0.36</v>
      </c>
      <c r="R1471">
        <v>0.26</v>
      </c>
      <c r="S1471">
        <v>61</v>
      </c>
      <c r="T1471">
        <v>5472</v>
      </c>
      <c r="U1471">
        <v>7539</v>
      </c>
      <c r="V1471">
        <v>0</v>
      </c>
      <c r="W1471">
        <v>0</v>
      </c>
      <c r="X1471" s="10">
        <v>0.67514199770899341</v>
      </c>
      <c r="Y1471" s="9">
        <v>3015</v>
      </c>
      <c r="Z1471" s="9">
        <v>1865</v>
      </c>
      <c r="AA1471" s="9">
        <v>2905</v>
      </c>
      <c r="AB1471">
        <v>0.90434782608695652</v>
      </c>
      <c r="AC1471" s="11">
        <v>12.697415948874688</v>
      </c>
      <c r="AD1471" s="9">
        <v>1743.8954802259886</v>
      </c>
      <c r="AE1471" s="8">
        <v>0.48593350383631712</v>
      </c>
    </row>
    <row r="1472" spans="1:31" x14ac:dyDescent="0.35">
      <c r="A1472" s="6" t="s">
        <v>1493</v>
      </c>
      <c r="B1472" s="7">
        <v>12</v>
      </c>
      <c r="C1472" s="7">
        <v>2</v>
      </c>
      <c r="D1472" s="7">
        <v>2</v>
      </c>
      <c r="E1472" s="7">
        <v>2</v>
      </c>
      <c r="F1472">
        <v>10082</v>
      </c>
      <c r="G1472">
        <v>671</v>
      </c>
      <c r="H1472">
        <v>6.66</v>
      </c>
      <c r="I1472">
        <v>814</v>
      </c>
      <c r="J1472">
        <v>8.08</v>
      </c>
      <c r="K1472">
        <v>14557</v>
      </c>
      <c r="L1472">
        <v>2434</v>
      </c>
      <c r="M1472">
        <v>12124</v>
      </c>
      <c r="N1472">
        <v>2306.17</v>
      </c>
      <c r="O1472">
        <v>6.82</v>
      </c>
      <c r="P1472">
        <v>21.6</v>
      </c>
      <c r="Q1472">
        <v>1.6</v>
      </c>
      <c r="R1472">
        <v>1.74</v>
      </c>
      <c r="S1472">
        <v>7849</v>
      </c>
      <c r="T1472">
        <v>105613</v>
      </c>
      <c r="U1472">
        <v>97150</v>
      </c>
      <c r="V1472">
        <v>822</v>
      </c>
      <c r="W1472">
        <v>23.26</v>
      </c>
      <c r="X1472" s="10">
        <v>0.62934618194067227</v>
      </c>
      <c r="Y1472" s="9">
        <v>187500</v>
      </c>
      <c r="Z1472" s="9">
        <v>164000</v>
      </c>
      <c r="AA1472" s="9">
        <v>186000</v>
      </c>
      <c r="AB1472">
        <v>0.93617021276595747</v>
      </c>
      <c r="AC1472" s="11">
        <v>258.0716865796054</v>
      </c>
      <c r="AD1472" s="9">
        <v>164962.14689265538</v>
      </c>
      <c r="AE1472" s="8">
        <v>8.1395348837209308E-2</v>
      </c>
    </row>
    <row r="1473" spans="1:31" x14ac:dyDescent="0.35">
      <c r="A1473" s="6" t="s">
        <v>1494</v>
      </c>
      <c r="B1473" s="7">
        <v>0</v>
      </c>
      <c r="C1473" s="7">
        <v>0</v>
      </c>
      <c r="D1473" s="7">
        <v>0</v>
      </c>
      <c r="E1473" s="7">
        <v>18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 s="10">
        <v>0.25058229909905033</v>
      </c>
      <c r="Y1473" s="9">
        <v>95000</v>
      </c>
      <c r="Z1473" s="9">
        <v>90800</v>
      </c>
      <c r="AA1473" s="9">
        <v>93000</v>
      </c>
      <c r="AB1473">
        <v>0.52380952380952384</v>
      </c>
      <c r="AC1473" s="11">
        <v>26.776882467352042</v>
      </c>
      <c r="AD1473" s="9">
        <v>92014.971751412435</v>
      </c>
      <c r="AE1473" s="8">
        <v>-5.3475935828877002E-3</v>
      </c>
    </row>
    <row r="1474" spans="1:31" x14ac:dyDescent="0.35">
      <c r="A1474" s="6" t="s">
        <v>1495</v>
      </c>
      <c r="B1474" s="7">
        <v>3</v>
      </c>
      <c r="C1474" s="7">
        <v>7</v>
      </c>
      <c r="D1474" s="7">
        <v>1</v>
      </c>
      <c r="E1474" s="7">
        <v>7</v>
      </c>
      <c r="F1474">
        <v>178</v>
      </c>
      <c r="G1474">
        <v>64</v>
      </c>
      <c r="H1474">
        <v>35.74</v>
      </c>
      <c r="I1474">
        <v>82</v>
      </c>
      <c r="J1474">
        <v>46.15</v>
      </c>
      <c r="K1474">
        <v>6416</v>
      </c>
      <c r="L1474">
        <v>1753</v>
      </c>
      <c r="M1474">
        <v>4663</v>
      </c>
      <c r="N1474">
        <v>548.87</v>
      </c>
      <c r="O1474">
        <v>1.76</v>
      </c>
      <c r="P1474">
        <v>22.42</v>
      </c>
      <c r="Q1474">
        <v>0.48</v>
      </c>
      <c r="R1474">
        <v>11.88</v>
      </c>
      <c r="S1474">
        <v>678</v>
      </c>
      <c r="T1474">
        <v>31367</v>
      </c>
      <c r="U1474">
        <v>1279</v>
      </c>
      <c r="V1474">
        <v>0</v>
      </c>
      <c r="W1474">
        <v>0</v>
      </c>
      <c r="X1474" s="10">
        <v>2.9920148489938243E-3</v>
      </c>
      <c r="Y1474" s="9">
        <v>15700</v>
      </c>
      <c r="Z1474" s="9">
        <v>14350</v>
      </c>
      <c r="AA1474" s="9">
        <v>15000</v>
      </c>
      <c r="AB1474">
        <v>0.48148148148148145</v>
      </c>
      <c r="AC1474" s="11">
        <v>0.89469297026951933</v>
      </c>
      <c r="AD1474" s="9">
        <v>14886.045197740114</v>
      </c>
      <c r="AE1474" s="8">
        <v>-1.9607843137254902E-2</v>
      </c>
    </row>
    <row r="1475" spans="1:31" x14ac:dyDescent="0.35">
      <c r="A1475" s="6" t="s">
        <v>1496</v>
      </c>
      <c r="B1475" s="7">
        <v>0</v>
      </c>
      <c r="C1475" s="7">
        <v>0</v>
      </c>
      <c r="D1475" s="7">
        <v>0</v>
      </c>
      <c r="E1475" s="7">
        <v>18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 s="10">
        <v>4.8252191342271017E-2</v>
      </c>
      <c r="Y1475" s="9">
        <v>14300</v>
      </c>
      <c r="Z1475" s="9">
        <v>13600</v>
      </c>
      <c r="AA1475" s="9">
        <v>13800</v>
      </c>
      <c r="AB1475">
        <v>0.2857142857142857</v>
      </c>
      <c r="AC1475" s="11">
        <v>1.8755209780494582</v>
      </c>
      <c r="AD1475" s="9">
        <v>13921.129943502825</v>
      </c>
      <c r="AE1475" s="8">
        <v>-1.4285714285714285E-2</v>
      </c>
    </row>
    <row r="1476" spans="1:31" x14ac:dyDescent="0.35">
      <c r="A1476" s="6" t="s">
        <v>1497</v>
      </c>
      <c r="B1476" s="7">
        <v>6</v>
      </c>
      <c r="C1476" s="7">
        <v>0</v>
      </c>
      <c r="D1476" s="7">
        <v>12</v>
      </c>
      <c r="E1476" s="7">
        <v>0</v>
      </c>
      <c r="F1476">
        <v>4519</v>
      </c>
      <c r="G1476">
        <v>144</v>
      </c>
      <c r="H1476">
        <v>3.18</v>
      </c>
      <c r="I1476">
        <v>91</v>
      </c>
      <c r="J1476">
        <v>2</v>
      </c>
      <c r="K1476">
        <v>5662</v>
      </c>
      <c r="L1476">
        <v>2521</v>
      </c>
      <c r="M1476">
        <v>3141</v>
      </c>
      <c r="N1476">
        <v>2025.71</v>
      </c>
      <c r="O1476">
        <v>2.86</v>
      </c>
      <c r="P1476">
        <v>31.64</v>
      </c>
      <c r="Q1476">
        <v>0.93</v>
      </c>
      <c r="R1476">
        <v>0.63</v>
      </c>
      <c r="S1476">
        <v>365</v>
      </c>
      <c r="T1476">
        <v>12389</v>
      </c>
      <c r="U1476">
        <v>18223</v>
      </c>
      <c r="V1476">
        <v>353</v>
      </c>
      <c r="W1476">
        <v>11.75</v>
      </c>
      <c r="X1476" s="10">
        <v>0.38816385434207384</v>
      </c>
      <c r="Y1476" s="9">
        <v>12050</v>
      </c>
      <c r="Z1476" s="9">
        <v>10450</v>
      </c>
      <c r="AA1476" s="9">
        <v>11500</v>
      </c>
      <c r="AB1476">
        <v>0.65625</v>
      </c>
      <c r="AC1476" s="11">
        <v>13.671853292581272</v>
      </c>
      <c r="AD1476" s="9">
        <v>10972.175141242937</v>
      </c>
      <c r="AE1476" s="8">
        <v>-2.9535864978902954E-2</v>
      </c>
    </row>
    <row r="1477" spans="1:31" x14ac:dyDescent="0.35">
      <c r="A1477" s="6" t="s">
        <v>1498</v>
      </c>
      <c r="B1477" s="7">
        <v>4</v>
      </c>
      <c r="C1477" s="7">
        <v>2</v>
      </c>
      <c r="D1477" s="7">
        <v>6</v>
      </c>
      <c r="E1477" s="7">
        <v>6</v>
      </c>
      <c r="F1477">
        <v>1596</v>
      </c>
      <c r="G1477">
        <v>47</v>
      </c>
      <c r="H1477">
        <v>2.96</v>
      </c>
      <c r="I1477">
        <v>1</v>
      </c>
      <c r="J1477">
        <v>0.06</v>
      </c>
      <c r="K1477">
        <v>2290</v>
      </c>
      <c r="L1477">
        <v>1412</v>
      </c>
      <c r="M1477">
        <v>878</v>
      </c>
      <c r="N1477">
        <v>87.96</v>
      </c>
      <c r="O1477">
        <v>0.11</v>
      </c>
      <c r="P1477">
        <v>1322.73</v>
      </c>
      <c r="Q1477">
        <v>1.57</v>
      </c>
      <c r="R1477">
        <v>0.84</v>
      </c>
      <c r="S1477">
        <v>11</v>
      </c>
      <c r="T1477">
        <v>9278</v>
      </c>
      <c r="U1477">
        <v>17347</v>
      </c>
      <c r="V1477">
        <v>61</v>
      </c>
      <c r="W1477">
        <v>36.5</v>
      </c>
      <c r="X1477" s="10">
        <v>0.87358399176840285</v>
      </c>
      <c r="Y1477" s="9">
        <v>27450</v>
      </c>
      <c r="Z1477" s="9">
        <v>12800</v>
      </c>
      <c r="AA1477" s="9">
        <v>26000</v>
      </c>
      <c r="AB1477">
        <v>0.90102389078498291</v>
      </c>
      <c r="AC1477" s="11">
        <v>198.54542928591277</v>
      </c>
      <c r="AD1477" s="9">
        <v>12133.531073446327</v>
      </c>
      <c r="AE1477" s="8">
        <v>0.81184668989547037</v>
      </c>
    </row>
    <row r="1478" spans="1:31" x14ac:dyDescent="0.35">
      <c r="A1478" s="6" t="s">
        <v>1499</v>
      </c>
      <c r="B1478" s="7">
        <v>0</v>
      </c>
      <c r="C1478" s="7">
        <v>5</v>
      </c>
      <c r="D1478" s="7">
        <v>1</v>
      </c>
      <c r="E1478" s="7">
        <v>12</v>
      </c>
      <c r="F1478">
        <v>1572</v>
      </c>
      <c r="G1478">
        <v>-68</v>
      </c>
      <c r="H1478">
        <v>-4.34</v>
      </c>
      <c r="I1478">
        <v>-93</v>
      </c>
      <c r="J1478">
        <v>-5.89</v>
      </c>
      <c r="K1478">
        <v>2513</v>
      </c>
      <c r="L1478">
        <v>1619</v>
      </c>
      <c r="M1478">
        <v>894</v>
      </c>
      <c r="N1478">
        <v>562.66999999999996</v>
      </c>
      <c r="O1478">
        <v>-10.16</v>
      </c>
      <c r="P1478">
        <v>0</v>
      </c>
      <c r="Q1478">
        <v>0.55000000000000004</v>
      </c>
      <c r="R1478">
        <v>0.27</v>
      </c>
      <c r="S1478">
        <v>-691</v>
      </c>
      <c r="T1478">
        <v>5736</v>
      </c>
      <c r="U1478">
        <v>11727</v>
      </c>
      <c r="V1478">
        <v>-49</v>
      </c>
      <c r="W1478">
        <v>-25.04</v>
      </c>
      <c r="X1478" s="10">
        <v>0.58363622912354762</v>
      </c>
      <c r="Y1478" s="9">
        <v>4870</v>
      </c>
      <c r="Z1478" s="9">
        <v>3110</v>
      </c>
      <c r="AA1478" s="9">
        <v>4870</v>
      </c>
      <c r="AB1478">
        <v>1</v>
      </c>
      <c r="AC1478" s="11">
        <v>14.599055293136979</v>
      </c>
      <c r="AD1478" s="9">
        <v>3161.8954802259886</v>
      </c>
      <c r="AE1478" s="8">
        <v>0.56591639871382637</v>
      </c>
    </row>
    <row r="1479" spans="1:31" x14ac:dyDescent="0.35">
      <c r="A1479" s="6" t="s">
        <v>1500</v>
      </c>
      <c r="B1479" s="7">
        <v>1</v>
      </c>
      <c r="C1479" s="7">
        <v>11</v>
      </c>
      <c r="D1479" s="7">
        <v>1</v>
      </c>
      <c r="E1479" s="7">
        <v>5</v>
      </c>
      <c r="F1479">
        <v>2386</v>
      </c>
      <c r="G1479">
        <v>48</v>
      </c>
      <c r="H1479">
        <v>1.99</v>
      </c>
      <c r="I1479">
        <v>21</v>
      </c>
      <c r="J1479">
        <v>0.9</v>
      </c>
      <c r="K1479">
        <v>2750</v>
      </c>
      <c r="L1479">
        <v>1660</v>
      </c>
      <c r="M1479">
        <v>1089</v>
      </c>
      <c r="N1479">
        <v>551.41999999999996</v>
      </c>
      <c r="O1479">
        <v>1.99</v>
      </c>
      <c r="P1479">
        <v>18.12</v>
      </c>
      <c r="Q1479">
        <v>0.36</v>
      </c>
      <c r="R1479">
        <v>0.16</v>
      </c>
      <c r="S1479">
        <v>64</v>
      </c>
      <c r="T1479">
        <v>3255</v>
      </c>
      <c r="U1479">
        <v>7136</v>
      </c>
      <c r="V1479">
        <v>92</v>
      </c>
      <c r="W1479">
        <v>19.690000000000001</v>
      </c>
      <c r="X1479" s="10">
        <v>0.83081319928556974</v>
      </c>
      <c r="Y1479" s="9">
        <v>1375</v>
      </c>
      <c r="Z1479" s="9">
        <v>1130</v>
      </c>
      <c r="AA1479" s="9">
        <v>1370</v>
      </c>
      <c r="AB1479">
        <v>0.97959183673469385</v>
      </c>
      <c r="AC1479" s="11">
        <v>4.3648235621005833</v>
      </c>
      <c r="AD1479" s="9">
        <v>1116.8728813559321</v>
      </c>
      <c r="AE1479" s="8">
        <v>0.17094017094017094</v>
      </c>
    </row>
    <row r="1480" spans="1:31" x14ac:dyDescent="0.35">
      <c r="A1480" s="6" t="s">
        <v>1501</v>
      </c>
      <c r="B1480" s="7">
        <v>3</v>
      </c>
      <c r="C1480" s="7">
        <v>0</v>
      </c>
      <c r="D1480" s="7">
        <v>11</v>
      </c>
      <c r="E1480" s="7">
        <v>4</v>
      </c>
      <c r="F1480">
        <v>774</v>
      </c>
      <c r="G1480">
        <v>-6</v>
      </c>
      <c r="H1480">
        <v>-0.76</v>
      </c>
      <c r="I1480">
        <v>-119</v>
      </c>
      <c r="J1480">
        <v>-15.39</v>
      </c>
      <c r="K1480">
        <v>677</v>
      </c>
      <c r="L1480">
        <v>589</v>
      </c>
      <c r="M1480">
        <v>88</v>
      </c>
      <c r="N1480">
        <v>277.72000000000003</v>
      </c>
      <c r="O1480">
        <v>-94.17</v>
      </c>
      <c r="P1480">
        <v>0</v>
      </c>
      <c r="Q1480">
        <v>12.19</v>
      </c>
      <c r="R1480">
        <v>0.33</v>
      </c>
      <c r="S1480">
        <v>-15511</v>
      </c>
      <c r="T1480">
        <v>262</v>
      </c>
      <c r="U1480">
        <v>9821</v>
      </c>
      <c r="V1480">
        <v>28</v>
      </c>
      <c r="W1480">
        <v>24.81</v>
      </c>
      <c r="X1480" s="10">
        <v>5.1183171875244071E-2</v>
      </c>
      <c r="Y1480" s="9">
        <v>3760</v>
      </c>
      <c r="Z1480" s="9">
        <v>3060</v>
      </c>
      <c r="AA1480" s="9">
        <v>3100</v>
      </c>
      <c r="AB1480">
        <v>5.7142857142857141E-2</v>
      </c>
      <c r="AC1480" s="11">
        <v>1.8927479855515421</v>
      </c>
      <c r="AD1480" s="9">
        <v>3172.7711864406779</v>
      </c>
      <c r="AE1480" s="8">
        <v>-2.8213166144200628E-2</v>
      </c>
    </row>
    <row r="1481" spans="1:31" x14ac:dyDescent="0.35">
      <c r="A1481" s="6" t="s">
        <v>1502</v>
      </c>
      <c r="B1481" s="7">
        <v>8</v>
      </c>
      <c r="C1481" s="7">
        <v>5</v>
      </c>
      <c r="D1481" s="7">
        <v>5</v>
      </c>
      <c r="E1481" s="7">
        <v>0</v>
      </c>
      <c r="F1481">
        <v>150</v>
      </c>
      <c r="G1481">
        <v>15</v>
      </c>
      <c r="H1481">
        <v>9.84</v>
      </c>
      <c r="I1481">
        <v>10</v>
      </c>
      <c r="J1481">
        <v>6.61</v>
      </c>
      <c r="K1481">
        <v>360</v>
      </c>
      <c r="L1481">
        <v>180</v>
      </c>
      <c r="M1481">
        <v>180</v>
      </c>
      <c r="N1481">
        <v>408.04</v>
      </c>
      <c r="O1481">
        <v>7.48</v>
      </c>
      <c r="P1481">
        <v>21.23</v>
      </c>
      <c r="Q1481">
        <v>1.57</v>
      </c>
      <c r="R1481">
        <v>1.41</v>
      </c>
      <c r="S1481">
        <v>187</v>
      </c>
      <c r="T1481">
        <v>2528</v>
      </c>
      <c r="U1481">
        <v>2824</v>
      </c>
      <c r="V1481">
        <v>23</v>
      </c>
      <c r="W1481">
        <v>18.03</v>
      </c>
      <c r="X1481" s="10">
        <v>0.32221095227896429</v>
      </c>
      <c r="Y1481" s="9">
        <v>5790</v>
      </c>
      <c r="Z1481" s="9">
        <v>3945</v>
      </c>
      <c r="AA1481" s="9">
        <v>4080</v>
      </c>
      <c r="AB1481">
        <v>7.3170731707317069E-2</v>
      </c>
      <c r="AC1481" s="11">
        <v>-14.456793553764935</v>
      </c>
      <c r="AD1481" s="9">
        <v>4673.4322033898306</v>
      </c>
      <c r="AE1481" s="8">
        <v>-2.6252983293556086E-2</v>
      </c>
    </row>
    <row r="1482" spans="1:31" x14ac:dyDescent="0.35">
      <c r="A1482" s="6" t="s">
        <v>1503</v>
      </c>
      <c r="B1482" s="7">
        <v>0</v>
      </c>
      <c r="C1482" s="7">
        <v>5</v>
      </c>
      <c r="D1482" s="7">
        <v>3</v>
      </c>
      <c r="E1482" s="7">
        <v>10</v>
      </c>
      <c r="F1482">
        <v>380</v>
      </c>
      <c r="G1482">
        <v>-54</v>
      </c>
      <c r="H1482">
        <v>-14.14</v>
      </c>
      <c r="I1482">
        <v>-74</v>
      </c>
      <c r="J1482">
        <v>-19.5</v>
      </c>
      <c r="K1482">
        <v>487</v>
      </c>
      <c r="L1482">
        <v>77</v>
      </c>
      <c r="M1482">
        <v>410</v>
      </c>
      <c r="N1482">
        <v>745.91</v>
      </c>
      <c r="O1482">
        <v>-23.73</v>
      </c>
      <c r="P1482">
        <v>0</v>
      </c>
      <c r="Q1482">
        <v>1.43</v>
      </c>
      <c r="R1482">
        <v>1.03</v>
      </c>
      <c r="S1482">
        <v>-1031</v>
      </c>
      <c r="T1482">
        <v>3813</v>
      </c>
      <c r="U1482">
        <v>5288</v>
      </c>
      <c r="V1482">
        <v>-61</v>
      </c>
      <c r="W1482">
        <v>-9.11</v>
      </c>
      <c r="X1482" s="10">
        <v>0.27693378961837273</v>
      </c>
      <c r="Y1482" s="9">
        <v>5220</v>
      </c>
      <c r="Z1482" s="9">
        <v>4145</v>
      </c>
      <c r="AA1482" s="9">
        <v>4810</v>
      </c>
      <c r="AB1482">
        <v>0.61860465116279073</v>
      </c>
      <c r="AC1482" s="11">
        <v>8.7596554598499594</v>
      </c>
      <c r="AD1482" s="9">
        <v>4370.1638418079092</v>
      </c>
      <c r="AE1482" s="8">
        <v>0.13309776207302709</v>
      </c>
    </row>
    <row r="1483" spans="1:31" x14ac:dyDescent="0.35">
      <c r="A1483" s="6" t="s">
        <v>1504</v>
      </c>
      <c r="B1483" s="7">
        <v>1</v>
      </c>
      <c r="C1483" s="7">
        <v>8</v>
      </c>
      <c r="D1483" s="7">
        <v>2</v>
      </c>
      <c r="E1483" s="7">
        <v>7</v>
      </c>
      <c r="F1483">
        <v>135</v>
      </c>
      <c r="G1483">
        <v>5</v>
      </c>
      <c r="H1483">
        <v>3.35</v>
      </c>
      <c r="I1483">
        <v>-2</v>
      </c>
      <c r="J1483">
        <v>-1.49</v>
      </c>
      <c r="K1483">
        <v>96</v>
      </c>
      <c r="L1483">
        <v>53</v>
      </c>
      <c r="M1483">
        <v>42</v>
      </c>
      <c r="N1483">
        <v>145.44999999999999</v>
      </c>
      <c r="O1483">
        <v>-4.71</v>
      </c>
      <c r="P1483">
        <v>0</v>
      </c>
      <c r="Q1483">
        <v>2.4</v>
      </c>
      <c r="R1483">
        <v>0.62</v>
      </c>
      <c r="S1483">
        <v>-55</v>
      </c>
      <c r="T1483">
        <v>954</v>
      </c>
      <c r="U1483">
        <v>3708</v>
      </c>
      <c r="V1483">
        <v>8</v>
      </c>
      <c r="W1483">
        <v>13.21</v>
      </c>
      <c r="X1483" s="10">
        <v>0.83829089695731984</v>
      </c>
      <c r="Y1483" s="9">
        <v>4075</v>
      </c>
      <c r="Z1483" s="9">
        <v>2120</v>
      </c>
      <c r="AA1483" s="9">
        <v>3465</v>
      </c>
      <c r="AB1483">
        <v>0.68797953964194369</v>
      </c>
      <c r="AC1483" s="11">
        <v>28.844262295081968</v>
      </c>
      <c r="AD1483" s="9">
        <v>2080.1666666666665</v>
      </c>
      <c r="AE1483" s="8">
        <v>0.59310344827586203</v>
      </c>
    </row>
    <row r="1484" spans="1:31" x14ac:dyDescent="0.35">
      <c r="A1484" s="6" t="s">
        <v>1505</v>
      </c>
      <c r="B1484" s="7">
        <v>3</v>
      </c>
      <c r="C1484" s="7">
        <v>10</v>
      </c>
      <c r="D1484" s="7">
        <v>1</v>
      </c>
      <c r="E1484" s="7">
        <v>4</v>
      </c>
      <c r="F1484">
        <v>259</v>
      </c>
      <c r="G1484">
        <v>4</v>
      </c>
      <c r="H1484">
        <v>1.52</v>
      </c>
      <c r="I1484">
        <v>43</v>
      </c>
      <c r="J1484">
        <v>16.59</v>
      </c>
      <c r="K1484">
        <v>846</v>
      </c>
      <c r="L1484">
        <v>55</v>
      </c>
      <c r="M1484">
        <v>792</v>
      </c>
      <c r="N1484">
        <v>2538.0300000000002</v>
      </c>
      <c r="O1484">
        <v>7.45</v>
      </c>
      <c r="P1484">
        <v>12.24</v>
      </c>
      <c r="Q1484">
        <v>0.91</v>
      </c>
      <c r="R1484">
        <v>2.0299999999999998</v>
      </c>
      <c r="S1484">
        <v>956</v>
      </c>
      <c r="T1484">
        <v>12837</v>
      </c>
      <c r="U1484">
        <v>5763</v>
      </c>
      <c r="V1484">
        <v>17</v>
      </c>
      <c r="W1484">
        <v>40.590000000000003</v>
      </c>
      <c r="X1484" s="10">
        <v>0.41897757526548518</v>
      </c>
      <c r="Y1484" s="9">
        <v>13650</v>
      </c>
      <c r="Z1484" s="9">
        <v>10950</v>
      </c>
      <c r="AA1484" s="9">
        <v>12700</v>
      </c>
      <c r="AB1484">
        <v>0.64814814814814814</v>
      </c>
      <c r="AC1484" s="11">
        <v>27.367324256737984</v>
      </c>
      <c r="AD1484" s="9">
        <v>11727.796610169491</v>
      </c>
      <c r="AE1484" s="8">
        <v>8.5470085470085472E-2</v>
      </c>
    </row>
    <row r="1485" spans="1:31" x14ac:dyDescent="0.35">
      <c r="A1485" s="6" t="s">
        <v>1506</v>
      </c>
      <c r="B1485" s="7">
        <v>7</v>
      </c>
      <c r="C1485" s="7">
        <v>5</v>
      </c>
      <c r="D1485" s="7">
        <v>4</v>
      </c>
      <c r="E1485" s="7">
        <v>2</v>
      </c>
      <c r="F1485">
        <v>1075</v>
      </c>
      <c r="G1485">
        <v>209</v>
      </c>
      <c r="H1485">
        <v>19.440000000000001</v>
      </c>
      <c r="I1485">
        <v>171</v>
      </c>
      <c r="J1485">
        <v>15.87</v>
      </c>
      <c r="K1485">
        <v>1286</v>
      </c>
      <c r="L1485">
        <v>209</v>
      </c>
      <c r="M1485">
        <v>1078</v>
      </c>
      <c r="N1485">
        <v>1749.58</v>
      </c>
      <c r="O1485">
        <v>16.22</v>
      </c>
      <c r="P1485">
        <v>10.1</v>
      </c>
      <c r="Q1485">
        <v>2.09</v>
      </c>
      <c r="R1485">
        <v>1.6</v>
      </c>
      <c r="S1485">
        <v>1485</v>
      </c>
      <c r="T1485">
        <v>7184</v>
      </c>
      <c r="U1485">
        <v>9357</v>
      </c>
      <c r="V1485">
        <v>329</v>
      </c>
      <c r="W1485">
        <v>6.79</v>
      </c>
      <c r="X1485" s="10">
        <v>0.1805659745442422</v>
      </c>
      <c r="Y1485" s="9">
        <v>16800</v>
      </c>
      <c r="Z1485" s="9">
        <v>14450</v>
      </c>
      <c r="AA1485" s="9">
        <v>16700</v>
      </c>
      <c r="AB1485">
        <v>0.95744680851063835</v>
      </c>
      <c r="AC1485" s="11">
        <v>14.666574048346764</v>
      </c>
      <c r="AD1485" s="9">
        <v>15051.836158192089</v>
      </c>
      <c r="AE1485" s="8">
        <v>0.11333333333333333</v>
      </c>
    </row>
    <row r="1486" spans="1:31" x14ac:dyDescent="0.35">
      <c r="A1486" s="6" t="s">
        <v>1507</v>
      </c>
      <c r="B1486" s="7">
        <v>3</v>
      </c>
      <c r="C1486" s="7">
        <v>1</v>
      </c>
      <c r="D1486" s="7">
        <v>11</v>
      </c>
      <c r="E1486" s="7">
        <v>3</v>
      </c>
      <c r="F1486">
        <v>1450</v>
      </c>
      <c r="G1486">
        <v>203</v>
      </c>
      <c r="H1486">
        <v>14</v>
      </c>
      <c r="I1486">
        <v>153</v>
      </c>
      <c r="J1486">
        <v>10.55</v>
      </c>
      <c r="K1486">
        <v>1826</v>
      </c>
      <c r="L1486">
        <v>475</v>
      </c>
      <c r="M1486">
        <v>1351</v>
      </c>
      <c r="N1486">
        <v>2201.29</v>
      </c>
      <c r="O1486">
        <v>11.74</v>
      </c>
      <c r="P1486">
        <v>11.67</v>
      </c>
      <c r="Q1486">
        <v>1.37</v>
      </c>
      <c r="R1486">
        <v>1.23</v>
      </c>
      <c r="S1486">
        <v>1264</v>
      </c>
      <c r="T1486">
        <v>10773</v>
      </c>
      <c r="U1486">
        <v>11978</v>
      </c>
      <c r="V1486">
        <v>303</v>
      </c>
      <c r="W1486">
        <v>6</v>
      </c>
      <c r="X1486" s="10">
        <v>5.1987312511181886E-3</v>
      </c>
      <c r="Y1486" s="9">
        <v>17550</v>
      </c>
      <c r="Z1486" s="9">
        <v>13900</v>
      </c>
      <c r="AA1486" s="9">
        <v>16350</v>
      </c>
      <c r="AB1486">
        <v>0.67123287671232879</v>
      </c>
      <c r="AC1486" s="11">
        <v>4.7096415671019747</v>
      </c>
      <c r="AD1486" s="9">
        <v>15834.689265536723</v>
      </c>
      <c r="AE1486" s="8">
        <v>0.10101010101010101</v>
      </c>
    </row>
    <row r="1487" spans="1:31" x14ac:dyDescent="0.35">
      <c r="A1487" s="6" t="s">
        <v>1508</v>
      </c>
      <c r="B1487" s="7">
        <v>1</v>
      </c>
      <c r="C1487" s="7">
        <v>4</v>
      </c>
      <c r="D1487" s="7">
        <v>13</v>
      </c>
      <c r="E1487" s="7">
        <v>0</v>
      </c>
      <c r="F1487">
        <v>454</v>
      </c>
      <c r="G1487">
        <v>46</v>
      </c>
      <c r="H1487">
        <v>10.08</v>
      </c>
      <c r="I1487">
        <v>46</v>
      </c>
      <c r="J1487">
        <v>10.19</v>
      </c>
      <c r="K1487">
        <v>907</v>
      </c>
      <c r="L1487">
        <v>113</v>
      </c>
      <c r="M1487">
        <v>794</v>
      </c>
      <c r="N1487">
        <v>712.4</v>
      </c>
      <c r="O1487">
        <v>5.62</v>
      </c>
      <c r="P1487">
        <v>15.79</v>
      </c>
      <c r="Q1487">
        <v>0.97</v>
      </c>
      <c r="R1487">
        <v>1.61</v>
      </c>
      <c r="S1487">
        <v>240</v>
      </c>
      <c r="T1487">
        <v>3919</v>
      </c>
      <c r="U1487">
        <v>2352</v>
      </c>
      <c r="V1487">
        <v>56</v>
      </c>
      <c r="W1487">
        <v>13.32</v>
      </c>
      <c r="X1487" s="10">
        <v>0.40110951675505646</v>
      </c>
      <c r="Y1487" s="9">
        <v>6600</v>
      </c>
      <c r="Z1487" s="9">
        <v>3730</v>
      </c>
      <c r="AA1487" s="9">
        <v>5370</v>
      </c>
      <c r="AB1487">
        <v>0.5714285714285714</v>
      </c>
      <c r="AC1487" s="11">
        <v>27.154626285079189</v>
      </c>
      <c r="AD1487" s="9">
        <v>4662.5338983050842</v>
      </c>
      <c r="AE1487" s="8">
        <v>0.43967828418230565</v>
      </c>
    </row>
    <row r="1488" spans="1:31" x14ac:dyDescent="0.35">
      <c r="A1488" s="6" t="s">
        <v>1509</v>
      </c>
      <c r="B1488" s="7">
        <v>1</v>
      </c>
      <c r="C1488" s="7">
        <v>3</v>
      </c>
      <c r="D1488" s="7">
        <v>14</v>
      </c>
      <c r="E1488" s="7">
        <v>0</v>
      </c>
      <c r="F1488">
        <v>53</v>
      </c>
      <c r="G1488">
        <v>-30</v>
      </c>
      <c r="H1488">
        <v>-55.58</v>
      </c>
      <c r="I1488">
        <v>-33</v>
      </c>
      <c r="J1488">
        <v>-60.92</v>
      </c>
      <c r="K1488">
        <v>433</v>
      </c>
      <c r="L1488">
        <v>136</v>
      </c>
      <c r="M1488">
        <v>297</v>
      </c>
      <c r="N1488">
        <v>152.29</v>
      </c>
      <c r="O1488">
        <v>-14.13</v>
      </c>
      <c r="P1488">
        <v>0</v>
      </c>
      <c r="Q1488">
        <v>3.51</v>
      </c>
      <c r="R1488">
        <v>13.16</v>
      </c>
      <c r="S1488">
        <v>-185</v>
      </c>
      <c r="T1488">
        <v>1141</v>
      </c>
      <c r="U1488">
        <v>304</v>
      </c>
      <c r="V1488">
        <v>-37</v>
      </c>
      <c r="W1488">
        <v>-27.45</v>
      </c>
      <c r="X1488" s="10">
        <v>0.33684783024566767</v>
      </c>
      <c r="Y1488" s="9">
        <v>4990</v>
      </c>
      <c r="Z1488" s="9">
        <v>3395</v>
      </c>
      <c r="AA1488" s="9">
        <v>4230</v>
      </c>
      <c r="AB1488">
        <v>0.52351097178683381</v>
      </c>
      <c r="AC1488" s="11">
        <v>13.538482911919978</v>
      </c>
      <c r="AD1488" s="9">
        <v>3702.0762711864409</v>
      </c>
      <c r="AE1488" s="8">
        <v>0.15258855585831063</v>
      </c>
    </row>
    <row r="1489" spans="1:31" x14ac:dyDescent="0.35">
      <c r="A1489" s="6" t="s">
        <v>1510</v>
      </c>
      <c r="B1489" s="7">
        <v>4</v>
      </c>
      <c r="C1489" s="7">
        <v>1</v>
      </c>
      <c r="D1489" s="7">
        <v>10</v>
      </c>
      <c r="E1489" s="7">
        <v>3</v>
      </c>
      <c r="F1489">
        <v>4076</v>
      </c>
      <c r="G1489">
        <v>298</v>
      </c>
      <c r="H1489">
        <v>7.31</v>
      </c>
      <c r="I1489">
        <v>233</v>
      </c>
      <c r="J1489">
        <v>5.73</v>
      </c>
      <c r="K1489">
        <v>2977</v>
      </c>
      <c r="L1489">
        <v>944</v>
      </c>
      <c r="M1489">
        <v>2033</v>
      </c>
      <c r="N1489">
        <v>3235.23</v>
      </c>
      <c r="O1489">
        <v>16.11</v>
      </c>
      <c r="P1489">
        <v>5.5</v>
      </c>
      <c r="Q1489">
        <v>0.85</v>
      </c>
      <c r="R1489">
        <v>0.32</v>
      </c>
      <c r="S1489">
        <v>2553</v>
      </c>
      <c r="T1489">
        <v>16494</v>
      </c>
      <c r="U1489">
        <v>44593</v>
      </c>
      <c r="V1489">
        <v>420</v>
      </c>
      <c r="W1489">
        <v>4.08</v>
      </c>
      <c r="X1489" s="10">
        <v>0.94198515101463376</v>
      </c>
      <c r="Y1489" s="9">
        <v>21800</v>
      </c>
      <c r="Z1489" s="9">
        <v>12850</v>
      </c>
      <c r="AA1489" s="9">
        <v>21750</v>
      </c>
      <c r="AB1489">
        <v>0.994413407821229</v>
      </c>
      <c r="AC1489" s="11">
        <v>148.97054737427064</v>
      </c>
      <c r="AD1489" s="9">
        <v>12263.898305084746</v>
      </c>
      <c r="AE1489" s="8">
        <v>0.69260700389105057</v>
      </c>
    </row>
    <row r="1490" spans="1:31" x14ac:dyDescent="0.35">
      <c r="A1490" s="6" t="s">
        <v>1511</v>
      </c>
      <c r="B1490" s="7">
        <v>4</v>
      </c>
      <c r="C1490" s="7">
        <v>1</v>
      </c>
      <c r="D1490" s="7">
        <v>12</v>
      </c>
      <c r="E1490" s="7">
        <v>1</v>
      </c>
      <c r="F1490">
        <v>2606</v>
      </c>
      <c r="G1490">
        <v>13</v>
      </c>
      <c r="H1490">
        <v>0.52</v>
      </c>
      <c r="I1490">
        <v>74</v>
      </c>
      <c r="J1490">
        <v>2.86</v>
      </c>
      <c r="K1490">
        <v>2227</v>
      </c>
      <c r="L1490">
        <v>1098</v>
      </c>
      <c r="M1490">
        <v>1130</v>
      </c>
      <c r="N1490">
        <v>1348.3</v>
      </c>
      <c r="O1490">
        <v>6.77</v>
      </c>
      <c r="P1490">
        <v>9.84</v>
      </c>
      <c r="Q1490">
        <v>0.66</v>
      </c>
      <c r="R1490">
        <v>0.28000000000000003</v>
      </c>
      <c r="S1490">
        <v>477</v>
      </c>
      <c r="T1490">
        <v>7159</v>
      </c>
      <c r="U1490">
        <v>16704</v>
      </c>
      <c r="V1490">
        <v>36</v>
      </c>
      <c r="W1490">
        <v>37.06</v>
      </c>
      <c r="X1490" s="10">
        <v>0.42572039091579711</v>
      </c>
      <c r="Y1490" s="9">
        <v>8000</v>
      </c>
      <c r="Z1490" s="9">
        <v>4690</v>
      </c>
      <c r="AA1490" s="9">
        <v>6310</v>
      </c>
      <c r="AB1490">
        <v>0.48942598187311176</v>
      </c>
      <c r="AC1490" s="11">
        <v>30.530008335648791</v>
      </c>
      <c r="AD1490" s="9">
        <v>5284.5847457627115</v>
      </c>
      <c r="AE1490" s="8">
        <v>0.34541577825159914</v>
      </c>
    </row>
    <row r="1491" spans="1:31" x14ac:dyDescent="0.35">
      <c r="A1491" s="6" t="s">
        <v>1512</v>
      </c>
      <c r="B1491" s="7">
        <v>0</v>
      </c>
      <c r="C1491" s="7">
        <v>3</v>
      </c>
      <c r="D1491" s="7">
        <v>15</v>
      </c>
      <c r="E1491" s="7">
        <v>0</v>
      </c>
      <c r="F1491">
        <v>195</v>
      </c>
      <c r="G1491">
        <v>-33</v>
      </c>
      <c r="H1491">
        <v>-16.98</v>
      </c>
      <c r="I1491">
        <v>-71</v>
      </c>
      <c r="J1491">
        <v>-36.43</v>
      </c>
      <c r="K1491">
        <v>361</v>
      </c>
      <c r="L1491">
        <v>242</v>
      </c>
      <c r="M1491">
        <v>118</v>
      </c>
      <c r="N1491">
        <v>200.79</v>
      </c>
      <c r="O1491">
        <v>-45.79</v>
      </c>
      <c r="P1491">
        <v>0</v>
      </c>
      <c r="Q1491">
        <v>2.95</v>
      </c>
      <c r="R1491">
        <v>1.44</v>
      </c>
      <c r="S1491">
        <v>-807</v>
      </c>
      <c r="T1491">
        <v>1082</v>
      </c>
      <c r="U1491">
        <v>2215</v>
      </c>
      <c r="V1491">
        <v>-25</v>
      </c>
      <c r="W1491">
        <v>-16.48</v>
      </c>
      <c r="X1491" s="10">
        <v>0.13827548620569372</v>
      </c>
      <c r="Y1491" s="9">
        <v>3680</v>
      </c>
      <c r="Z1491" s="9">
        <v>3005</v>
      </c>
      <c r="AA1491" s="9">
        <v>3025</v>
      </c>
      <c r="AB1491">
        <v>2.9629629629629631E-2</v>
      </c>
      <c r="AC1491" s="11">
        <v>-3.1308696860238956</v>
      </c>
      <c r="AD1491" s="9">
        <v>3443.9915254237289</v>
      </c>
      <c r="AE1491" s="8">
        <v>6.6555740432612314E-3</v>
      </c>
    </row>
    <row r="1492" spans="1:31" x14ac:dyDescent="0.35">
      <c r="A1492" s="6" t="s">
        <v>1513</v>
      </c>
      <c r="B1492" s="7">
        <v>5</v>
      </c>
      <c r="C1492" s="7">
        <v>3</v>
      </c>
      <c r="D1492" s="7">
        <v>7</v>
      </c>
      <c r="E1492" s="7">
        <v>3</v>
      </c>
      <c r="F1492">
        <v>108382</v>
      </c>
      <c r="G1492">
        <v>6568</v>
      </c>
      <c r="H1492">
        <v>6.06</v>
      </c>
      <c r="I1492">
        <v>3148</v>
      </c>
      <c r="J1492">
        <v>2.9</v>
      </c>
      <c r="K1492">
        <v>127649</v>
      </c>
      <c r="L1492">
        <v>58566</v>
      </c>
      <c r="M1492">
        <v>69084</v>
      </c>
      <c r="N1492">
        <v>4858.3900000000003</v>
      </c>
      <c r="O1492">
        <v>4.6900000000000004</v>
      </c>
      <c r="P1492">
        <v>17.97</v>
      </c>
      <c r="Q1492">
        <v>0.83</v>
      </c>
      <c r="R1492">
        <v>0.52</v>
      </c>
      <c r="S1492">
        <v>11296</v>
      </c>
      <c r="T1492">
        <v>245744</v>
      </c>
      <c r="U1492">
        <v>388966</v>
      </c>
      <c r="V1492">
        <v>9848</v>
      </c>
      <c r="W1492">
        <v>9.02</v>
      </c>
      <c r="X1492" s="10">
        <v>0.54247216634047835</v>
      </c>
      <c r="Y1492" s="9">
        <v>242500</v>
      </c>
      <c r="Z1492" s="9">
        <v>199500</v>
      </c>
      <c r="AA1492" s="9">
        <v>240500</v>
      </c>
      <c r="AB1492">
        <v>0.95348837209302328</v>
      </c>
      <c r="AC1492" s="11">
        <v>426.29897193664908</v>
      </c>
      <c r="AD1492" s="9">
        <v>204172.88135593222</v>
      </c>
      <c r="AE1492" s="8">
        <v>0.170316301703163</v>
      </c>
    </row>
    <row r="1493" spans="1:31" x14ac:dyDescent="0.35">
      <c r="A1493" s="6" t="s">
        <v>1514</v>
      </c>
      <c r="B1493" s="7">
        <v>7</v>
      </c>
      <c r="C1493" s="7">
        <v>1</v>
      </c>
      <c r="D1493" s="7">
        <v>8</v>
      </c>
      <c r="E1493" s="7">
        <v>2</v>
      </c>
      <c r="F1493">
        <v>462</v>
      </c>
      <c r="G1493">
        <v>8</v>
      </c>
      <c r="H1493">
        <v>1.69</v>
      </c>
      <c r="I1493">
        <v>12</v>
      </c>
      <c r="J1493">
        <v>2.65</v>
      </c>
      <c r="K1493">
        <v>347</v>
      </c>
      <c r="L1493">
        <v>58</v>
      </c>
      <c r="M1493">
        <v>289</v>
      </c>
      <c r="N1493">
        <v>670.82</v>
      </c>
      <c r="O1493">
        <v>4.34</v>
      </c>
      <c r="P1493">
        <v>24.88</v>
      </c>
      <c r="Q1493">
        <v>1.17</v>
      </c>
      <c r="R1493">
        <v>0.66</v>
      </c>
      <c r="S1493">
        <v>162</v>
      </c>
      <c r="T1493">
        <v>3440</v>
      </c>
      <c r="U1493">
        <v>6121</v>
      </c>
      <c r="V1493">
        <v>28</v>
      </c>
      <c r="W1493">
        <v>10.98</v>
      </c>
      <c r="X1493" s="10">
        <v>0.59202690793427459</v>
      </c>
      <c r="Y1493" s="9">
        <v>5350</v>
      </c>
      <c r="Z1493" s="9">
        <v>3995</v>
      </c>
      <c r="AA1493" s="9">
        <v>5100</v>
      </c>
      <c r="AB1493">
        <v>0.81549815498154976</v>
      </c>
      <c r="AC1493" s="11">
        <v>15.765907196443457</v>
      </c>
      <c r="AD1493" s="9">
        <v>3968.3898305084745</v>
      </c>
      <c r="AE1493" s="8">
        <v>0.24087591240875914</v>
      </c>
    </row>
    <row r="1494" spans="1:31" x14ac:dyDescent="0.35">
      <c r="A1494" s="6" t="s">
        <v>1515</v>
      </c>
      <c r="B1494" s="7">
        <v>10</v>
      </c>
      <c r="C1494" s="7">
        <v>3</v>
      </c>
      <c r="D1494" s="7">
        <v>3</v>
      </c>
      <c r="E1494" s="7">
        <v>2</v>
      </c>
      <c r="F1494">
        <v>411</v>
      </c>
      <c r="G1494">
        <v>29</v>
      </c>
      <c r="H1494">
        <v>7.03</v>
      </c>
      <c r="I1494">
        <v>28</v>
      </c>
      <c r="J1494">
        <v>6.93</v>
      </c>
      <c r="K1494">
        <v>673</v>
      </c>
      <c r="L1494">
        <v>63</v>
      </c>
      <c r="M1494">
        <v>609</v>
      </c>
      <c r="N1494">
        <v>1283.1400000000001</v>
      </c>
      <c r="O1494">
        <v>4.78</v>
      </c>
      <c r="P1494">
        <v>10.77</v>
      </c>
      <c r="Q1494">
        <v>0.62</v>
      </c>
      <c r="R1494">
        <v>0.75</v>
      </c>
      <c r="S1494">
        <v>323</v>
      </c>
      <c r="T1494">
        <v>5583</v>
      </c>
      <c r="U1494">
        <v>4659</v>
      </c>
      <c r="V1494">
        <v>32</v>
      </c>
      <c r="W1494">
        <v>9.94</v>
      </c>
      <c r="X1494" s="10">
        <v>0.93128716784628185</v>
      </c>
      <c r="Y1494" s="9">
        <v>4430</v>
      </c>
      <c r="Z1494" s="9">
        <v>3460</v>
      </c>
      <c r="AA1494" s="9">
        <v>4430</v>
      </c>
      <c r="AB1494">
        <v>1</v>
      </c>
      <c r="AC1494" s="11">
        <v>16.592525701583771</v>
      </c>
      <c r="AD1494" s="9">
        <v>3479.8446327683614</v>
      </c>
      <c r="AE1494" s="8">
        <v>0.28034682080924855</v>
      </c>
    </row>
    <row r="1495" spans="1:31" x14ac:dyDescent="0.35">
      <c r="A1495" s="6" t="s">
        <v>1516</v>
      </c>
      <c r="B1495" s="7">
        <v>0</v>
      </c>
      <c r="C1495" s="7">
        <v>2</v>
      </c>
      <c r="D1495" s="7">
        <v>11</v>
      </c>
      <c r="E1495" s="7">
        <v>5</v>
      </c>
      <c r="F1495">
        <v>71</v>
      </c>
      <c r="G1495">
        <v>-63</v>
      </c>
      <c r="H1495">
        <v>-89.33</v>
      </c>
      <c r="I1495">
        <v>-112</v>
      </c>
      <c r="J1495">
        <v>-157.78</v>
      </c>
      <c r="K1495">
        <v>490</v>
      </c>
      <c r="L1495">
        <v>316</v>
      </c>
      <c r="M1495">
        <v>174</v>
      </c>
      <c r="N1495">
        <v>150.88999999999999</v>
      </c>
      <c r="O1495">
        <v>-56.43</v>
      </c>
      <c r="P1495">
        <v>0</v>
      </c>
      <c r="Q1495">
        <v>11.19</v>
      </c>
      <c r="R1495">
        <v>12.27</v>
      </c>
      <c r="S1495">
        <v>-833</v>
      </c>
      <c r="T1495">
        <v>579</v>
      </c>
      <c r="U1495">
        <v>528</v>
      </c>
      <c r="V1495">
        <v>-41</v>
      </c>
      <c r="W1495">
        <v>-26.31</v>
      </c>
      <c r="X1495" s="10">
        <v>0.66247827801293835</v>
      </c>
      <c r="Y1495" s="9">
        <v>8970</v>
      </c>
      <c r="Z1495" s="9">
        <v>6440</v>
      </c>
      <c r="AA1495" s="9">
        <v>7970</v>
      </c>
      <c r="AB1495">
        <v>0.60474308300395252</v>
      </c>
      <c r="AC1495" s="11">
        <v>28.79549874965268</v>
      </c>
      <c r="AD1495" s="9">
        <v>6673.2372881355932</v>
      </c>
      <c r="AE1495" s="8">
        <v>0.22427035330261136</v>
      </c>
    </row>
    <row r="1496" spans="1:31" x14ac:dyDescent="0.35">
      <c r="A1496" s="6" t="s">
        <v>1517</v>
      </c>
      <c r="B1496" s="7">
        <v>8</v>
      </c>
      <c r="C1496" s="7">
        <v>1</v>
      </c>
      <c r="D1496" s="7">
        <v>8</v>
      </c>
      <c r="E1496" s="7">
        <v>1</v>
      </c>
      <c r="F1496">
        <v>3072</v>
      </c>
      <c r="G1496">
        <v>303</v>
      </c>
      <c r="H1496">
        <v>9.85</v>
      </c>
      <c r="I1496">
        <v>276</v>
      </c>
      <c r="J1496">
        <v>9</v>
      </c>
      <c r="K1496">
        <v>3645</v>
      </c>
      <c r="L1496">
        <v>1620</v>
      </c>
      <c r="M1496">
        <v>2025</v>
      </c>
      <c r="N1496">
        <v>403.49</v>
      </c>
      <c r="O1496">
        <v>14.22</v>
      </c>
      <c r="P1496">
        <v>6.88</v>
      </c>
      <c r="Q1496">
        <v>0.98</v>
      </c>
      <c r="R1496">
        <v>0.62</v>
      </c>
      <c r="S1496">
        <v>691</v>
      </c>
      <c r="T1496">
        <v>4848</v>
      </c>
      <c r="U1496">
        <v>7677</v>
      </c>
      <c r="V1496">
        <v>364</v>
      </c>
      <c r="W1496">
        <v>7.46</v>
      </c>
      <c r="X1496" s="10">
        <v>0.81073735065324293</v>
      </c>
      <c r="Y1496" s="9">
        <v>6990</v>
      </c>
      <c r="Z1496" s="9">
        <v>4640</v>
      </c>
      <c r="AA1496" s="9">
        <v>6910</v>
      </c>
      <c r="AB1496">
        <v>0.96595744680851059</v>
      </c>
      <c r="AC1496" s="11">
        <v>31.2054737427063</v>
      </c>
      <c r="AD1496" s="9">
        <v>5146.8163841807909</v>
      </c>
      <c r="AE1496" s="8">
        <v>0.48922413793103448</v>
      </c>
    </row>
    <row r="1497" spans="1:31" x14ac:dyDescent="0.35">
      <c r="A1497" s="6" t="s">
        <v>1518</v>
      </c>
      <c r="B1497" s="7">
        <v>1</v>
      </c>
      <c r="C1497" s="7">
        <v>0</v>
      </c>
      <c r="D1497" s="7">
        <v>3</v>
      </c>
      <c r="E1497" s="7">
        <v>14</v>
      </c>
      <c r="F1497">
        <v>14760</v>
      </c>
      <c r="G1497">
        <v>62</v>
      </c>
      <c r="H1497">
        <v>0.42</v>
      </c>
      <c r="I1497">
        <v>-9</v>
      </c>
      <c r="J1497">
        <v>-0.06</v>
      </c>
      <c r="K1497">
        <v>9757</v>
      </c>
      <c r="L1497">
        <v>4102</v>
      </c>
      <c r="M1497">
        <v>5655</v>
      </c>
      <c r="N1497">
        <v>653.29</v>
      </c>
      <c r="O1497">
        <v>-0.16</v>
      </c>
      <c r="P1497">
        <v>0</v>
      </c>
      <c r="Q1497">
        <v>0.25</v>
      </c>
      <c r="R1497">
        <v>0.09</v>
      </c>
      <c r="S1497">
        <v>-62</v>
      </c>
      <c r="T1497">
        <v>36565</v>
      </c>
      <c r="U1497">
        <v>99834</v>
      </c>
      <c r="V1497">
        <v>136</v>
      </c>
      <c r="W1497">
        <v>34.69</v>
      </c>
      <c r="X1497" s="10">
        <v>0.27810895410654168</v>
      </c>
      <c r="Y1497" s="9">
        <v>10400</v>
      </c>
      <c r="Z1497" s="9">
        <v>8030</v>
      </c>
      <c r="AA1497" s="9">
        <v>10400</v>
      </c>
      <c r="AB1497">
        <v>1</v>
      </c>
      <c r="AC1497" s="11">
        <v>12.74909697138094</v>
      </c>
      <c r="AD1497" s="9">
        <v>8446.4858757062157</v>
      </c>
      <c r="AE1497" s="8">
        <v>0.13661202185792351</v>
      </c>
    </row>
    <row r="1498" spans="1:31" x14ac:dyDescent="0.35">
      <c r="A1498" s="6" t="s">
        <v>1519</v>
      </c>
      <c r="B1498" s="7">
        <v>1</v>
      </c>
      <c r="C1498" s="7">
        <v>1</v>
      </c>
      <c r="D1498" s="7">
        <v>15</v>
      </c>
      <c r="E1498" s="7">
        <v>1</v>
      </c>
      <c r="F1498">
        <v>73</v>
      </c>
      <c r="G1498">
        <v>-27</v>
      </c>
      <c r="H1498">
        <v>-37.35</v>
      </c>
      <c r="I1498">
        <v>-27</v>
      </c>
      <c r="J1498">
        <v>-37.65</v>
      </c>
      <c r="K1498">
        <v>706</v>
      </c>
      <c r="L1498">
        <v>194</v>
      </c>
      <c r="M1498">
        <v>512</v>
      </c>
      <c r="N1498">
        <v>146.61000000000001</v>
      </c>
      <c r="O1498">
        <v>-5.21</v>
      </c>
      <c r="P1498">
        <v>0</v>
      </c>
      <c r="Q1498">
        <v>1.89</v>
      </c>
      <c r="R1498">
        <v>11.79</v>
      </c>
      <c r="S1498">
        <v>-70</v>
      </c>
      <c r="T1498">
        <v>1168</v>
      </c>
      <c r="U1498">
        <v>187</v>
      </c>
      <c r="V1498">
        <v>-19</v>
      </c>
      <c r="W1498">
        <v>-54.82</v>
      </c>
      <c r="X1498" s="10">
        <v>0.34017412088500865</v>
      </c>
      <c r="Y1498" s="9">
        <v>3035</v>
      </c>
      <c r="Z1498" s="9">
        <v>2205</v>
      </c>
      <c r="AA1498" s="9">
        <v>2625</v>
      </c>
      <c r="AB1498">
        <v>0.50602409638554213</v>
      </c>
      <c r="AC1498" s="11">
        <v>5.4280355654348433</v>
      </c>
      <c r="AD1498" s="9">
        <v>2458.861581920904</v>
      </c>
      <c r="AE1498" s="8">
        <v>0.1797752808988764</v>
      </c>
    </row>
    <row r="1499" spans="1:31" x14ac:dyDescent="0.35">
      <c r="A1499" s="6" t="s">
        <v>1520</v>
      </c>
      <c r="B1499" s="7">
        <v>0</v>
      </c>
      <c r="C1499" s="7">
        <v>14</v>
      </c>
      <c r="D1499" s="7">
        <v>1</v>
      </c>
      <c r="E1499" s="7">
        <v>3</v>
      </c>
      <c r="F1499">
        <v>251</v>
      </c>
      <c r="G1499">
        <v>-5</v>
      </c>
      <c r="H1499">
        <v>-2.04</v>
      </c>
      <c r="I1499">
        <v>2</v>
      </c>
      <c r="J1499">
        <v>0.68</v>
      </c>
      <c r="K1499">
        <v>852</v>
      </c>
      <c r="L1499">
        <v>430</v>
      </c>
      <c r="M1499">
        <v>421</v>
      </c>
      <c r="N1499">
        <v>1608.59</v>
      </c>
      <c r="O1499">
        <v>0.42</v>
      </c>
      <c r="P1499">
        <v>612.5</v>
      </c>
      <c r="Q1499">
        <v>2.72</v>
      </c>
      <c r="R1499">
        <v>4.12</v>
      </c>
      <c r="S1499">
        <v>36</v>
      </c>
      <c r="T1499">
        <v>8121</v>
      </c>
      <c r="U1499">
        <v>5351</v>
      </c>
      <c r="V1499">
        <v>15</v>
      </c>
      <c r="W1499">
        <v>81.19</v>
      </c>
      <c r="X1499" s="10">
        <v>0.38408701713579085</v>
      </c>
      <c r="Y1499" s="9">
        <v>48350</v>
      </c>
      <c r="Z1499" s="9">
        <v>21400</v>
      </c>
      <c r="AA1499" s="9">
        <v>47050</v>
      </c>
      <c r="AB1499">
        <v>0.95176252319109467</v>
      </c>
      <c r="AC1499" s="11">
        <v>248.93025840511254</v>
      </c>
      <c r="AD1499" s="9">
        <v>28620.960451977404</v>
      </c>
      <c r="AE1499" s="8">
        <v>1.1386363636363637</v>
      </c>
    </row>
    <row r="1500" spans="1:31" x14ac:dyDescent="0.35">
      <c r="A1500" s="6" t="s">
        <v>1521</v>
      </c>
      <c r="B1500" s="7">
        <v>0</v>
      </c>
      <c r="C1500" s="7">
        <v>0</v>
      </c>
      <c r="D1500" s="7">
        <v>0</v>
      </c>
      <c r="E1500" s="7">
        <v>18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 s="10">
        <v>9.6153048204232122E-2</v>
      </c>
      <c r="Y1500" s="9">
        <v>2825</v>
      </c>
      <c r="Z1500" s="9">
        <v>1565</v>
      </c>
      <c r="AA1500" s="9">
        <v>1880</v>
      </c>
      <c r="AB1500">
        <v>0.25</v>
      </c>
      <c r="AC1500" s="11">
        <v>5.8974715198666292</v>
      </c>
      <c r="AD1500" s="9">
        <v>1725.4604519774011</v>
      </c>
      <c r="AE1500" s="8">
        <v>-0.2932330827067669</v>
      </c>
    </row>
    <row r="1501" spans="1:31" x14ac:dyDescent="0.35">
      <c r="A1501" s="6" t="s">
        <v>1522</v>
      </c>
      <c r="B1501" s="7">
        <v>8</v>
      </c>
      <c r="C1501" s="7">
        <v>2</v>
      </c>
      <c r="D1501" s="7">
        <v>7</v>
      </c>
      <c r="E1501" s="7">
        <v>1</v>
      </c>
      <c r="F1501">
        <v>450</v>
      </c>
      <c r="G1501">
        <v>30</v>
      </c>
      <c r="H1501">
        <v>6.6</v>
      </c>
      <c r="I1501">
        <v>31</v>
      </c>
      <c r="J1501">
        <v>6.91</v>
      </c>
      <c r="K1501">
        <v>495</v>
      </c>
      <c r="L1501">
        <v>144</v>
      </c>
      <c r="M1501">
        <v>351</v>
      </c>
      <c r="N1501">
        <v>895.39</v>
      </c>
      <c r="O1501">
        <v>12.14</v>
      </c>
      <c r="P1501">
        <v>8.2200000000000006</v>
      </c>
      <c r="Q1501">
        <v>1.21</v>
      </c>
      <c r="R1501">
        <v>0.56999999999999995</v>
      </c>
      <c r="S1501">
        <v>629</v>
      </c>
      <c r="T1501">
        <v>4269</v>
      </c>
      <c r="U1501">
        <v>9108</v>
      </c>
      <c r="V1501">
        <v>52</v>
      </c>
      <c r="W1501">
        <v>7.45</v>
      </c>
      <c r="X1501" s="10">
        <v>0.11467964845528311</v>
      </c>
      <c r="Y1501" s="9">
        <v>5440</v>
      </c>
      <c r="Z1501" s="9">
        <v>5000</v>
      </c>
      <c r="AA1501" s="9">
        <v>5300</v>
      </c>
      <c r="AB1501">
        <v>0.68181818181818177</v>
      </c>
      <c r="AC1501" s="11">
        <v>2.4256737982772991</v>
      </c>
      <c r="AD1501" s="9">
        <v>5190.3502824858751</v>
      </c>
      <c r="AE1501" s="8">
        <v>0.06</v>
      </c>
    </row>
    <row r="1502" spans="1:31" x14ac:dyDescent="0.35">
      <c r="A1502" s="6" t="s">
        <v>1523</v>
      </c>
      <c r="B1502" s="7">
        <v>7</v>
      </c>
      <c r="C1502" s="7">
        <v>4</v>
      </c>
      <c r="D1502" s="7">
        <v>3</v>
      </c>
      <c r="E1502" s="7">
        <v>4</v>
      </c>
      <c r="F1502">
        <v>90</v>
      </c>
      <c r="G1502">
        <v>3</v>
      </c>
      <c r="H1502">
        <v>3.19</v>
      </c>
      <c r="I1502">
        <v>-2</v>
      </c>
      <c r="J1502">
        <v>-2.2000000000000002</v>
      </c>
      <c r="K1502">
        <v>127</v>
      </c>
      <c r="L1502">
        <v>54</v>
      </c>
      <c r="M1502">
        <v>72</v>
      </c>
      <c r="N1502">
        <v>-10.47</v>
      </c>
      <c r="O1502">
        <v>-3.83</v>
      </c>
      <c r="P1502">
        <v>0</v>
      </c>
      <c r="Q1502">
        <v>1.51</v>
      </c>
      <c r="R1502">
        <v>0.83</v>
      </c>
      <c r="S1502">
        <v>-17</v>
      </c>
      <c r="T1502">
        <v>443</v>
      </c>
      <c r="U1502">
        <v>807</v>
      </c>
      <c r="V1502">
        <v>5</v>
      </c>
      <c r="W1502">
        <v>23.69</v>
      </c>
      <c r="X1502" s="10">
        <v>0.79438289512802318</v>
      </c>
      <c r="Y1502" s="9">
        <v>1275</v>
      </c>
      <c r="Z1502" s="9">
        <v>760</v>
      </c>
      <c r="AA1502" s="9">
        <v>1120</v>
      </c>
      <c r="AB1502">
        <v>0.69902912621359226</v>
      </c>
      <c r="AC1502" s="11">
        <v>8.256015559877742</v>
      </c>
      <c r="AD1502" s="9">
        <v>721.2581920903956</v>
      </c>
      <c r="AE1502" s="8">
        <v>0.3413173652694611</v>
      </c>
    </row>
    <row r="1503" spans="1:31" x14ac:dyDescent="0.35">
      <c r="A1503" s="6" t="s">
        <v>1524</v>
      </c>
      <c r="B1503" s="7">
        <v>4</v>
      </c>
      <c r="C1503" s="7">
        <v>8</v>
      </c>
      <c r="D1503" s="7">
        <v>1</v>
      </c>
      <c r="E1503" s="7">
        <v>5</v>
      </c>
      <c r="F1503">
        <v>2232</v>
      </c>
      <c r="G1503">
        <v>188</v>
      </c>
      <c r="H1503">
        <v>8.4</v>
      </c>
      <c r="I1503">
        <v>141</v>
      </c>
      <c r="J1503">
        <v>6.32</v>
      </c>
      <c r="K1503">
        <v>1692</v>
      </c>
      <c r="L1503">
        <v>495</v>
      </c>
      <c r="M1503">
        <v>1197</v>
      </c>
      <c r="N1503">
        <v>1612.35</v>
      </c>
      <c r="O1503">
        <v>12.48</v>
      </c>
      <c r="P1503">
        <v>6.56</v>
      </c>
      <c r="Q1503">
        <v>0.82</v>
      </c>
      <c r="R1503">
        <v>0.41</v>
      </c>
      <c r="S1503">
        <v>1007</v>
      </c>
      <c r="T1503">
        <v>8076</v>
      </c>
      <c r="U1503">
        <v>15946</v>
      </c>
      <c r="V1503">
        <v>285</v>
      </c>
      <c r="W1503">
        <v>3.8</v>
      </c>
      <c r="X1503" s="10">
        <v>0.881200412852846</v>
      </c>
      <c r="Y1503" s="9">
        <v>14700</v>
      </c>
      <c r="Z1503" s="9">
        <v>6530</v>
      </c>
      <c r="AA1503" s="9">
        <v>13000</v>
      </c>
      <c r="AB1503">
        <v>0.79192166462668301</v>
      </c>
      <c r="AC1503" s="11">
        <v>132.46262850791888</v>
      </c>
      <c r="AD1503" s="9">
        <v>5526.7231638418079</v>
      </c>
      <c r="AE1503" s="8">
        <v>0.99081163859111787</v>
      </c>
    </row>
    <row r="1504" spans="1:31" x14ac:dyDescent="0.35">
      <c r="A1504" s="6" t="s">
        <v>1525</v>
      </c>
      <c r="B1504" s="7">
        <v>1</v>
      </c>
      <c r="C1504" s="7">
        <v>10</v>
      </c>
      <c r="D1504" s="7">
        <v>4</v>
      </c>
      <c r="E1504" s="7">
        <v>3</v>
      </c>
      <c r="F1504">
        <v>2666</v>
      </c>
      <c r="G1504">
        <v>51</v>
      </c>
      <c r="H1504">
        <v>1.9</v>
      </c>
      <c r="I1504">
        <v>-11</v>
      </c>
      <c r="J1504">
        <v>-0.42</v>
      </c>
      <c r="K1504">
        <v>3220</v>
      </c>
      <c r="L1504">
        <v>1969</v>
      </c>
      <c r="M1504">
        <v>1251</v>
      </c>
      <c r="N1504">
        <v>1322.14</v>
      </c>
      <c r="O1504">
        <v>-1.24</v>
      </c>
      <c r="P1504">
        <v>0</v>
      </c>
      <c r="Q1504">
        <v>0.46</v>
      </c>
      <c r="R1504">
        <v>0.16</v>
      </c>
      <c r="S1504">
        <v>-85</v>
      </c>
      <c r="T1504">
        <v>6970</v>
      </c>
      <c r="U1504">
        <v>20212</v>
      </c>
      <c r="V1504">
        <v>207</v>
      </c>
      <c r="W1504">
        <v>9.99</v>
      </c>
      <c r="X1504" s="10">
        <v>0.10876325286943811</v>
      </c>
      <c r="Y1504" s="9">
        <v>5540</v>
      </c>
      <c r="Z1504" s="9">
        <v>4535</v>
      </c>
      <c r="AA1504" s="9">
        <v>4655</v>
      </c>
      <c r="AB1504">
        <v>0.11940298507462686</v>
      </c>
      <c r="AC1504" s="11">
        <v>4.4865240344540158</v>
      </c>
      <c r="AD1504" s="9">
        <v>4862.9943502824854</v>
      </c>
      <c r="AE1504" s="8">
        <v>-9.5744680851063829E-3</v>
      </c>
    </row>
    <row r="1505" spans="1:31" x14ac:dyDescent="0.35">
      <c r="A1505" s="6" t="s">
        <v>1526</v>
      </c>
      <c r="B1505" s="7">
        <v>5</v>
      </c>
      <c r="C1505" s="7">
        <v>0</v>
      </c>
      <c r="D1505" s="7">
        <v>2</v>
      </c>
      <c r="E1505" s="7">
        <v>11</v>
      </c>
      <c r="F1505">
        <v>143</v>
      </c>
      <c r="G1505">
        <v>7</v>
      </c>
      <c r="H1505">
        <v>4.92</v>
      </c>
      <c r="I1505">
        <v>7</v>
      </c>
      <c r="J1505">
        <v>4.79</v>
      </c>
      <c r="K1505">
        <v>506</v>
      </c>
      <c r="L1505">
        <v>175</v>
      </c>
      <c r="M1505">
        <v>331</v>
      </c>
      <c r="N1505">
        <v>1165.1099999999999</v>
      </c>
      <c r="O1505">
        <v>2.82</v>
      </c>
      <c r="P1505">
        <v>37.79</v>
      </c>
      <c r="Q1505">
        <v>1.0900000000000001</v>
      </c>
      <c r="R1505">
        <v>0</v>
      </c>
      <c r="S1505">
        <v>172</v>
      </c>
      <c r="T1505">
        <v>5985</v>
      </c>
      <c r="U1505">
        <v>0</v>
      </c>
      <c r="V1505">
        <v>13</v>
      </c>
      <c r="W1505">
        <v>27.73</v>
      </c>
      <c r="X1505" s="10">
        <v>0.68107039909537326</v>
      </c>
      <c r="Y1505" s="9">
        <v>6630</v>
      </c>
      <c r="Z1505" s="9">
        <v>5590</v>
      </c>
      <c r="AA1505" s="9">
        <v>6340</v>
      </c>
      <c r="AB1505">
        <v>0.72115384615384615</v>
      </c>
      <c r="AC1505" s="11">
        <v>12.232286746318422</v>
      </c>
      <c r="AD1505" s="9">
        <v>5770.9152542372885</v>
      </c>
      <c r="AE1505" s="8">
        <v>5.3156146179401995E-2</v>
      </c>
    </row>
    <row r="1506" spans="1:31" x14ac:dyDescent="0.35">
      <c r="A1506" s="6" t="s">
        <v>1527</v>
      </c>
      <c r="B1506" s="7">
        <v>5</v>
      </c>
      <c r="C1506" s="7">
        <v>3</v>
      </c>
      <c r="D1506" s="7">
        <v>3</v>
      </c>
      <c r="E1506" s="7">
        <v>7</v>
      </c>
      <c r="F1506">
        <v>1105</v>
      </c>
      <c r="G1506">
        <v>28</v>
      </c>
      <c r="H1506">
        <v>2.56</v>
      </c>
      <c r="I1506">
        <v>6</v>
      </c>
      <c r="J1506">
        <v>0.57999999999999996</v>
      </c>
      <c r="K1506">
        <v>1627</v>
      </c>
      <c r="L1506">
        <v>1018</v>
      </c>
      <c r="M1506">
        <v>609</v>
      </c>
      <c r="N1506">
        <v>468.64</v>
      </c>
      <c r="O1506">
        <v>1.07</v>
      </c>
      <c r="P1506">
        <v>161</v>
      </c>
      <c r="Q1506">
        <v>1.98</v>
      </c>
      <c r="R1506">
        <v>0.94</v>
      </c>
      <c r="S1506">
        <v>30</v>
      </c>
      <c r="T1506">
        <v>2445</v>
      </c>
      <c r="U1506">
        <v>5159</v>
      </c>
      <c r="V1506">
        <v>75</v>
      </c>
      <c r="W1506">
        <v>23.61</v>
      </c>
      <c r="X1506" s="10">
        <v>0.52979352951386571</v>
      </c>
      <c r="Y1506" s="9">
        <v>5600</v>
      </c>
      <c r="Z1506" s="9">
        <v>4720</v>
      </c>
      <c r="AA1506" s="9">
        <v>5200</v>
      </c>
      <c r="AB1506">
        <v>0.54545454545454541</v>
      </c>
      <c r="AC1506" s="11">
        <v>9.7145040288969167</v>
      </c>
      <c r="AD1506" s="9">
        <v>4807.4576271186443</v>
      </c>
      <c r="AE1506" s="8">
        <v>8.2206035379812692E-2</v>
      </c>
    </row>
    <row r="1507" spans="1:31" x14ac:dyDescent="0.35">
      <c r="A1507" s="6" t="s">
        <v>1528</v>
      </c>
      <c r="B1507" s="7">
        <v>4</v>
      </c>
      <c r="C1507" s="7">
        <v>3</v>
      </c>
      <c r="D1507" s="7">
        <v>6</v>
      </c>
      <c r="E1507" s="7">
        <v>5</v>
      </c>
      <c r="F1507">
        <v>969</v>
      </c>
      <c r="G1507">
        <v>38</v>
      </c>
      <c r="H1507">
        <v>3.91</v>
      </c>
      <c r="I1507">
        <v>96</v>
      </c>
      <c r="J1507">
        <v>9.9499999999999993</v>
      </c>
      <c r="K1507">
        <v>1223</v>
      </c>
      <c r="L1507">
        <v>390</v>
      </c>
      <c r="M1507">
        <v>833</v>
      </c>
      <c r="N1507">
        <v>1123.0899999999999</v>
      </c>
      <c r="O1507">
        <v>16.48</v>
      </c>
      <c r="P1507">
        <v>8.24</v>
      </c>
      <c r="Q1507">
        <v>1.3</v>
      </c>
      <c r="R1507">
        <v>0.82</v>
      </c>
      <c r="S1507">
        <v>947</v>
      </c>
      <c r="T1507">
        <v>6021</v>
      </c>
      <c r="U1507">
        <v>9524</v>
      </c>
      <c r="V1507">
        <v>67</v>
      </c>
      <c r="W1507">
        <v>15.84</v>
      </c>
      <c r="X1507" s="10">
        <v>0.51205576460488378</v>
      </c>
      <c r="Y1507" s="9">
        <v>15600</v>
      </c>
      <c r="Z1507" s="9">
        <v>11150</v>
      </c>
      <c r="AA1507" s="9">
        <v>15600</v>
      </c>
      <c r="AB1507">
        <v>1</v>
      </c>
      <c r="AC1507" s="11">
        <v>40.73214781883857</v>
      </c>
      <c r="AD1507" s="9">
        <v>11393.502824858757</v>
      </c>
      <c r="AE1507" s="8">
        <v>0.39285714285714285</v>
      </c>
    </row>
    <row r="1508" spans="1:31" x14ac:dyDescent="0.35">
      <c r="A1508" s="6" t="s">
        <v>1529</v>
      </c>
      <c r="B1508" s="7">
        <v>8</v>
      </c>
      <c r="C1508" s="7">
        <v>5</v>
      </c>
      <c r="D1508" s="7">
        <v>1</v>
      </c>
      <c r="E1508" s="7">
        <v>4</v>
      </c>
      <c r="F1508">
        <v>1121</v>
      </c>
      <c r="G1508">
        <v>167</v>
      </c>
      <c r="H1508">
        <v>14.92</v>
      </c>
      <c r="I1508">
        <v>116</v>
      </c>
      <c r="J1508">
        <v>10.34</v>
      </c>
      <c r="K1508">
        <v>1912</v>
      </c>
      <c r="L1508">
        <v>357</v>
      </c>
      <c r="M1508">
        <v>1555</v>
      </c>
      <c r="N1508">
        <v>2310.94</v>
      </c>
      <c r="O1508">
        <v>7.84</v>
      </c>
      <c r="P1508">
        <v>23.25</v>
      </c>
      <c r="Q1508">
        <v>1.92</v>
      </c>
      <c r="R1508">
        <v>2.4</v>
      </c>
      <c r="S1508">
        <v>899</v>
      </c>
      <c r="T1508">
        <v>10899</v>
      </c>
      <c r="U1508">
        <v>8691</v>
      </c>
      <c r="V1508">
        <v>186</v>
      </c>
      <c r="W1508">
        <v>14.51</v>
      </c>
      <c r="X1508" s="10">
        <v>0.48119157671005808</v>
      </c>
      <c r="Y1508" s="9">
        <v>26500</v>
      </c>
      <c r="Z1508" s="9">
        <v>19150</v>
      </c>
      <c r="AA1508" s="9">
        <v>25150</v>
      </c>
      <c r="AB1508">
        <v>0.81632653061224492</v>
      </c>
      <c r="AC1508" s="11">
        <v>75.222283967768831</v>
      </c>
      <c r="AD1508" s="9">
        <v>19391.553672316382</v>
      </c>
      <c r="AE1508" s="8">
        <v>0.22982885085574573</v>
      </c>
    </row>
    <row r="1509" spans="1:31" x14ac:dyDescent="0.35">
      <c r="A1509" s="6" t="s">
        <v>1530</v>
      </c>
      <c r="B1509" s="7">
        <v>15</v>
      </c>
      <c r="C1509" s="7">
        <v>2</v>
      </c>
      <c r="D1509" s="7">
        <v>1</v>
      </c>
      <c r="E1509" s="7">
        <v>0</v>
      </c>
      <c r="F1509">
        <v>2732</v>
      </c>
      <c r="G1509">
        <v>516</v>
      </c>
      <c r="H1509">
        <v>18.89</v>
      </c>
      <c r="I1509">
        <v>441</v>
      </c>
      <c r="J1509">
        <v>16.12</v>
      </c>
      <c r="K1509">
        <v>3584</v>
      </c>
      <c r="L1509">
        <v>827</v>
      </c>
      <c r="M1509">
        <v>2757</v>
      </c>
      <c r="N1509">
        <v>4394.54</v>
      </c>
      <c r="O1509">
        <v>17.36</v>
      </c>
      <c r="P1509">
        <v>34.81</v>
      </c>
      <c r="Q1509">
        <v>5.65</v>
      </c>
      <c r="R1509">
        <v>5.61</v>
      </c>
      <c r="S1509">
        <v>3600</v>
      </c>
      <c r="T1509">
        <v>22165</v>
      </c>
      <c r="U1509">
        <v>22323</v>
      </c>
      <c r="V1509">
        <v>549</v>
      </c>
      <c r="W1509">
        <v>28</v>
      </c>
      <c r="X1509" s="10">
        <v>8.4400786674597411E-2</v>
      </c>
      <c r="Y1509" s="9">
        <v>151000</v>
      </c>
      <c r="Z1509" s="9">
        <v>120100</v>
      </c>
      <c r="AA1509" s="9">
        <v>130600</v>
      </c>
      <c r="AB1509">
        <v>0.33980582524271846</v>
      </c>
      <c r="AC1509" s="11">
        <v>129.14976382328425</v>
      </c>
      <c r="AD1509" s="9">
        <v>128735.93220338984</v>
      </c>
      <c r="AE1509" s="8">
        <v>6.1788617886178863E-2</v>
      </c>
    </row>
    <row r="1510" spans="1:31" x14ac:dyDescent="0.35">
      <c r="A1510" s="6" t="s">
        <v>1531</v>
      </c>
      <c r="B1510" s="7">
        <v>4</v>
      </c>
      <c r="C1510" s="7">
        <v>12</v>
      </c>
      <c r="D1510" s="7">
        <v>2</v>
      </c>
      <c r="E1510" s="7">
        <v>0</v>
      </c>
      <c r="F1510">
        <v>235</v>
      </c>
      <c r="G1510">
        <v>3</v>
      </c>
      <c r="H1510">
        <v>1.17</v>
      </c>
      <c r="I1510">
        <v>0</v>
      </c>
      <c r="J1510">
        <v>0.04</v>
      </c>
      <c r="K1510">
        <v>286</v>
      </c>
      <c r="L1510">
        <v>155</v>
      </c>
      <c r="M1510">
        <v>131</v>
      </c>
      <c r="N1510">
        <v>109.5</v>
      </c>
      <c r="O1510">
        <v>0.09</v>
      </c>
      <c r="P1510">
        <v>2285</v>
      </c>
      <c r="Q1510">
        <v>2.34</v>
      </c>
      <c r="R1510">
        <v>0.92</v>
      </c>
      <c r="S1510">
        <v>1</v>
      </c>
      <c r="T1510">
        <v>975</v>
      </c>
      <c r="U1510">
        <v>2497</v>
      </c>
      <c r="V1510">
        <v>15</v>
      </c>
      <c r="W1510">
        <v>22.88</v>
      </c>
      <c r="X1510" s="10">
        <v>0.64381052703175279</v>
      </c>
      <c r="Y1510" s="9">
        <v>2075</v>
      </c>
      <c r="Z1510" s="9">
        <v>1520</v>
      </c>
      <c r="AA1510" s="9">
        <v>1980</v>
      </c>
      <c r="AB1510">
        <v>0.8288288288288288</v>
      </c>
      <c r="AC1510" s="11">
        <v>5.8052236732425664</v>
      </c>
      <c r="AD1510" s="9">
        <v>1588.774011299435</v>
      </c>
      <c r="AE1510" s="8">
        <v>0.13142857142857142</v>
      </c>
    </row>
    <row r="1511" spans="1:31" x14ac:dyDescent="0.35">
      <c r="A1511" s="6" t="s">
        <v>1532</v>
      </c>
      <c r="B1511" s="7">
        <v>2</v>
      </c>
      <c r="C1511" s="7">
        <v>8</v>
      </c>
      <c r="D1511" s="7">
        <v>1</v>
      </c>
      <c r="E1511" s="7">
        <v>7</v>
      </c>
      <c r="F1511">
        <v>163</v>
      </c>
      <c r="G1511">
        <v>-28</v>
      </c>
      <c r="H1511">
        <v>-17.329999999999998</v>
      </c>
      <c r="I1511">
        <v>-40</v>
      </c>
      <c r="J1511">
        <v>-24.38</v>
      </c>
      <c r="K1511">
        <v>1768</v>
      </c>
      <c r="L1511">
        <v>885</v>
      </c>
      <c r="M1511">
        <v>882</v>
      </c>
      <c r="N1511">
        <v>4.17</v>
      </c>
      <c r="O1511">
        <v>-5.88</v>
      </c>
      <c r="P1511">
        <v>0</v>
      </c>
      <c r="Q1511">
        <v>2.4900000000000002</v>
      </c>
      <c r="R1511">
        <v>10.08</v>
      </c>
      <c r="S1511">
        <v>-63</v>
      </c>
      <c r="T1511">
        <v>1040</v>
      </c>
      <c r="U1511">
        <v>257</v>
      </c>
      <c r="V1511">
        <v>-38</v>
      </c>
      <c r="W1511">
        <v>-73.09</v>
      </c>
      <c r="X1511" s="10">
        <v>0.46390251852207554</v>
      </c>
      <c r="Y1511" s="9">
        <v>2005</v>
      </c>
      <c r="Z1511" s="9">
        <v>1520</v>
      </c>
      <c r="AA1511" s="9">
        <v>1810</v>
      </c>
      <c r="AB1511">
        <v>0.59793814432989689</v>
      </c>
      <c r="AC1511" s="11">
        <v>4.0133370380661288</v>
      </c>
      <c r="AD1511" s="9">
        <v>1697.9265536723162</v>
      </c>
      <c r="AE1511" s="8">
        <v>0.19078947368421054</v>
      </c>
    </row>
    <row r="1512" spans="1:31" x14ac:dyDescent="0.35">
      <c r="A1512" s="6" t="s">
        <v>1533</v>
      </c>
      <c r="B1512" s="7">
        <v>4</v>
      </c>
      <c r="C1512" s="7">
        <v>2</v>
      </c>
      <c r="D1512" s="7">
        <v>1</v>
      </c>
      <c r="E1512" s="7">
        <v>11</v>
      </c>
      <c r="F1512">
        <v>628</v>
      </c>
      <c r="G1512">
        <v>6</v>
      </c>
      <c r="H1512">
        <v>1.02</v>
      </c>
      <c r="I1512">
        <v>-59</v>
      </c>
      <c r="J1512">
        <v>-9.3699999999999992</v>
      </c>
      <c r="K1512">
        <v>703</v>
      </c>
      <c r="L1512">
        <v>413</v>
      </c>
      <c r="M1512">
        <v>291</v>
      </c>
      <c r="N1512">
        <v>503.18</v>
      </c>
      <c r="O1512">
        <v>-18.510000000000002</v>
      </c>
      <c r="P1512">
        <v>0</v>
      </c>
      <c r="Q1512">
        <v>0.47</v>
      </c>
      <c r="R1512">
        <v>0.18</v>
      </c>
      <c r="S1512">
        <v>-600</v>
      </c>
      <c r="T1512">
        <v>2499</v>
      </c>
      <c r="U1512">
        <v>6398</v>
      </c>
      <c r="V1512">
        <v>37</v>
      </c>
      <c r="W1512">
        <v>10.85</v>
      </c>
      <c r="X1512" s="10">
        <v>0.51585017135148636</v>
      </c>
      <c r="Y1512" s="9">
        <v>2350</v>
      </c>
      <c r="Z1512" s="9">
        <v>1160</v>
      </c>
      <c r="AA1512" s="9">
        <v>1475</v>
      </c>
      <c r="AB1512">
        <v>0.26470588235294118</v>
      </c>
      <c r="AC1512" s="11">
        <v>10.56779661016949</v>
      </c>
      <c r="AD1512" s="9">
        <v>1030.7655367231639</v>
      </c>
      <c r="AE1512" s="8">
        <v>0.21900826446280991</v>
      </c>
    </row>
    <row r="1513" spans="1:31" x14ac:dyDescent="0.35">
      <c r="A1513" s="6" t="s">
        <v>1534</v>
      </c>
      <c r="B1513" s="7">
        <v>12</v>
      </c>
      <c r="C1513" s="7">
        <v>2</v>
      </c>
      <c r="D1513" s="7">
        <v>3</v>
      </c>
      <c r="E1513" s="7">
        <v>1</v>
      </c>
      <c r="F1513">
        <v>941</v>
      </c>
      <c r="G1513">
        <v>177</v>
      </c>
      <c r="H1513">
        <v>18.84</v>
      </c>
      <c r="I1513">
        <v>149</v>
      </c>
      <c r="J1513">
        <v>15.81</v>
      </c>
      <c r="K1513">
        <v>3457</v>
      </c>
      <c r="L1513">
        <v>1370</v>
      </c>
      <c r="M1513">
        <v>2086</v>
      </c>
      <c r="N1513">
        <v>713.72</v>
      </c>
      <c r="O1513">
        <v>10.08</v>
      </c>
      <c r="P1513">
        <v>17.260000000000002</v>
      </c>
      <c r="Q1513">
        <v>1.8</v>
      </c>
      <c r="R1513">
        <v>2.74</v>
      </c>
      <c r="S1513">
        <v>423</v>
      </c>
      <c r="T1513">
        <v>4058</v>
      </c>
      <c r="U1513">
        <v>2669</v>
      </c>
      <c r="V1513">
        <v>252</v>
      </c>
      <c r="W1513">
        <v>16.47</v>
      </c>
      <c r="X1513" s="10">
        <v>0.34782721462620397</v>
      </c>
      <c r="Y1513" s="9">
        <v>6500</v>
      </c>
      <c r="Z1513" s="9">
        <v>5040</v>
      </c>
      <c r="AA1513" s="9">
        <v>5610</v>
      </c>
      <c r="AB1513">
        <v>0.3904109589041096</v>
      </c>
      <c r="AC1513" s="11">
        <v>11.970825229230341</v>
      </c>
      <c r="AD1513" s="9">
        <v>5517.3898305084749</v>
      </c>
      <c r="AE1513" s="8">
        <v>3.5055350553505532E-2</v>
      </c>
    </row>
    <row r="1514" spans="1:31" x14ac:dyDescent="0.35">
      <c r="A1514" s="6" t="s">
        <v>1535</v>
      </c>
      <c r="B1514" s="7">
        <v>10</v>
      </c>
      <c r="C1514" s="7">
        <v>1</v>
      </c>
      <c r="D1514" s="7">
        <v>6</v>
      </c>
      <c r="E1514" s="7">
        <v>1</v>
      </c>
      <c r="F1514">
        <v>245</v>
      </c>
      <c r="G1514">
        <v>39</v>
      </c>
      <c r="H1514">
        <v>16.02</v>
      </c>
      <c r="I1514">
        <v>30</v>
      </c>
      <c r="J1514">
        <v>12.15</v>
      </c>
      <c r="K1514">
        <v>488</v>
      </c>
      <c r="L1514">
        <v>247</v>
      </c>
      <c r="M1514">
        <v>241</v>
      </c>
      <c r="N1514">
        <v>427.06</v>
      </c>
      <c r="O1514">
        <v>16.670000000000002</v>
      </c>
      <c r="P1514">
        <v>27.1</v>
      </c>
      <c r="Q1514">
        <v>7.89</v>
      </c>
      <c r="R1514">
        <v>3.3</v>
      </c>
      <c r="S1514">
        <v>404</v>
      </c>
      <c r="T1514">
        <v>1387</v>
      </c>
      <c r="U1514">
        <v>3323</v>
      </c>
      <c r="V1514">
        <v>62</v>
      </c>
      <c r="W1514">
        <v>17.48</v>
      </c>
      <c r="X1514" s="10">
        <v>0.86080506763028586</v>
      </c>
      <c r="Y1514" s="9">
        <v>10700</v>
      </c>
      <c r="Z1514" s="9">
        <v>8290</v>
      </c>
      <c r="AA1514" s="9">
        <v>8320</v>
      </c>
      <c r="AB1514">
        <v>1.2448132780082987E-2</v>
      </c>
      <c r="AC1514" s="11">
        <v>-37.906918588496808</v>
      </c>
      <c r="AD1514" s="9">
        <v>10817.994350282486</v>
      </c>
      <c r="AE1514" s="8">
        <v>-0.20382775119617225</v>
      </c>
    </row>
    <row r="1515" spans="1:31" x14ac:dyDescent="0.35">
      <c r="A1515" s="6" t="s">
        <v>1536</v>
      </c>
      <c r="B1515" s="7">
        <v>2</v>
      </c>
      <c r="C1515" s="7">
        <v>6</v>
      </c>
      <c r="D1515" s="7">
        <v>1</v>
      </c>
      <c r="E1515" s="7">
        <v>9</v>
      </c>
      <c r="F1515">
        <v>0</v>
      </c>
      <c r="G1515">
        <v>-12</v>
      </c>
      <c r="H1515">
        <v>-4681.88</v>
      </c>
      <c r="I1515">
        <v>-10</v>
      </c>
      <c r="J1515">
        <v>-3740.53</v>
      </c>
      <c r="K1515">
        <v>102</v>
      </c>
      <c r="L1515">
        <v>44</v>
      </c>
      <c r="M1515">
        <v>57</v>
      </c>
      <c r="N1515">
        <v>-55.99</v>
      </c>
      <c r="O1515">
        <v>-21.28</v>
      </c>
      <c r="P1515">
        <v>0</v>
      </c>
      <c r="Q1515">
        <v>0.88</v>
      </c>
      <c r="R1515">
        <v>148.46</v>
      </c>
      <c r="S1515">
        <v>-511</v>
      </c>
      <c r="T1515">
        <v>2201</v>
      </c>
      <c r="U1515">
        <v>13</v>
      </c>
      <c r="V1515">
        <v>-16</v>
      </c>
      <c r="W1515">
        <v>-5.13</v>
      </c>
      <c r="X1515" s="10">
        <v>0.86080506763028586</v>
      </c>
      <c r="Y1515" s="9">
        <v>1930</v>
      </c>
      <c r="Z1515" s="9">
        <v>1930</v>
      </c>
      <c r="AA1515" s="9">
        <v>1930</v>
      </c>
      <c r="AC1515" s="11">
        <v>0</v>
      </c>
      <c r="AD1515" s="9">
        <v>1930</v>
      </c>
      <c r="AE1515" s="8">
        <v>0</v>
      </c>
    </row>
    <row r="1516" spans="1:31" x14ac:dyDescent="0.35">
      <c r="A1516" s="6" t="s">
        <v>1537</v>
      </c>
      <c r="B1516" s="7">
        <v>2</v>
      </c>
      <c r="C1516" s="7">
        <v>3</v>
      </c>
      <c r="D1516" s="7">
        <v>12</v>
      </c>
      <c r="E1516" s="7">
        <v>1</v>
      </c>
      <c r="F1516">
        <v>193</v>
      </c>
      <c r="G1516">
        <v>3</v>
      </c>
      <c r="H1516">
        <v>1.61</v>
      </c>
      <c r="I1516">
        <v>-28</v>
      </c>
      <c r="J1516">
        <v>-14.6</v>
      </c>
      <c r="K1516">
        <v>420</v>
      </c>
      <c r="L1516">
        <v>216</v>
      </c>
      <c r="M1516">
        <v>204</v>
      </c>
      <c r="N1516">
        <v>50.41</v>
      </c>
      <c r="O1516">
        <v>-14.28</v>
      </c>
      <c r="P1516">
        <v>0</v>
      </c>
      <c r="Q1516">
        <v>1.97</v>
      </c>
      <c r="R1516">
        <v>1.86</v>
      </c>
      <c r="S1516">
        <v>-111</v>
      </c>
      <c r="T1516">
        <v>714</v>
      </c>
      <c r="U1516">
        <v>760</v>
      </c>
      <c r="V1516">
        <v>10</v>
      </c>
      <c r="W1516">
        <v>48.67</v>
      </c>
      <c r="X1516" s="10">
        <v>0.79431313322349006</v>
      </c>
      <c r="Y1516" s="9">
        <v>2595</v>
      </c>
      <c r="Z1516" s="9">
        <v>1410</v>
      </c>
      <c r="AA1516" s="9">
        <v>2295</v>
      </c>
      <c r="AB1516">
        <v>0.74683544303797467</v>
      </c>
      <c r="AC1516" s="11">
        <v>20.700055570991939</v>
      </c>
      <c r="AD1516" s="9">
        <v>1235.5649717514125</v>
      </c>
      <c r="AE1516" s="8">
        <v>0.62190812720848054</v>
      </c>
    </row>
    <row r="1517" spans="1:31" x14ac:dyDescent="0.35">
      <c r="A1517" s="6" t="s">
        <v>1538</v>
      </c>
      <c r="B1517" s="7">
        <v>12</v>
      </c>
      <c r="C1517" s="7">
        <v>5</v>
      </c>
      <c r="D1517" s="7">
        <v>1</v>
      </c>
      <c r="E1517" s="7">
        <v>0</v>
      </c>
      <c r="F1517">
        <v>175</v>
      </c>
      <c r="G1517">
        <v>68</v>
      </c>
      <c r="H1517">
        <v>38.67</v>
      </c>
      <c r="I1517">
        <v>57</v>
      </c>
      <c r="J1517">
        <v>32.880000000000003</v>
      </c>
      <c r="K1517">
        <v>320</v>
      </c>
      <c r="L1517">
        <v>45</v>
      </c>
      <c r="M1517">
        <v>274</v>
      </c>
      <c r="N1517">
        <v>346.44</v>
      </c>
      <c r="O1517">
        <v>21.67</v>
      </c>
      <c r="P1517">
        <v>17.82</v>
      </c>
      <c r="Q1517">
        <v>3.87</v>
      </c>
      <c r="R1517">
        <v>5.86</v>
      </c>
      <c r="S1517">
        <v>477</v>
      </c>
      <c r="T1517">
        <v>2194</v>
      </c>
      <c r="U1517">
        <v>1450</v>
      </c>
      <c r="V1517">
        <v>73</v>
      </c>
      <c r="W1517">
        <v>14.11</v>
      </c>
      <c r="X1517" s="10">
        <v>0.80815863829354251</v>
      </c>
      <c r="Y1517" s="9">
        <v>10000</v>
      </c>
      <c r="Z1517" s="9">
        <v>8030</v>
      </c>
      <c r="AA1517" s="9">
        <v>10000</v>
      </c>
      <c r="AB1517">
        <v>1</v>
      </c>
      <c r="AC1517" s="11">
        <v>25.577104751319816</v>
      </c>
      <c r="AD1517" s="9">
        <v>7993.5649717514116</v>
      </c>
      <c r="AE1517" s="8">
        <v>0.17924528301886791</v>
      </c>
    </row>
    <row r="1518" spans="1:31" x14ac:dyDescent="0.35">
      <c r="A1518" s="6" t="s">
        <v>1539</v>
      </c>
      <c r="B1518" s="7">
        <v>4</v>
      </c>
      <c r="C1518" s="7">
        <v>14</v>
      </c>
      <c r="D1518" s="7">
        <v>0</v>
      </c>
      <c r="E1518" s="7">
        <v>0</v>
      </c>
      <c r="F1518">
        <v>6777</v>
      </c>
      <c r="G1518">
        <v>48</v>
      </c>
      <c r="H1518">
        <v>0.71</v>
      </c>
      <c r="I1518">
        <v>66</v>
      </c>
      <c r="J1518">
        <v>0.98</v>
      </c>
      <c r="K1518">
        <v>4529</v>
      </c>
      <c r="L1518">
        <v>3213</v>
      </c>
      <c r="M1518">
        <v>1316</v>
      </c>
      <c r="N1518">
        <v>856.59</v>
      </c>
      <c r="O1518">
        <v>5.21</v>
      </c>
      <c r="P1518">
        <v>43.36</v>
      </c>
      <c r="Q1518">
        <v>2.2799999999999998</v>
      </c>
      <c r="R1518">
        <v>0.42</v>
      </c>
      <c r="S1518">
        <v>2438</v>
      </c>
      <c r="T1518">
        <v>46291</v>
      </c>
      <c r="U1518">
        <v>249867</v>
      </c>
      <c r="V1518">
        <v>60</v>
      </c>
      <c r="W1518">
        <v>59.4</v>
      </c>
      <c r="X1518" s="10">
        <v>0.95920783820345512</v>
      </c>
      <c r="Y1518" s="9">
        <v>196000</v>
      </c>
      <c r="Z1518" s="9">
        <v>103000</v>
      </c>
      <c r="AA1518" s="9">
        <v>191100</v>
      </c>
      <c r="AB1518">
        <v>0.94731182795698921</v>
      </c>
      <c r="AC1518" s="11">
        <v>1589.2220061128089</v>
      </c>
      <c r="AD1518" s="9">
        <v>99990.395480225983</v>
      </c>
      <c r="AE1518" s="8">
        <v>0.85533980582524272</v>
      </c>
    </row>
    <row r="1519" spans="1:31" x14ac:dyDescent="0.35">
      <c r="A1519" s="6" t="s">
        <v>1540</v>
      </c>
      <c r="B1519" s="7">
        <v>3</v>
      </c>
      <c r="C1519" s="7">
        <v>11</v>
      </c>
      <c r="D1519" s="7">
        <v>3</v>
      </c>
      <c r="E1519" s="7">
        <v>1</v>
      </c>
      <c r="F1519">
        <v>5182</v>
      </c>
      <c r="G1519">
        <v>292</v>
      </c>
      <c r="H1519">
        <v>5.64</v>
      </c>
      <c r="I1519">
        <v>223</v>
      </c>
      <c r="J1519">
        <v>4.3</v>
      </c>
      <c r="K1519">
        <v>19685</v>
      </c>
      <c r="L1519">
        <v>16408</v>
      </c>
      <c r="M1519">
        <v>3277</v>
      </c>
      <c r="N1519">
        <v>78.760000000000005</v>
      </c>
      <c r="O1519">
        <v>6.99</v>
      </c>
      <c r="P1519">
        <v>16.86</v>
      </c>
      <c r="Q1519">
        <v>1.36</v>
      </c>
      <c r="R1519">
        <v>0.72</v>
      </c>
      <c r="S1519">
        <v>605</v>
      </c>
      <c r="T1519">
        <v>7484</v>
      </c>
      <c r="U1519">
        <v>14096</v>
      </c>
      <c r="V1519">
        <v>292</v>
      </c>
      <c r="W1519">
        <v>14.12</v>
      </c>
      <c r="X1519" s="10">
        <v>1.9909252264924471E-4</v>
      </c>
      <c r="Y1519" s="9">
        <v>10650</v>
      </c>
      <c r="Z1519" s="9">
        <v>9630</v>
      </c>
      <c r="AA1519" s="9">
        <v>10050</v>
      </c>
      <c r="AB1519">
        <v>0.41176470588235292</v>
      </c>
      <c r="AC1519" s="11">
        <v>0.11864406779661021</v>
      </c>
      <c r="AD1519" s="9">
        <v>9934.5480225988686</v>
      </c>
      <c r="AE1519" s="8">
        <v>-9.852216748768473E-3</v>
      </c>
    </row>
    <row r="1520" spans="1:31" x14ac:dyDescent="0.35">
      <c r="A1520" s="6" t="s">
        <v>1541</v>
      </c>
      <c r="B1520" s="7">
        <v>5</v>
      </c>
      <c r="C1520" s="7">
        <v>1</v>
      </c>
      <c r="D1520" s="7">
        <v>11</v>
      </c>
      <c r="E1520" s="7">
        <v>1</v>
      </c>
      <c r="F1520">
        <v>235</v>
      </c>
      <c r="G1520">
        <v>1</v>
      </c>
      <c r="H1520">
        <v>0.57999999999999996</v>
      </c>
      <c r="I1520">
        <v>-21</v>
      </c>
      <c r="J1520">
        <v>-8.7899999999999991</v>
      </c>
      <c r="K1520">
        <v>406</v>
      </c>
      <c r="L1520">
        <v>97</v>
      </c>
      <c r="M1520">
        <v>308</v>
      </c>
      <c r="N1520">
        <v>177.76</v>
      </c>
      <c r="O1520">
        <v>-7.62</v>
      </c>
      <c r="P1520">
        <v>0</v>
      </c>
      <c r="Q1520">
        <v>1.38</v>
      </c>
      <c r="R1520">
        <v>0.87</v>
      </c>
      <c r="S1520">
        <v>-55</v>
      </c>
      <c r="T1520">
        <v>427</v>
      </c>
      <c r="U1520">
        <v>681</v>
      </c>
      <c r="V1520">
        <v>4</v>
      </c>
      <c r="W1520">
        <v>79.89</v>
      </c>
      <c r="X1520" s="10">
        <v>0.85060880964032026</v>
      </c>
      <c r="Y1520" s="9">
        <v>622</v>
      </c>
      <c r="Z1520" s="9">
        <v>398</v>
      </c>
      <c r="AA1520" s="9">
        <v>399</v>
      </c>
      <c r="AB1520">
        <v>4.464285714285714E-3</v>
      </c>
      <c r="AC1520" s="11">
        <v>-3.8810780772436786</v>
      </c>
      <c r="AD1520" s="9">
        <v>629.47288135593226</v>
      </c>
      <c r="AE1520" s="8">
        <v>-0.32828282828282829</v>
      </c>
    </row>
    <row r="1521" spans="1:31" x14ac:dyDescent="0.35">
      <c r="A1521" s="6" t="s">
        <v>1542</v>
      </c>
      <c r="B1521" s="7">
        <v>3</v>
      </c>
      <c r="C1521" s="7">
        <v>4</v>
      </c>
      <c r="D1521" s="7">
        <v>11</v>
      </c>
      <c r="E1521" s="7">
        <v>0</v>
      </c>
      <c r="F1521">
        <v>58</v>
      </c>
      <c r="G1521">
        <v>3</v>
      </c>
      <c r="H1521">
        <v>5.76</v>
      </c>
      <c r="I1521">
        <v>5</v>
      </c>
      <c r="J1521">
        <v>8.49</v>
      </c>
      <c r="K1521">
        <v>201</v>
      </c>
      <c r="L1521">
        <v>29</v>
      </c>
      <c r="M1521">
        <v>172</v>
      </c>
      <c r="N1521">
        <v>664.29</v>
      </c>
      <c r="O1521">
        <v>3.86</v>
      </c>
      <c r="P1521">
        <v>20.9</v>
      </c>
      <c r="Q1521">
        <v>0.99</v>
      </c>
      <c r="R1521">
        <v>1.77</v>
      </c>
      <c r="S1521">
        <v>145</v>
      </c>
      <c r="T1521">
        <v>3072</v>
      </c>
      <c r="U1521">
        <v>1713</v>
      </c>
      <c r="V1521">
        <v>9</v>
      </c>
      <c r="W1521">
        <v>15.71</v>
      </c>
      <c r="X1521" s="10">
        <v>0.51855519082211987</v>
      </c>
      <c r="Y1521" s="9">
        <v>5610</v>
      </c>
      <c r="Z1521" s="9">
        <v>2800</v>
      </c>
      <c r="AA1521" s="9">
        <v>3645</v>
      </c>
      <c r="AB1521">
        <v>0.30071174377224197</v>
      </c>
      <c r="AC1521" s="11">
        <v>26.382189497082521</v>
      </c>
      <c r="AD1521" s="9">
        <v>2760.7598870056495</v>
      </c>
      <c r="AE1521" s="8">
        <v>0.29484902309058614</v>
      </c>
    </row>
    <row r="1522" spans="1:31" x14ac:dyDescent="0.35">
      <c r="A1522" s="6" t="s">
        <v>1543</v>
      </c>
      <c r="B1522" s="7">
        <v>2</v>
      </c>
      <c r="C1522" s="7">
        <v>4</v>
      </c>
      <c r="D1522" s="7">
        <v>7</v>
      </c>
      <c r="E1522" s="7">
        <v>5</v>
      </c>
      <c r="F1522">
        <v>93</v>
      </c>
      <c r="G1522">
        <v>-56</v>
      </c>
      <c r="H1522">
        <v>-60.75</v>
      </c>
      <c r="I1522">
        <v>-219</v>
      </c>
      <c r="J1522">
        <v>-236.55</v>
      </c>
      <c r="K1522">
        <v>311</v>
      </c>
      <c r="L1522">
        <v>146</v>
      </c>
      <c r="M1522">
        <v>165</v>
      </c>
      <c r="N1522">
        <v>122.77</v>
      </c>
      <c r="O1522">
        <v>-121.47</v>
      </c>
      <c r="P1522">
        <v>0</v>
      </c>
      <c r="Q1522">
        <v>2.79</v>
      </c>
      <c r="R1522">
        <v>3.96</v>
      </c>
      <c r="S1522">
        <v>-742</v>
      </c>
      <c r="T1522">
        <v>446</v>
      </c>
      <c r="U1522">
        <v>314</v>
      </c>
      <c r="V1522">
        <v>-51</v>
      </c>
      <c r="W1522">
        <v>-11.64</v>
      </c>
      <c r="X1522" s="10">
        <v>0.82412334403282861</v>
      </c>
      <c r="Y1522" s="9">
        <v>1270</v>
      </c>
      <c r="Z1522" s="9">
        <v>716</v>
      </c>
      <c r="AA1522" s="9">
        <v>763</v>
      </c>
      <c r="AB1522">
        <v>8.4837545126353789E-2</v>
      </c>
      <c r="AC1522" s="11">
        <v>-8.4574604056682396</v>
      </c>
      <c r="AD1522" s="9">
        <v>1235.0858757062147</v>
      </c>
      <c r="AE1522" s="8">
        <v>-0.37714285714285717</v>
      </c>
    </row>
    <row r="1523" spans="1:31" x14ac:dyDescent="0.35">
      <c r="A1523" s="6" t="s">
        <v>1544</v>
      </c>
      <c r="B1523" s="7">
        <v>7</v>
      </c>
      <c r="C1523" s="7">
        <v>8</v>
      </c>
      <c r="D1523" s="7">
        <v>2</v>
      </c>
      <c r="E1523" s="7">
        <v>1</v>
      </c>
      <c r="F1523">
        <v>1796</v>
      </c>
      <c r="G1523">
        <v>15</v>
      </c>
      <c r="H1523">
        <v>0.82</v>
      </c>
      <c r="I1523">
        <v>15</v>
      </c>
      <c r="J1523">
        <v>0.84</v>
      </c>
      <c r="K1523">
        <v>710</v>
      </c>
      <c r="L1523">
        <v>303</v>
      </c>
      <c r="M1523">
        <v>407</v>
      </c>
      <c r="N1523">
        <v>311.27999999999997</v>
      </c>
      <c r="O1523">
        <v>4.0999999999999996</v>
      </c>
      <c r="P1523">
        <v>50.67</v>
      </c>
      <c r="Q1523">
        <v>2.0699999999999998</v>
      </c>
      <c r="R1523">
        <v>0.43</v>
      </c>
      <c r="S1523">
        <v>82</v>
      </c>
      <c r="T1523">
        <v>2010</v>
      </c>
      <c r="U1523">
        <v>9686</v>
      </c>
      <c r="V1523">
        <v>17</v>
      </c>
      <c r="W1523">
        <v>49.32</v>
      </c>
      <c r="X1523" s="10">
        <v>0.12758125870977297</v>
      </c>
      <c r="Y1523" s="9">
        <v>4480</v>
      </c>
      <c r="Z1523" s="9">
        <v>3790</v>
      </c>
      <c r="AA1523" s="9">
        <v>4095</v>
      </c>
      <c r="AB1523">
        <v>0.4420289855072464</v>
      </c>
      <c r="AC1523" s="11">
        <v>-3.1047513198110592</v>
      </c>
      <c r="AD1523" s="9">
        <v>4087.0282485875709</v>
      </c>
      <c r="AE1523" s="8">
        <v>-6.0679611650485436E-3</v>
      </c>
    </row>
    <row r="1524" spans="1:31" x14ac:dyDescent="0.35">
      <c r="A1524" s="6" t="s">
        <v>1545</v>
      </c>
      <c r="B1524" s="7">
        <v>3</v>
      </c>
      <c r="C1524" s="7">
        <v>11</v>
      </c>
      <c r="D1524" s="7">
        <v>4</v>
      </c>
      <c r="E1524" s="7">
        <v>0</v>
      </c>
      <c r="F1524">
        <v>589</v>
      </c>
      <c r="G1524">
        <v>14</v>
      </c>
      <c r="H1524">
        <v>2.31</v>
      </c>
      <c r="I1524">
        <v>268</v>
      </c>
      <c r="J1524">
        <v>45.44</v>
      </c>
      <c r="K1524">
        <v>1085</v>
      </c>
      <c r="L1524">
        <v>394</v>
      </c>
      <c r="M1524">
        <v>691</v>
      </c>
      <c r="N1524">
        <v>393.83</v>
      </c>
      <c r="O1524">
        <v>64.05</v>
      </c>
      <c r="P1524">
        <v>1.07</v>
      </c>
      <c r="Q1524">
        <v>0.55000000000000004</v>
      </c>
      <c r="R1524">
        <v>0.49</v>
      </c>
      <c r="S1524">
        <v>12753</v>
      </c>
      <c r="T1524">
        <v>24617</v>
      </c>
      <c r="U1524">
        <v>28068</v>
      </c>
      <c r="V1524">
        <v>20</v>
      </c>
      <c r="W1524">
        <v>32.28</v>
      </c>
      <c r="X1524" s="10">
        <v>0.81785041295949279</v>
      </c>
      <c r="Y1524" s="9">
        <v>36800</v>
      </c>
      <c r="Z1524" s="9">
        <v>13000</v>
      </c>
      <c r="AA1524" s="9">
        <v>36800</v>
      </c>
      <c r="AB1524">
        <v>1</v>
      </c>
      <c r="AC1524" s="11">
        <v>302.98416226729648</v>
      </c>
      <c r="AD1524" s="9">
        <v>11198.983050847457</v>
      </c>
      <c r="AE1524" s="8">
        <v>1.7259259259259259</v>
      </c>
    </row>
    <row r="1525" spans="1:31" x14ac:dyDescent="0.35">
      <c r="A1525" s="6" t="s">
        <v>1546</v>
      </c>
      <c r="B1525" s="7">
        <v>1</v>
      </c>
      <c r="C1525" s="7">
        <v>5</v>
      </c>
      <c r="D1525" s="7">
        <v>5</v>
      </c>
      <c r="E1525" s="7">
        <v>7</v>
      </c>
      <c r="F1525">
        <v>266</v>
      </c>
      <c r="G1525">
        <v>-42</v>
      </c>
      <c r="H1525">
        <v>-15.95</v>
      </c>
      <c r="I1525">
        <v>-108</v>
      </c>
      <c r="J1525">
        <v>-40.44</v>
      </c>
      <c r="K1525">
        <v>922</v>
      </c>
      <c r="L1525">
        <v>435</v>
      </c>
      <c r="M1525">
        <v>487</v>
      </c>
      <c r="N1525">
        <v>66.56</v>
      </c>
      <c r="O1525">
        <v>-26.59</v>
      </c>
      <c r="P1525">
        <v>0</v>
      </c>
      <c r="Q1525">
        <v>1.1599999999999999</v>
      </c>
      <c r="R1525">
        <v>1.56</v>
      </c>
      <c r="S1525">
        <v>-99</v>
      </c>
      <c r="T1525">
        <v>326</v>
      </c>
      <c r="U1525">
        <v>243</v>
      </c>
      <c r="V1525">
        <v>-43</v>
      </c>
      <c r="W1525">
        <v>-17.98</v>
      </c>
      <c r="X1525" s="10">
        <v>0.61969881812545802</v>
      </c>
      <c r="Y1525" s="9">
        <v>442</v>
      </c>
      <c r="Z1525" s="9">
        <v>315</v>
      </c>
      <c r="AA1525" s="9">
        <v>323</v>
      </c>
      <c r="AB1525">
        <v>6.2992125984251968E-2</v>
      </c>
      <c r="AC1525" s="11">
        <v>-1.4922200611280914</v>
      </c>
      <c r="AD1525" s="9">
        <v>394.22937853107345</v>
      </c>
      <c r="AE1525" s="8">
        <v>-5.2785923753665691E-2</v>
      </c>
    </row>
    <row r="1526" spans="1:31" x14ac:dyDescent="0.35">
      <c r="A1526" s="6" t="s">
        <v>1547</v>
      </c>
      <c r="B1526" s="7">
        <v>4</v>
      </c>
      <c r="C1526" s="7">
        <v>1</v>
      </c>
      <c r="D1526" s="7">
        <v>5</v>
      </c>
      <c r="E1526" s="7">
        <v>8</v>
      </c>
      <c r="F1526">
        <v>1873</v>
      </c>
      <c r="G1526">
        <v>-31</v>
      </c>
      <c r="H1526">
        <v>-1.65</v>
      </c>
      <c r="I1526">
        <v>-83</v>
      </c>
      <c r="J1526">
        <v>-4.41</v>
      </c>
      <c r="K1526">
        <v>1798</v>
      </c>
      <c r="L1526">
        <v>986</v>
      </c>
      <c r="M1526">
        <v>811</v>
      </c>
      <c r="N1526">
        <v>175.33</v>
      </c>
      <c r="O1526">
        <v>-9.66</v>
      </c>
      <c r="P1526">
        <v>0</v>
      </c>
      <c r="Q1526">
        <v>0.97</v>
      </c>
      <c r="R1526">
        <v>0.42</v>
      </c>
      <c r="S1526">
        <v>-140</v>
      </c>
      <c r="T1526">
        <v>1370</v>
      </c>
      <c r="U1526">
        <v>3178</v>
      </c>
      <c r="V1526">
        <v>12</v>
      </c>
      <c r="W1526">
        <v>74.5</v>
      </c>
      <c r="X1526" s="10">
        <v>0.58395418895922446</v>
      </c>
      <c r="Y1526" s="9">
        <v>4045</v>
      </c>
      <c r="Z1526" s="9">
        <v>1320</v>
      </c>
      <c r="AA1526" s="9">
        <v>3010</v>
      </c>
      <c r="AB1526">
        <v>0.62018348623853214</v>
      </c>
      <c r="AC1526" s="11">
        <v>36.195332036676852</v>
      </c>
      <c r="AD1526" s="9">
        <v>840.2090395480227</v>
      </c>
      <c r="AE1526" s="8">
        <v>1.2462686567164178</v>
      </c>
    </row>
    <row r="1527" spans="1:31" x14ac:dyDescent="0.35">
      <c r="A1527" s="6" t="s">
        <v>1548</v>
      </c>
      <c r="B1527" s="7">
        <v>17</v>
      </c>
      <c r="C1527" s="7">
        <v>1</v>
      </c>
      <c r="D1527" s="7">
        <v>0</v>
      </c>
      <c r="E1527" s="7">
        <v>0</v>
      </c>
      <c r="F1527">
        <v>370</v>
      </c>
      <c r="G1527">
        <v>95</v>
      </c>
      <c r="H1527">
        <v>25.81</v>
      </c>
      <c r="I1527">
        <v>87</v>
      </c>
      <c r="J1527">
        <v>23.64</v>
      </c>
      <c r="K1527">
        <v>599</v>
      </c>
      <c r="L1527">
        <v>18</v>
      </c>
      <c r="M1527">
        <v>582</v>
      </c>
      <c r="N1527">
        <v>753.77</v>
      </c>
      <c r="O1527">
        <v>16.18</v>
      </c>
      <c r="P1527">
        <v>49.07</v>
      </c>
      <c r="Q1527">
        <v>7.68</v>
      </c>
      <c r="R1527">
        <v>11.59</v>
      </c>
      <c r="S1527">
        <v>642</v>
      </c>
      <c r="T1527">
        <v>4102</v>
      </c>
      <c r="U1527">
        <v>2718</v>
      </c>
      <c r="V1527">
        <v>105</v>
      </c>
      <c r="W1527">
        <v>41.2</v>
      </c>
      <c r="X1527" s="10">
        <v>0.29471289605790651</v>
      </c>
      <c r="Y1527" s="9">
        <v>41600</v>
      </c>
      <c r="Z1527" s="9">
        <v>29650</v>
      </c>
      <c r="AA1527" s="9">
        <v>31200</v>
      </c>
      <c r="AB1527">
        <v>0.1297071129707113</v>
      </c>
      <c r="AC1527" s="11">
        <v>-101.35593220338983</v>
      </c>
      <c r="AD1527" s="9">
        <v>39041.355932203391</v>
      </c>
      <c r="AE1527" s="8">
        <v>-3.1948881789137379E-3</v>
      </c>
    </row>
    <row r="1528" spans="1:31" x14ac:dyDescent="0.35">
      <c r="A1528" s="6" t="s">
        <v>1549</v>
      </c>
      <c r="B1528" s="7">
        <v>3</v>
      </c>
      <c r="C1528" s="7">
        <v>4</v>
      </c>
      <c r="D1528" s="7">
        <v>9</v>
      </c>
      <c r="E1528" s="7">
        <v>2</v>
      </c>
      <c r="F1528">
        <v>449</v>
      </c>
      <c r="G1528">
        <v>-5</v>
      </c>
      <c r="H1528">
        <v>-1.04</v>
      </c>
      <c r="I1528">
        <v>-93</v>
      </c>
      <c r="J1528">
        <v>-20.8</v>
      </c>
      <c r="K1528">
        <v>2739</v>
      </c>
      <c r="L1528">
        <v>1222</v>
      </c>
      <c r="M1528">
        <v>1517</v>
      </c>
      <c r="N1528">
        <v>789.15</v>
      </c>
      <c r="O1528">
        <v>-6.34</v>
      </c>
      <c r="P1528">
        <v>0</v>
      </c>
      <c r="Q1528">
        <v>0.93</v>
      </c>
      <c r="R1528">
        <v>3.06</v>
      </c>
      <c r="S1528">
        <v>-282</v>
      </c>
      <c r="T1528">
        <v>4445</v>
      </c>
      <c r="U1528">
        <v>1356</v>
      </c>
      <c r="V1528">
        <v>16</v>
      </c>
      <c r="W1528">
        <v>137.94</v>
      </c>
      <c r="X1528" s="10">
        <v>2.4379938174239432E-2</v>
      </c>
      <c r="Y1528" s="9">
        <v>4820</v>
      </c>
      <c r="Z1528" s="9">
        <v>3840</v>
      </c>
      <c r="AA1528" s="9">
        <v>4230</v>
      </c>
      <c r="AB1528">
        <v>0.39795918367346939</v>
      </c>
      <c r="AC1528" s="11">
        <v>1.8400944706863018</v>
      </c>
      <c r="AD1528" s="9">
        <v>4235.6271186440681</v>
      </c>
      <c r="AE1528" s="8">
        <v>6.2814070351758788E-2</v>
      </c>
    </row>
    <row r="1529" spans="1:31" x14ac:dyDescent="0.35">
      <c r="A1529" s="6" t="s">
        <v>1550</v>
      </c>
      <c r="B1529" s="7">
        <v>2</v>
      </c>
      <c r="C1529" s="7">
        <v>0</v>
      </c>
      <c r="D1529" s="7">
        <v>12</v>
      </c>
      <c r="E1529" s="7">
        <v>4</v>
      </c>
      <c r="F1529">
        <v>610</v>
      </c>
      <c r="G1529">
        <v>-20</v>
      </c>
      <c r="H1529">
        <v>-3.34</v>
      </c>
      <c r="I1529">
        <v>-23</v>
      </c>
      <c r="J1529">
        <v>-3.84</v>
      </c>
      <c r="K1529">
        <v>791</v>
      </c>
      <c r="L1529">
        <v>436</v>
      </c>
      <c r="M1529">
        <v>355</v>
      </c>
      <c r="N1529">
        <v>366.93</v>
      </c>
      <c r="O1529">
        <v>-8.51</v>
      </c>
      <c r="P1529">
        <v>0</v>
      </c>
      <c r="Q1529">
        <v>3.34</v>
      </c>
      <c r="R1529">
        <v>1.34</v>
      </c>
      <c r="S1529">
        <v>-188</v>
      </c>
      <c r="T1529">
        <v>1977</v>
      </c>
      <c r="U1529">
        <v>4911</v>
      </c>
      <c r="V1529">
        <v>-16</v>
      </c>
      <c r="W1529">
        <v>-84.76</v>
      </c>
      <c r="X1529" s="10">
        <v>0.28479530572722977</v>
      </c>
      <c r="Y1529" s="9">
        <v>6280</v>
      </c>
      <c r="Z1529" s="9">
        <v>4585</v>
      </c>
      <c r="AA1529" s="9">
        <v>6100</v>
      </c>
      <c r="AB1529">
        <v>0.89380530973451322</v>
      </c>
      <c r="AC1529" s="11">
        <v>12.05112531258683</v>
      </c>
      <c r="AD1529" s="9">
        <v>5186.4406779661022</v>
      </c>
      <c r="AE1529" s="8">
        <v>0.21756487025948104</v>
      </c>
    </row>
    <row r="1530" spans="1:31" x14ac:dyDescent="0.35">
      <c r="A1530" s="6" t="s">
        <v>1551</v>
      </c>
      <c r="B1530" s="7">
        <v>5</v>
      </c>
      <c r="C1530" s="7">
        <v>10</v>
      </c>
      <c r="D1530" s="7">
        <v>2</v>
      </c>
      <c r="E1530" s="7">
        <v>1</v>
      </c>
      <c r="F1530">
        <v>1088</v>
      </c>
      <c r="G1530">
        <v>8</v>
      </c>
      <c r="H1530">
        <v>0.71</v>
      </c>
      <c r="I1530">
        <v>27</v>
      </c>
      <c r="J1530">
        <v>2.48</v>
      </c>
      <c r="K1530">
        <v>1489</v>
      </c>
      <c r="L1530">
        <v>395</v>
      </c>
      <c r="M1530">
        <v>1094</v>
      </c>
      <c r="N1530">
        <v>514.48</v>
      </c>
      <c r="O1530">
        <v>2.4700000000000002</v>
      </c>
      <c r="P1530">
        <v>24.14</v>
      </c>
      <c r="Q1530">
        <v>0.6</v>
      </c>
      <c r="R1530">
        <v>0.6</v>
      </c>
      <c r="S1530">
        <v>76</v>
      </c>
      <c r="T1530">
        <v>3052</v>
      </c>
      <c r="U1530">
        <v>3057</v>
      </c>
      <c r="V1530">
        <v>66</v>
      </c>
      <c r="W1530">
        <v>10.59</v>
      </c>
      <c r="X1530" s="10">
        <v>0.67716864601109139</v>
      </c>
      <c r="Y1530" s="9">
        <v>2060</v>
      </c>
      <c r="Z1530" s="9">
        <v>1785</v>
      </c>
      <c r="AA1530" s="9">
        <v>2050</v>
      </c>
      <c r="AB1530">
        <v>0.96363636363636362</v>
      </c>
      <c r="AC1530" s="11">
        <v>3.2695193109197005</v>
      </c>
      <c r="AD1530" s="9">
        <v>1828.1129943502824</v>
      </c>
      <c r="AE1530" s="8">
        <v>0.1484593837535014</v>
      </c>
    </row>
    <row r="1531" spans="1:31" x14ac:dyDescent="0.35">
      <c r="A1531" s="6" t="s">
        <v>1552</v>
      </c>
      <c r="B1531" s="7">
        <v>7</v>
      </c>
      <c r="C1531" s="7">
        <v>6</v>
      </c>
      <c r="D1531" s="7">
        <v>5</v>
      </c>
      <c r="E1531" s="7">
        <v>0</v>
      </c>
      <c r="F1531">
        <v>4037</v>
      </c>
      <c r="G1531">
        <v>91</v>
      </c>
      <c r="H1531">
        <v>2.2599999999999998</v>
      </c>
      <c r="I1531">
        <v>55</v>
      </c>
      <c r="J1531">
        <v>1.37</v>
      </c>
      <c r="K1531">
        <v>2743</v>
      </c>
      <c r="L1531">
        <v>1340</v>
      </c>
      <c r="M1531">
        <v>1403</v>
      </c>
      <c r="N1531">
        <v>1775.96</v>
      </c>
      <c r="O1531">
        <v>3.97</v>
      </c>
      <c r="P1531">
        <v>12.86</v>
      </c>
      <c r="Q1531">
        <v>0.54</v>
      </c>
      <c r="R1531">
        <v>0.18</v>
      </c>
      <c r="S1531">
        <v>381</v>
      </c>
      <c r="T1531">
        <v>9039</v>
      </c>
      <c r="U1531">
        <v>27802</v>
      </c>
      <c r="V1531">
        <v>198</v>
      </c>
      <c r="W1531">
        <v>6.8</v>
      </c>
      <c r="X1531" s="10">
        <v>0.84622594124108774</v>
      </c>
      <c r="Y1531" s="9">
        <v>5690</v>
      </c>
      <c r="Z1531" s="9">
        <v>4760</v>
      </c>
      <c r="AA1531" s="9">
        <v>5500</v>
      </c>
      <c r="AB1531">
        <v>0.79569892473118276</v>
      </c>
      <c r="AC1531" s="11">
        <v>15.039316476799112</v>
      </c>
      <c r="AD1531" s="9">
        <v>4724.5508474576272</v>
      </c>
      <c r="AE1531" s="8">
        <v>0.13636363636363635</v>
      </c>
    </row>
    <row r="1532" spans="1:31" x14ac:dyDescent="0.35">
      <c r="A1532" s="6" t="s">
        <v>1553</v>
      </c>
      <c r="B1532" s="7">
        <v>11</v>
      </c>
      <c r="C1532" s="7">
        <v>2</v>
      </c>
      <c r="D1532" s="7">
        <v>5</v>
      </c>
      <c r="E1532" s="7">
        <v>0</v>
      </c>
      <c r="F1532">
        <v>7993</v>
      </c>
      <c r="G1532">
        <v>111</v>
      </c>
      <c r="H1532">
        <v>1.39</v>
      </c>
      <c r="I1532">
        <v>234</v>
      </c>
      <c r="J1532">
        <v>2.93</v>
      </c>
      <c r="K1532">
        <v>3781</v>
      </c>
      <c r="L1532">
        <v>2217</v>
      </c>
      <c r="M1532">
        <v>1565</v>
      </c>
      <c r="N1532">
        <v>641.71</v>
      </c>
      <c r="O1532">
        <v>15.87</v>
      </c>
      <c r="P1532">
        <v>5.81</v>
      </c>
      <c r="Q1532">
        <v>0.95</v>
      </c>
      <c r="R1532">
        <v>0.17</v>
      </c>
      <c r="S1532">
        <v>5681</v>
      </c>
      <c r="T1532">
        <v>34686</v>
      </c>
      <c r="U1532">
        <v>193889</v>
      </c>
      <c r="V1532">
        <v>210</v>
      </c>
      <c r="W1532">
        <v>6.3</v>
      </c>
      <c r="X1532" s="10">
        <v>2.2035016524696967E-2</v>
      </c>
      <c r="Y1532" s="9">
        <v>34200</v>
      </c>
      <c r="Z1532" s="9">
        <v>31350</v>
      </c>
      <c r="AA1532" s="9">
        <v>32500</v>
      </c>
      <c r="AB1532">
        <v>0.40350877192982454</v>
      </c>
      <c r="AC1532" s="11">
        <v>-4.6707418727424281</v>
      </c>
      <c r="AD1532" s="9">
        <v>32362.457627118645</v>
      </c>
      <c r="AE1532" s="8">
        <v>-4.9707602339181284E-2</v>
      </c>
    </row>
    <row r="1533" spans="1:31" x14ac:dyDescent="0.35">
      <c r="A1533" s="6" t="s">
        <v>1554</v>
      </c>
      <c r="B1533" s="7">
        <v>0</v>
      </c>
      <c r="C1533" s="7">
        <v>3</v>
      </c>
      <c r="D1533" s="7">
        <v>5</v>
      </c>
      <c r="E1533" s="7">
        <v>10</v>
      </c>
      <c r="F1533">
        <v>2922</v>
      </c>
      <c r="G1533">
        <v>-236</v>
      </c>
      <c r="H1533">
        <v>-8.07</v>
      </c>
      <c r="I1533">
        <v>-90</v>
      </c>
      <c r="J1533">
        <v>-3.1</v>
      </c>
      <c r="K1533">
        <v>3877</v>
      </c>
      <c r="L1533">
        <v>749</v>
      </c>
      <c r="M1533">
        <v>3128</v>
      </c>
      <c r="N1533">
        <v>7173.67</v>
      </c>
      <c r="O1533">
        <v>-2.83</v>
      </c>
      <c r="P1533">
        <v>0</v>
      </c>
      <c r="Q1533">
        <v>0.45</v>
      </c>
      <c r="R1533">
        <v>0.48</v>
      </c>
      <c r="S1533">
        <v>-1052</v>
      </c>
      <c r="T1533">
        <v>36217</v>
      </c>
      <c r="U1533">
        <v>33977</v>
      </c>
      <c r="V1533">
        <v>-176</v>
      </c>
      <c r="W1533">
        <v>-7.93</v>
      </c>
      <c r="X1533" s="10">
        <v>1.6701058092933766E-2</v>
      </c>
      <c r="Y1533" s="9">
        <v>22300</v>
      </c>
      <c r="Z1533" s="9">
        <v>16200</v>
      </c>
      <c r="AA1533" s="9">
        <v>20500</v>
      </c>
      <c r="AB1533">
        <v>0.70491803278688525</v>
      </c>
      <c r="AC1533" s="11">
        <v>12.188107807724368</v>
      </c>
      <c r="AD1533" s="9">
        <v>19195.762711864405</v>
      </c>
      <c r="AE1533" s="8">
        <v>0.24242424242424243</v>
      </c>
    </row>
    <row r="1534" spans="1:31" x14ac:dyDescent="0.35">
      <c r="A1534" s="6" t="s">
        <v>1555</v>
      </c>
      <c r="B1534" s="7">
        <v>8</v>
      </c>
      <c r="C1534" s="7">
        <v>1</v>
      </c>
      <c r="D1534" s="7">
        <v>5</v>
      </c>
      <c r="E1534" s="7">
        <v>4</v>
      </c>
      <c r="F1534">
        <v>454</v>
      </c>
      <c r="G1534">
        <v>88</v>
      </c>
      <c r="H1534">
        <v>19.3</v>
      </c>
      <c r="I1534">
        <v>74</v>
      </c>
      <c r="J1534">
        <v>16.21</v>
      </c>
      <c r="K1534">
        <v>758</v>
      </c>
      <c r="L1534">
        <v>146</v>
      </c>
      <c r="M1534">
        <v>612</v>
      </c>
      <c r="N1534">
        <v>1057.42</v>
      </c>
      <c r="O1534">
        <v>12.65</v>
      </c>
      <c r="P1534">
        <v>27.5</v>
      </c>
      <c r="Q1534">
        <v>3.34</v>
      </c>
      <c r="R1534">
        <v>4.46</v>
      </c>
      <c r="S1534">
        <v>689</v>
      </c>
      <c r="T1534">
        <v>5681</v>
      </c>
      <c r="U1534">
        <v>4253</v>
      </c>
      <c r="V1534">
        <v>121</v>
      </c>
      <c r="W1534">
        <v>16.8</v>
      </c>
      <c r="X1534" s="10">
        <v>0.63758207626780272</v>
      </c>
      <c r="Y1534" s="9">
        <v>21750</v>
      </c>
      <c r="Z1534" s="9">
        <v>18250</v>
      </c>
      <c r="AA1534" s="9">
        <v>20550</v>
      </c>
      <c r="AB1534">
        <v>0.65714285714285714</v>
      </c>
      <c r="AC1534" s="11">
        <v>40.722422895248677</v>
      </c>
      <c r="AD1534" s="9">
        <v>18847.966101694914</v>
      </c>
      <c r="AE1534" s="8">
        <v>0.12602739726027398</v>
      </c>
    </row>
    <row r="1535" spans="1:31" x14ac:dyDescent="0.35">
      <c r="A1535" s="6" t="s">
        <v>1556</v>
      </c>
      <c r="B1535" s="7">
        <v>0</v>
      </c>
      <c r="C1535" s="7">
        <v>2</v>
      </c>
      <c r="D1535" s="7">
        <v>14</v>
      </c>
      <c r="E1535" s="7">
        <v>2</v>
      </c>
      <c r="F1535">
        <v>179</v>
      </c>
      <c r="G1535">
        <v>-6</v>
      </c>
      <c r="H1535">
        <v>-3.13</v>
      </c>
      <c r="I1535">
        <v>-4</v>
      </c>
      <c r="J1535">
        <v>-2.2799999999999998</v>
      </c>
      <c r="K1535">
        <v>1183</v>
      </c>
      <c r="L1535">
        <v>467</v>
      </c>
      <c r="M1535">
        <v>716</v>
      </c>
      <c r="N1535">
        <v>698.55</v>
      </c>
      <c r="O1535">
        <v>-2.25</v>
      </c>
      <c r="P1535">
        <v>0</v>
      </c>
      <c r="Q1535">
        <v>0.75</v>
      </c>
      <c r="R1535">
        <v>0.56000000000000005</v>
      </c>
      <c r="S1535">
        <v>-96</v>
      </c>
      <c r="T1535">
        <v>3109</v>
      </c>
      <c r="U1535">
        <v>4160</v>
      </c>
      <c r="V1535">
        <v>29</v>
      </c>
      <c r="W1535">
        <v>22.89</v>
      </c>
      <c r="X1535" s="10">
        <v>0.23736810874796993</v>
      </c>
      <c r="Y1535" s="9">
        <v>3100</v>
      </c>
      <c r="Z1535" s="9">
        <v>2315</v>
      </c>
      <c r="AA1535" s="9">
        <v>2550</v>
      </c>
      <c r="AB1535">
        <v>0.29936305732484075</v>
      </c>
      <c r="AC1535" s="11">
        <v>5.117393720477911</v>
      </c>
      <c r="AD1535" s="9">
        <v>2520.0028248587573</v>
      </c>
      <c r="AE1535" s="8">
        <v>0.10151187904967603</v>
      </c>
    </row>
    <row r="1536" spans="1:31" x14ac:dyDescent="0.35">
      <c r="A1536" s="6" t="s">
        <v>1557</v>
      </c>
      <c r="B1536" s="7">
        <v>5</v>
      </c>
      <c r="C1536" s="7">
        <v>12</v>
      </c>
      <c r="D1536" s="7">
        <v>0</v>
      </c>
      <c r="E1536" s="7">
        <v>1</v>
      </c>
      <c r="F1536">
        <v>5611</v>
      </c>
      <c r="G1536">
        <v>283</v>
      </c>
      <c r="H1536">
        <v>5.05</v>
      </c>
      <c r="I1536">
        <v>1</v>
      </c>
      <c r="J1536">
        <v>0.02</v>
      </c>
      <c r="K1536">
        <v>4829</v>
      </c>
      <c r="L1536">
        <v>3012</v>
      </c>
      <c r="M1536">
        <v>1816</v>
      </c>
      <c r="N1536">
        <v>1185.73</v>
      </c>
      <c r="O1536">
        <v>0.05</v>
      </c>
      <c r="P1536">
        <v>1078.57</v>
      </c>
      <c r="Q1536">
        <v>0.69</v>
      </c>
      <c r="R1536">
        <v>0.18</v>
      </c>
      <c r="S1536">
        <v>7</v>
      </c>
      <c r="T1536">
        <v>10906</v>
      </c>
      <c r="U1536">
        <v>42268</v>
      </c>
      <c r="V1536">
        <v>320</v>
      </c>
      <c r="W1536">
        <v>9.41</v>
      </c>
      <c r="X1536" s="10">
        <v>0.74819919692377723</v>
      </c>
      <c r="Y1536" s="9">
        <v>9010</v>
      </c>
      <c r="Z1536" s="9">
        <v>7250</v>
      </c>
      <c r="AA1536" s="9">
        <v>8780</v>
      </c>
      <c r="AB1536">
        <v>0.86931818181818177</v>
      </c>
      <c r="AC1536" s="11">
        <v>29.997499305362602</v>
      </c>
      <c r="AD1536" s="9">
        <v>7211.5762711864409</v>
      </c>
      <c r="AE1536" s="8">
        <v>0.16291390728476821</v>
      </c>
    </row>
    <row r="1537" spans="1:31" x14ac:dyDescent="0.35">
      <c r="A1537" s="6" t="s">
        <v>1558</v>
      </c>
      <c r="B1537" s="7">
        <v>1</v>
      </c>
      <c r="C1537" s="7">
        <v>8</v>
      </c>
      <c r="D1537" s="7">
        <v>6</v>
      </c>
      <c r="E1537" s="7">
        <v>3</v>
      </c>
      <c r="F1537">
        <v>78</v>
      </c>
      <c r="G1537">
        <v>2</v>
      </c>
      <c r="H1537">
        <v>2.08</v>
      </c>
      <c r="I1537">
        <v>6</v>
      </c>
      <c r="J1537">
        <v>8.07</v>
      </c>
      <c r="K1537">
        <v>4559</v>
      </c>
      <c r="L1537">
        <v>358</v>
      </c>
      <c r="M1537">
        <v>4200</v>
      </c>
      <c r="N1537">
        <v>1334.54</v>
      </c>
      <c r="O1537">
        <v>0.15</v>
      </c>
      <c r="P1537">
        <v>836.36</v>
      </c>
      <c r="Q1537">
        <v>1.32</v>
      </c>
      <c r="R1537">
        <v>67.650000000000006</v>
      </c>
      <c r="S1537">
        <v>11</v>
      </c>
      <c r="T1537">
        <v>6950</v>
      </c>
      <c r="U1537">
        <v>136</v>
      </c>
      <c r="V1537">
        <v>4</v>
      </c>
      <c r="W1537">
        <v>1382.43</v>
      </c>
      <c r="X1537" s="10">
        <v>0.27755828830328438</v>
      </c>
      <c r="Y1537" s="9">
        <v>10600</v>
      </c>
      <c r="Z1537" s="9">
        <v>8500</v>
      </c>
      <c r="AA1537" s="9">
        <v>9020</v>
      </c>
      <c r="AB1537">
        <v>0.24761904761904763</v>
      </c>
      <c r="AC1537" s="11">
        <v>15.526535148652403</v>
      </c>
      <c r="AD1537" s="9">
        <v>9078.4406779661022</v>
      </c>
      <c r="AE1537" s="8">
        <v>-1.0964912280701754E-2</v>
      </c>
    </row>
    <row r="1538" spans="1:31" x14ac:dyDescent="0.35">
      <c r="A1538" s="6" t="s">
        <v>1559</v>
      </c>
      <c r="B1538" s="7">
        <v>5</v>
      </c>
      <c r="C1538" s="7">
        <v>5</v>
      </c>
      <c r="D1538" s="7">
        <v>7</v>
      </c>
      <c r="E1538" s="7">
        <v>1</v>
      </c>
      <c r="F1538">
        <v>3742</v>
      </c>
      <c r="G1538">
        <v>163</v>
      </c>
      <c r="H1538">
        <v>4.3499999999999996</v>
      </c>
      <c r="I1538">
        <v>125</v>
      </c>
      <c r="J1538">
        <v>3.34</v>
      </c>
      <c r="K1538">
        <v>3833</v>
      </c>
      <c r="L1538">
        <v>2210</v>
      </c>
      <c r="M1538">
        <v>1623</v>
      </c>
      <c r="N1538">
        <v>896.67</v>
      </c>
      <c r="O1538">
        <v>9.24</v>
      </c>
      <c r="P1538">
        <v>58.85</v>
      </c>
      <c r="Q1538">
        <v>6.09</v>
      </c>
      <c r="R1538">
        <v>1.97</v>
      </c>
      <c r="S1538">
        <v>390</v>
      </c>
      <c r="T1538">
        <v>3767</v>
      </c>
      <c r="U1538">
        <v>11659</v>
      </c>
      <c r="V1538">
        <v>211</v>
      </c>
      <c r="W1538">
        <v>35.47</v>
      </c>
      <c r="X1538" s="10">
        <v>0.51840467025372572</v>
      </c>
      <c r="Y1538" s="9">
        <v>24100</v>
      </c>
      <c r="Z1538" s="9">
        <v>19000</v>
      </c>
      <c r="AA1538" s="9">
        <v>19150</v>
      </c>
      <c r="AB1538">
        <v>2.9411764705882353E-2</v>
      </c>
      <c r="AC1538" s="11">
        <v>-57.010280633509304</v>
      </c>
      <c r="AD1538" s="9">
        <v>23547.146892655364</v>
      </c>
      <c r="AE1538" s="8">
        <v>-0.16192560175054704</v>
      </c>
    </row>
    <row r="1539" spans="1:31" x14ac:dyDescent="0.35">
      <c r="A1539" s="6" t="s">
        <v>1560</v>
      </c>
      <c r="B1539" s="7">
        <v>0</v>
      </c>
      <c r="C1539" s="7">
        <v>1</v>
      </c>
      <c r="D1539" s="7">
        <v>5</v>
      </c>
      <c r="E1539" s="7">
        <v>12</v>
      </c>
      <c r="F1539">
        <v>6428</v>
      </c>
      <c r="G1539">
        <v>-917</v>
      </c>
      <c r="H1539">
        <v>-14.27</v>
      </c>
      <c r="I1539">
        <v>-588</v>
      </c>
      <c r="J1539">
        <v>-9.14</v>
      </c>
      <c r="K1539">
        <v>5807</v>
      </c>
      <c r="L1539">
        <v>2700</v>
      </c>
      <c r="M1539">
        <v>3107</v>
      </c>
      <c r="N1539">
        <v>3693.5</v>
      </c>
      <c r="O1539">
        <v>-17.28</v>
      </c>
      <c r="P1539">
        <v>0</v>
      </c>
      <c r="Q1539">
        <v>0.86</v>
      </c>
      <c r="R1539">
        <v>0.42</v>
      </c>
      <c r="S1539">
        <v>-3588</v>
      </c>
      <c r="T1539">
        <v>18876</v>
      </c>
      <c r="U1539">
        <v>39239</v>
      </c>
      <c r="V1539">
        <v>-82</v>
      </c>
      <c r="W1539">
        <v>-42.43</v>
      </c>
      <c r="X1539" s="10">
        <v>0.78482742226520785</v>
      </c>
      <c r="Y1539" s="9">
        <v>23800</v>
      </c>
      <c r="Z1539" s="9">
        <v>16150</v>
      </c>
      <c r="AA1539" s="9">
        <v>21700</v>
      </c>
      <c r="AB1539">
        <v>0.72549019607843135</v>
      </c>
      <c r="AC1539" s="11">
        <v>98.381494859683244</v>
      </c>
      <c r="AD1539" s="9">
        <v>17016.864406779663</v>
      </c>
      <c r="AE1539" s="8">
        <v>0.34365325077399383</v>
      </c>
    </row>
    <row r="1540" spans="1:31" x14ac:dyDescent="0.35">
      <c r="A1540" s="6" t="s">
        <v>1561</v>
      </c>
      <c r="B1540" s="7">
        <v>9</v>
      </c>
      <c r="C1540" s="7">
        <v>0</v>
      </c>
      <c r="D1540" s="7">
        <v>4</v>
      </c>
      <c r="E1540" s="7">
        <v>5</v>
      </c>
      <c r="F1540">
        <v>355</v>
      </c>
      <c r="G1540">
        <v>-3</v>
      </c>
      <c r="H1540">
        <v>-0.97</v>
      </c>
      <c r="I1540">
        <v>-1</v>
      </c>
      <c r="J1540">
        <v>-0.25</v>
      </c>
      <c r="K1540">
        <v>476</v>
      </c>
      <c r="L1540">
        <v>66</v>
      </c>
      <c r="M1540">
        <v>409</v>
      </c>
      <c r="N1540">
        <v>-23.73</v>
      </c>
      <c r="O1540">
        <v>-0.28999999999999998</v>
      </c>
      <c r="P1540">
        <v>0</v>
      </c>
      <c r="Q1540">
        <v>1.35</v>
      </c>
      <c r="R1540">
        <v>1.1000000000000001</v>
      </c>
      <c r="S1540">
        <v>-1</v>
      </c>
      <c r="T1540">
        <v>358</v>
      </c>
      <c r="U1540">
        <v>441</v>
      </c>
      <c r="V1540">
        <v>-3</v>
      </c>
      <c r="W1540">
        <v>-178.1</v>
      </c>
      <c r="X1540" s="10">
        <v>4.6280804043822968E-2</v>
      </c>
      <c r="Y1540" s="9">
        <v>511</v>
      </c>
      <c r="Z1540" s="9">
        <v>378</v>
      </c>
      <c r="AA1540" s="9">
        <v>402</v>
      </c>
      <c r="AB1540">
        <v>0.18045112781954886</v>
      </c>
      <c r="AC1540" s="11">
        <v>0.367935537649347</v>
      </c>
      <c r="AD1540" s="9">
        <v>413.87796610169494</v>
      </c>
      <c r="AE1540" s="8">
        <v>-0.13548387096774195</v>
      </c>
    </row>
    <row r="1541" spans="1:31" x14ac:dyDescent="0.35">
      <c r="A1541" s="6" t="s">
        <v>1562</v>
      </c>
      <c r="B1541" s="7">
        <v>0</v>
      </c>
      <c r="C1541" s="7">
        <v>8</v>
      </c>
      <c r="D1541" s="7">
        <v>2</v>
      </c>
      <c r="E1541" s="7">
        <v>8</v>
      </c>
      <c r="F1541">
        <v>94</v>
      </c>
      <c r="G1541">
        <v>-35</v>
      </c>
      <c r="H1541">
        <v>-37.43</v>
      </c>
      <c r="I1541">
        <v>-36</v>
      </c>
      <c r="J1541">
        <v>-38.1</v>
      </c>
      <c r="K1541">
        <v>370</v>
      </c>
      <c r="L1541">
        <v>175</v>
      </c>
      <c r="M1541">
        <v>195</v>
      </c>
      <c r="N1541">
        <v>351.25</v>
      </c>
      <c r="O1541">
        <v>-22.45</v>
      </c>
      <c r="P1541">
        <v>0</v>
      </c>
      <c r="Q1541">
        <v>1.78</v>
      </c>
      <c r="R1541">
        <v>2.5</v>
      </c>
      <c r="S1541">
        <v>-532</v>
      </c>
      <c r="T1541">
        <v>1955</v>
      </c>
      <c r="U1541">
        <v>1396</v>
      </c>
      <c r="V1541">
        <v>-38</v>
      </c>
      <c r="W1541">
        <v>-9.84</v>
      </c>
      <c r="X1541" s="10">
        <v>0.67771297008527465</v>
      </c>
      <c r="Y1541" s="9">
        <v>3800</v>
      </c>
      <c r="Z1541" s="9">
        <v>2905</v>
      </c>
      <c r="AA1541" s="9">
        <v>3400</v>
      </c>
      <c r="AB1541">
        <v>0.55307262569832405</v>
      </c>
      <c r="AC1541" s="11">
        <v>11.027229786051683</v>
      </c>
      <c r="AD1541" s="9">
        <v>2852.0028248587573</v>
      </c>
      <c r="AE1541" s="8">
        <v>0.1703958691910499</v>
      </c>
    </row>
    <row r="1542" spans="1:31" x14ac:dyDescent="0.35">
      <c r="A1542" s="6" t="s">
        <v>1563</v>
      </c>
      <c r="B1542" s="7">
        <v>6</v>
      </c>
      <c r="C1542" s="7">
        <v>0</v>
      </c>
      <c r="D1542" s="7">
        <v>10</v>
      </c>
      <c r="E1542" s="7">
        <v>2</v>
      </c>
      <c r="F1542">
        <v>56</v>
      </c>
      <c r="G1542">
        <v>3</v>
      </c>
      <c r="H1542">
        <v>4.83</v>
      </c>
      <c r="I1542">
        <v>3</v>
      </c>
      <c r="J1542">
        <v>6.17</v>
      </c>
      <c r="K1542">
        <v>202</v>
      </c>
      <c r="L1542">
        <v>28</v>
      </c>
      <c r="M1542">
        <v>175</v>
      </c>
      <c r="N1542">
        <v>396.95</v>
      </c>
      <c r="O1542">
        <v>2.67</v>
      </c>
      <c r="P1542">
        <v>217.69</v>
      </c>
      <c r="Q1542">
        <v>7.19</v>
      </c>
      <c r="R1542">
        <v>13.24</v>
      </c>
      <c r="S1542">
        <v>65</v>
      </c>
      <c r="T1542">
        <v>1968</v>
      </c>
      <c r="U1542">
        <v>1069</v>
      </c>
      <c r="V1542">
        <v>7</v>
      </c>
      <c r="W1542">
        <v>136.02000000000001</v>
      </c>
      <c r="X1542" s="10">
        <v>0.14950189459651286</v>
      </c>
      <c r="Y1542" s="9">
        <v>15550</v>
      </c>
      <c r="Z1542" s="9">
        <v>13650</v>
      </c>
      <c r="AA1542" s="9">
        <v>13900</v>
      </c>
      <c r="AB1542">
        <v>0.13157894736842105</v>
      </c>
      <c r="AC1542" s="11">
        <v>-10.744651292025562</v>
      </c>
      <c r="AD1542" s="9">
        <v>14807.71186440678</v>
      </c>
      <c r="AE1542" s="8">
        <v>0</v>
      </c>
    </row>
    <row r="1543" spans="1:31" x14ac:dyDescent="0.35">
      <c r="A1543" s="6" t="s">
        <v>1564</v>
      </c>
      <c r="B1543" s="7">
        <v>9</v>
      </c>
      <c r="C1543" s="7">
        <v>3</v>
      </c>
      <c r="D1543" s="7">
        <v>5</v>
      </c>
      <c r="E1543" s="7">
        <v>1</v>
      </c>
      <c r="F1543">
        <v>100</v>
      </c>
      <c r="G1543">
        <v>11</v>
      </c>
      <c r="H1543">
        <v>11.27</v>
      </c>
      <c r="I1543">
        <v>0</v>
      </c>
      <c r="J1543">
        <v>0.21</v>
      </c>
      <c r="K1543">
        <v>344</v>
      </c>
      <c r="L1543">
        <v>150</v>
      </c>
      <c r="M1543">
        <v>194</v>
      </c>
      <c r="N1543">
        <v>184.71</v>
      </c>
      <c r="O1543">
        <v>0.11</v>
      </c>
      <c r="P1543">
        <v>13800</v>
      </c>
      <c r="Q1543">
        <v>17.670000000000002</v>
      </c>
      <c r="R1543">
        <v>19.3</v>
      </c>
      <c r="S1543">
        <v>1</v>
      </c>
      <c r="T1543">
        <v>781</v>
      </c>
      <c r="U1543">
        <v>715</v>
      </c>
      <c r="V1543">
        <v>19</v>
      </c>
      <c r="W1543">
        <v>99.56</v>
      </c>
      <c r="X1543" s="10">
        <v>0.61715530076305247</v>
      </c>
      <c r="Y1543" s="9">
        <v>24800</v>
      </c>
      <c r="Z1543" s="9">
        <v>13700</v>
      </c>
      <c r="AA1543" s="9">
        <v>23800</v>
      </c>
      <c r="AB1543">
        <v>0.90990990990990994</v>
      </c>
      <c r="AC1543" s="11">
        <v>142.65490414003889</v>
      </c>
      <c r="AD1543" s="9">
        <v>16496.525423728814</v>
      </c>
      <c r="AE1543" s="8">
        <v>0.73722627737226276</v>
      </c>
    </row>
    <row r="1544" spans="1:31" x14ac:dyDescent="0.35">
      <c r="A1544" s="6" t="s">
        <v>1565</v>
      </c>
      <c r="B1544" s="7">
        <v>7</v>
      </c>
      <c r="C1544" s="7">
        <v>2</v>
      </c>
      <c r="D1544" s="7">
        <v>8</v>
      </c>
      <c r="E1544" s="7">
        <v>1</v>
      </c>
      <c r="F1544">
        <v>1454</v>
      </c>
      <c r="G1544">
        <v>33</v>
      </c>
      <c r="H1544">
        <v>2.2599999999999998</v>
      </c>
      <c r="I1544">
        <v>122</v>
      </c>
      <c r="J1544">
        <v>8.41</v>
      </c>
      <c r="K1544">
        <v>1166</v>
      </c>
      <c r="L1544">
        <v>408</v>
      </c>
      <c r="M1544">
        <v>759</v>
      </c>
      <c r="N1544">
        <v>1417.39</v>
      </c>
      <c r="O1544">
        <v>17.239999999999998</v>
      </c>
      <c r="P1544">
        <v>5.96</v>
      </c>
      <c r="Q1544">
        <v>1</v>
      </c>
      <c r="R1544">
        <v>0.5</v>
      </c>
      <c r="S1544">
        <v>1223</v>
      </c>
      <c r="T1544">
        <v>7274</v>
      </c>
      <c r="U1544">
        <v>14537</v>
      </c>
      <c r="V1544">
        <v>85</v>
      </c>
      <c r="W1544">
        <v>9.41</v>
      </c>
      <c r="X1544" s="10">
        <v>0.16592515016900244</v>
      </c>
      <c r="Y1544" s="9">
        <v>8280</v>
      </c>
      <c r="Z1544" s="9">
        <v>6970</v>
      </c>
      <c r="AA1544" s="9">
        <v>8230</v>
      </c>
      <c r="AB1544">
        <v>0.96183206106870234</v>
      </c>
      <c r="AC1544" s="11">
        <v>8.1530980828007777</v>
      </c>
      <c r="AD1544" s="9">
        <v>7377.8305084745762</v>
      </c>
      <c r="AE1544" s="8">
        <v>0.10618279569892473</v>
      </c>
    </row>
    <row r="1545" spans="1:31" x14ac:dyDescent="0.35">
      <c r="A1545" s="6" t="s">
        <v>1566</v>
      </c>
      <c r="B1545" s="7">
        <v>9</v>
      </c>
      <c r="C1545" s="7">
        <v>0</v>
      </c>
      <c r="D1545" s="7">
        <v>6</v>
      </c>
      <c r="E1545" s="7">
        <v>3</v>
      </c>
      <c r="F1545">
        <v>153</v>
      </c>
      <c r="G1545">
        <v>105</v>
      </c>
      <c r="H1545">
        <v>68.569999999999993</v>
      </c>
      <c r="I1545">
        <v>95</v>
      </c>
      <c r="J1545">
        <v>62.03</v>
      </c>
      <c r="K1545">
        <v>756</v>
      </c>
      <c r="L1545">
        <v>178</v>
      </c>
      <c r="M1545">
        <v>578</v>
      </c>
      <c r="N1545">
        <v>4474.1000000000004</v>
      </c>
      <c r="O1545">
        <v>23.1</v>
      </c>
      <c r="P1545">
        <v>5.63</v>
      </c>
      <c r="Q1545">
        <v>1.5</v>
      </c>
      <c r="R1545">
        <v>0</v>
      </c>
      <c r="S1545">
        <v>4988</v>
      </c>
      <c r="T1545">
        <v>18703</v>
      </c>
      <c r="U1545">
        <v>0</v>
      </c>
      <c r="V1545">
        <v>141</v>
      </c>
      <c r="W1545">
        <v>6.09</v>
      </c>
      <c r="X1545" s="10">
        <v>0.59249046617257428</v>
      </c>
      <c r="Y1545" s="9">
        <v>27450</v>
      </c>
      <c r="Z1545" s="9">
        <v>22300</v>
      </c>
      <c r="AA1545" s="9">
        <v>26400</v>
      </c>
      <c r="AB1545">
        <v>0.79611650485436891</v>
      </c>
      <c r="AC1545" s="11">
        <v>61.615726590719646</v>
      </c>
      <c r="AD1545" s="9">
        <v>23299.887005649718</v>
      </c>
      <c r="AE1545" s="8">
        <v>1.7341040462427744E-2</v>
      </c>
    </row>
    <row r="1546" spans="1:31" x14ac:dyDescent="0.35">
      <c r="A1546" s="6" t="s">
        <v>1567</v>
      </c>
      <c r="B1546" s="7">
        <v>0</v>
      </c>
      <c r="C1546" s="7">
        <v>5</v>
      </c>
      <c r="D1546" s="7">
        <v>0</v>
      </c>
      <c r="E1546" s="7">
        <v>13</v>
      </c>
      <c r="F1546">
        <v>509</v>
      </c>
      <c r="G1546">
        <v>-28</v>
      </c>
      <c r="H1546">
        <v>-5.42</v>
      </c>
      <c r="I1546">
        <v>-43</v>
      </c>
      <c r="J1546">
        <v>-8.41</v>
      </c>
      <c r="K1546">
        <v>616</v>
      </c>
      <c r="L1546">
        <v>159</v>
      </c>
      <c r="M1546">
        <v>457</v>
      </c>
      <c r="N1546">
        <v>1008.88</v>
      </c>
      <c r="O1546">
        <v>-11.78</v>
      </c>
      <c r="P1546">
        <v>0</v>
      </c>
      <c r="Q1546">
        <v>1.1299999999999999</v>
      </c>
      <c r="R1546">
        <v>0.69</v>
      </c>
      <c r="S1546">
        <v>-696</v>
      </c>
      <c r="T1546">
        <v>5111</v>
      </c>
      <c r="U1546">
        <v>8280</v>
      </c>
      <c r="V1546">
        <v>-21</v>
      </c>
      <c r="W1546">
        <v>-23.63</v>
      </c>
      <c r="X1546" s="10">
        <v>0.63127004542079557</v>
      </c>
      <c r="Y1546" s="9">
        <v>8390</v>
      </c>
      <c r="Z1546" s="9">
        <v>4500</v>
      </c>
      <c r="AA1546" s="9">
        <v>7000</v>
      </c>
      <c r="AB1546">
        <v>0.64267352185089976</v>
      </c>
      <c r="AC1546" s="11">
        <v>40.862461794943044</v>
      </c>
      <c r="AD1546" s="9">
        <v>5291.3615819209044</v>
      </c>
      <c r="AE1546" s="8">
        <v>0.55555555555555558</v>
      </c>
    </row>
    <row r="1547" spans="1:31" x14ac:dyDescent="0.35">
      <c r="A1547" s="6" t="s">
        <v>1568</v>
      </c>
      <c r="B1547" s="7">
        <v>2</v>
      </c>
      <c r="C1547" s="7">
        <v>10</v>
      </c>
      <c r="D1547" s="7">
        <v>1</v>
      </c>
      <c r="E1547" s="7">
        <v>5</v>
      </c>
      <c r="F1547">
        <v>363</v>
      </c>
      <c r="G1547">
        <v>21</v>
      </c>
      <c r="H1547">
        <v>5.68</v>
      </c>
      <c r="I1547">
        <v>3</v>
      </c>
      <c r="J1547">
        <v>0.77</v>
      </c>
      <c r="K1547">
        <v>968</v>
      </c>
      <c r="L1547">
        <v>397</v>
      </c>
      <c r="M1547">
        <v>572</v>
      </c>
      <c r="N1547">
        <v>1544.62</v>
      </c>
      <c r="O1547">
        <v>0.62</v>
      </c>
      <c r="P1547">
        <v>289.36</v>
      </c>
      <c r="Q1547">
        <v>2.17</v>
      </c>
      <c r="R1547">
        <v>2.25</v>
      </c>
      <c r="S1547">
        <v>47</v>
      </c>
      <c r="T1547">
        <v>6276</v>
      </c>
      <c r="U1547">
        <v>6035</v>
      </c>
      <c r="V1547">
        <v>27</v>
      </c>
      <c r="W1547">
        <v>53.04</v>
      </c>
      <c r="X1547" s="10">
        <v>0.59295738318300184</v>
      </c>
      <c r="Y1547" s="9">
        <v>19250</v>
      </c>
      <c r="Z1547" s="9">
        <v>12300</v>
      </c>
      <c r="AA1547" s="9">
        <v>18050</v>
      </c>
      <c r="AB1547">
        <v>0.82733812949640284</v>
      </c>
      <c r="AC1547" s="11">
        <v>97.277021394831891</v>
      </c>
      <c r="AD1547" s="9">
        <v>12248.050847457627</v>
      </c>
      <c r="AE1547" s="8">
        <v>0.46747967479674796</v>
      </c>
    </row>
    <row r="1548" spans="1:31" x14ac:dyDescent="0.35">
      <c r="A1548" s="6" t="s">
        <v>1569</v>
      </c>
      <c r="B1548" s="7">
        <v>3</v>
      </c>
      <c r="C1548" s="7">
        <v>2</v>
      </c>
      <c r="D1548" s="7">
        <v>10</v>
      </c>
      <c r="E1548" s="7">
        <v>3</v>
      </c>
      <c r="F1548">
        <v>299</v>
      </c>
      <c r="G1548">
        <v>34</v>
      </c>
      <c r="H1548">
        <v>11.35</v>
      </c>
      <c r="I1548">
        <v>20</v>
      </c>
      <c r="J1548">
        <v>6.67</v>
      </c>
      <c r="K1548">
        <v>1244</v>
      </c>
      <c r="L1548">
        <v>256</v>
      </c>
      <c r="M1548">
        <v>988</v>
      </c>
      <c r="N1548">
        <v>964.85</v>
      </c>
      <c r="O1548">
        <v>2.71</v>
      </c>
      <c r="P1548">
        <v>49.65</v>
      </c>
      <c r="Q1548">
        <v>1.39</v>
      </c>
      <c r="R1548">
        <v>3.31</v>
      </c>
      <c r="S1548">
        <v>143</v>
      </c>
      <c r="T1548">
        <v>5100</v>
      </c>
      <c r="U1548">
        <v>2148</v>
      </c>
      <c r="V1548">
        <v>61</v>
      </c>
      <c r="W1548">
        <v>21.78</v>
      </c>
      <c r="X1548" s="10">
        <v>0.62193539503607997</v>
      </c>
      <c r="Y1548" s="9">
        <v>8020</v>
      </c>
      <c r="Z1548" s="9">
        <v>6760</v>
      </c>
      <c r="AA1548" s="9">
        <v>6830</v>
      </c>
      <c r="AB1548">
        <v>5.5555555555555552E-2</v>
      </c>
      <c r="AC1548" s="11">
        <v>-16.387607668796889</v>
      </c>
      <c r="AD1548" s="9">
        <v>7779.6553672316386</v>
      </c>
      <c r="AE1548" s="8">
        <v>5.8910162002945507E-3</v>
      </c>
    </row>
    <row r="1549" spans="1:31" x14ac:dyDescent="0.35">
      <c r="A1549" s="6" t="s">
        <v>1570</v>
      </c>
      <c r="B1549" s="7">
        <v>7</v>
      </c>
      <c r="C1549" s="7">
        <v>0</v>
      </c>
      <c r="D1549" s="7">
        <v>6</v>
      </c>
      <c r="E1549" s="7">
        <v>5</v>
      </c>
      <c r="F1549">
        <v>323</v>
      </c>
      <c r="G1549">
        <v>21</v>
      </c>
      <c r="H1549">
        <v>6.45</v>
      </c>
      <c r="I1549">
        <v>16</v>
      </c>
      <c r="J1549">
        <v>4.8600000000000003</v>
      </c>
      <c r="K1549">
        <v>690</v>
      </c>
      <c r="L1549">
        <v>112</v>
      </c>
      <c r="M1549">
        <v>578</v>
      </c>
      <c r="N1549">
        <v>375.17</v>
      </c>
      <c r="O1549">
        <v>2.77</v>
      </c>
      <c r="P1549">
        <v>113.12</v>
      </c>
      <c r="Q1549">
        <v>3.75</v>
      </c>
      <c r="R1549">
        <v>5.46</v>
      </c>
      <c r="S1549">
        <v>64</v>
      </c>
      <c r="T1549">
        <v>1932</v>
      </c>
      <c r="U1549">
        <v>1325</v>
      </c>
      <c r="V1549">
        <v>49</v>
      </c>
      <c r="W1549">
        <v>36.31</v>
      </c>
      <c r="X1549" s="10">
        <v>0.67000478934624996</v>
      </c>
      <c r="Y1549" s="9">
        <v>9330</v>
      </c>
      <c r="Z1549" s="9">
        <v>7080</v>
      </c>
      <c r="AA1549" s="9">
        <v>9250</v>
      </c>
      <c r="AB1549">
        <v>0.96444444444444444</v>
      </c>
      <c r="AC1549" s="11">
        <v>25.206724090025009</v>
      </c>
      <c r="AD1549" s="9">
        <v>6963.3615819209044</v>
      </c>
      <c r="AE1549" s="8">
        <v>0.30649717514124292</v>
      </c>
    </row>
    <row r="1550" spans="1:31" x14ac:dyDescent="0.35">
      <c r="A1550" s="6" t="s">
        <v>1571</v>
      </c>
      <c r="B1550" s="7">
        <v>4</v>
      </c>
      <c r="C1550" s="7">
        <v>2</v>
      </c>
      <c r="D1550" s="7">
        <v>5</v>
      </c>
      <c r="E1550" s="7">
        <v>7</v>
      </c>
      <c r="F1550">
        <v>547</v>
      </c>
      <c r="G1550">
        <v>19</v>
      </c>
      <c r="H1550">
        <v>3.39</v>
      </c>
      <c r="I1550">
        <v>6</v>
      </c>
      <c r="J1550">
        <v>1.17</v>
      </c>
      <c r="K1550">
        <v>1918</v>
      </c>
      <c r="L1550">
        <v>706</v>
      </c>
      <c r="M1550">
        <v>1212</v>
      </c>
      <c r="N1550">
        <v>2545.17</v>
      </c>
      <c r="O1550">
        <v>0.53</v>
      </c>
      <c r="P1550">
        <v>84.14</v>
      </c>
      <c r="Q1550">
        <v>0.45</v>
      </c>
      <c r="R1550">
        <v>0.99</v>
      </c>
      <c r="S1550">
        <v>70</v>
      </c>
      <c r="T1550">
        <v>12979</v>
      </c>
      <c r="U1550">
        <v>5955</v>
      </c>
      <c r="V1550">
        <v>72</v>
      </c>
      <c r="W1550">
        <v>10.66</v>
      </c>
      <c r="X1550" s="10">
        <v>0.48834506288193552</v>
      </c>
      <c r="Y1550" s="9">
        <v>6300</v>
      </c>
      <c r="Z1550" s="9">
        <v>5240</v>
      </c>
      <c r="AA1550" s="9">
        <v>6200</v>
      </c>
      <c r="AB1550">
        <v>0.90566037735849059</v>
      </c>
      <c r="AC1550" s="11">
        <v>13.881355932203387</v>
      </c>
      <c r="AD1550" s="9">
        <v>5264.7853107344636</v>
      </c>
      <c r="AE1550" s="8">
        <v>5.8020477815699661E-2</v>
      </c>
    </row>
    <row r="1551" spans="1:31" x14ac:dyDescent="0.35">
      <c r="A1551" s="6" t="s">
        <v>1572</v>
      </c>
      <c r="B1551" s="7">
        <v>0</v>
      </c>
      <c r="C1551" s="7">
        <v>8</v>
      </c>
      <c r="D1551" s="7">
        <v>2</v>
      </c>
      <c r="E1551" s="7">
        <v>8</v>
      </c>
      <c r="F1551">
        <v>89</v>
      </c>
      <c r="G1551">
        <v>2</v>
      </c>
      <c r="H1551">
        <v>1.99</v>
      </c>
      <c r="I1551">
        <v>-67</v>
      </c>
      <c r="J1551">
        <v>-75.95</v>
      </c>
      <c r="K1551">
        <v>261</v>
      </c>
      <c r="L1551">
        <v>172</v>
      </c>
      <c r="M1551">
        <v>89</v>
      </c>
      <c r="N1551">
        <v>53.45</v>
      </c>
      <c r="O1551">
        <v>-63.68</v>
      </c>
      <c r="P1551">
        <v>0</v>
      </c>
      <c r="Q1551">
        <v>1.1599999999999999</v>
      </c>
      <c r="R1551">
        <v>1.01</v>
      </c>
      <c r="S1551">
        <v>-667</v>
      </c>
      <c r="T1551">
        <v>766</v>
      </c>
      <c r="U1551">
        <v>879</v>
      </c>
      <c r="V1551">
        <v>4</v>
      </c>
      <c r="W1551">
        <v>45.07</v>
      </c>
      <c r="X1551" s="10">
        <v>0.46948883432713728</v>
      </c>
      <c r="Y1551" s="9">
        <v>2430</v>
      </c>
      <c r="Z1551" s="9">
        <v>846</v>
      </c>
      <c r="AA1551" s="9">
        <v>1300</v>
      </c>
      <c r="AB1551">
        <v>0.2866161616161616</v>
      </c>
      <c r="AC1551" s="11">
        <v>14.154765212559044</v>
      </c>
      <c r="AD1551" s="9">
        <v>746.91299435028259</v>
      </c>
      <c r="AE1551" s="8">
        <v>0.43014301430143015</v>
      </c>
    </row>
    <row r="1552" spans="1:31" x14ac:dyDescent="0.35">
      <c r="A1552" s="6" t="s">
        <v>1573</v>
      </c>
      <c r="B1552" s="7">
        <v>4</v>
      </c>
      <c r="C1552" s="7">
        <v>7</v>
      </c>
      <c r="D1552" s="7">
        <v>6</v>
      </c>
      <c r="E1552" s="7">
        <v>1</v>
      </c>
      <c r="F1552">
        <v>4013</v>
      </c>
      <c r="G1552">
        <v>152</v>
      </c>
      <c r="H1552">
        <v>3.79</v>
      </c>
      <c r="I1552">
        <v>127</v>
      </c>
      <c r="J1552">
        <v>3.18</v>
      </c>
      <c r="K1552">
        <v>6048</v>
      </c>
      <c r="L1552">
        <v>2764</v>
      </c>
      <c r="M1552">
        <v>3284</v>
      </c>
      <c r="N1552">
        <v>1217.29</v>
      </c>
      <c r="O1552">
        <v>3.92</v>
      </c>
      <c r="P1552">
        <v>28.61</v>
      </c>
      <c r="Q1552">
        <v>1.31</v>
      </c>
      <c r="R1552">
        <v>0.91</v>
      </c>
      <c r="S1552">
        <v>526</v>
      </c>
      <c r="T1552">
        <v>11458</v>
      </c>
      <c r="U1552">
        <v>16559</v>
      </c>
      <c r="V1552">
        <v>321</v>
      </c>
      <c r="W1552">
        <v>15.72</v>
      </c>
      <c r="X1552" s="10">
        <v>0.40029972351416948</v>
      </c>
      <c r="Y1552" s="9">
        <v>20550</v>
      </c>
      <c r="Z1552" s="9">
        <v>14900</v>
      </c>
      <c r="AA1552" s="9">
        <v>17250</v>
      </c>
      <c r="AB1552">
        <v>0.41592920353982299</v>
      </c>
      <c r="AC1552" s="11">
        <v>59.380383439844401</v>
      </c>
      <c r="AD1552" s="9">
        <v>15633.898305084746</v>
      </c>
      <c r="AE1552" s="8">
        <v>0.14238410596026491</v>
      </c>
    </row>
    <row r="1553" spans="1:31" x14ac:dyDescent="0.35">
      <c r="A1553" s="6" t="s">
        <v>1574</v>
      </c>
      <c r="B1553" s="7">
        <v>3</v>
      </c>
      <c r="C1553" s="7">
        <v>0</v>
      </c>
      <c r="D1553" s="7">
        <v>9</v>
      </c>
      <c r="E1553" s="7">
        <v>6</v>
      </c>
      <c r="F1553">
        <v>1747</v>
      </c>
      <c r="G1553">
        <v>-323</v>
      </c>
      <c r="H1553">
        <v>-18.47</v>
      </c>
      <c r="I1553">
        <v>-348</v>
      </c>
      <c r="J1553">
        <v>-19.89</v>
      </c>
      <c r="K1553">
        <v>2616</v>
      </c>
      <c r="L1553">
        <v>1693</v>
      </c>
      <c r="M1553">
        <v>922</v>
      </c>
      <c r="N1553">
        <v>248.19</v>
      </c>
      <c r="O1553">
        <v>-31.54</v>
      </c>
      <c r="P1553">
        <v>0</v>
      </c>
      <c r="Q1553">
        <v>0.34</v>
      </c>
      <c r="R1553">
        <v>0.17</v>
      </c>
      <c r="S1553">
        <v>-6934</v>
      </c>
      <c r="T1553">
        <v>16727</v>
      </c>
      <c r="U1553">
        <v>34435</v>
      </c>
      <c r="V1553">
        <v>-312</v>
      </c>
      <c r="W1553">
        <v>-3.76</v>
      </c>
      <c r="X1553" s="10">
        <v>0.37991840753661321</v>
      </c>
      <c r="Y1553" s="9">
        <v>7430</v>
      </c>
      <c r="Z1553" s="9">
        <v>5680</v>
      </c>
      <c r="AA1553" s="9">
        <v>6300</v>
      </c>
      <c r="AB1553">
        <v>0.35428571428571426</v>
      </c>
      <c r="AC1553" s="11">
        <v>15.731314253959432</v>
      </c>
      <c r="AD1553" s="9">
        <v>5852.6949152542375</v>
      </c>
      <c r="AE1553" s="8">
        <v>0.10139860139860139</v>
      </c>
    </row>
    <row r="1554" spans="1:31" x14ac:dyDescent="0.35">
      <c r="A1554" s="6" t="s">
        <v>1575</v>
      </c>
      <c r="B1554" s="7">
        <v>0</v>
      </c>
      <c r="C1554" s="7">
        <v>0</v>
      </c>
      <c r="D1554" s="7">
        <v>0</v>
      </c>
      <c r="E1554" s="7">
        <v>18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 s="10">
        <v>0.569389856465639</v>
      </c>
      <c r="Y1554" s="9">
        <v>30450</v>
      </c>
      <c r="Z1554" s="9">
        <v>19450</v>
      </c>
      <c r="AA1554" s="9">
        <v>24150</v>
      </c>
      <c r="AB1554">
        <v>0.42727272727272725</v>
      </c>
      <c r="AC1554" s="11">
        <v>133.02167268685744</v>
      </c>
      <c r="AD1554" s="9">
        <v>19398.672316384182</v>
      </c>
      <c r="AE1554" s="8">
        <v>0.2416452442159383</v>
      </c>
    </row>
    <row r="1555" spans="1:31" x14ac:dyDescent="0.35">
      <c r="A1555" s="6" t="s">
        <v>1576</v>
      </c>
      <c r="B1555" s="7">
        <v>7</v>
      </c>
      <c r="C1555" s="7">
        <v>5</v>
      </c>
      <c r="D1555" s="7">
        <v>0</v>
      </c>
      <c r="E1555" s="7">
        <v>6</v>
      </c>
      <c r="F1555">
        <v>628</v>
      </c>
      <c r="G1555">
        <v>24</v>
      </c>
      <c r="H1555">
        <v>3.87</v>
      </c>
      <c r="I1555">
        <v>40</v>
      </c>
      <c r="J1555">
        <v>6.42</v>
      </c>
      <c r="K1555">
        <v>3784</v>
      </c>
      <c r="L1555">
        <v>497</v>
      </c>
      <c r="M1555">
        <v>3287</v>
      </c>
      <c r="N1555">
        <v>3125.84</v>
      </c>
      <c r="O1555">
        <v>1.24</v>
      </c>
      <c r="P1555">
        <v>40.31</v>
      </c>
      <c r="Q1555">
        <v>0.98</v>
      </c>
      <c r="R1555">
        <v>2.59</v>
      </c>
      <c r="S1555">
        <v>3002</v>
      </c>
      <c r="T1555">
        <v>123296</v>
      </c>
      <c r="U1555">
        <v>46756</v>
      </c>
      <c r="V1555">
        <v>52</v>
      </c>
      <c r="W1555">
        <v>61.4</v>
      </c>
      <c r="X1555" s="10">
        <v>0.32444733227238731</v>
      </c>
      <c r="Y1555" s="9">
        <v>131500</v>
      </c>
      <c r="Z1555" s="9">
        <v>109000</v>
      </c>
      <c r="AA1555" s="9">
        <v>119000</v>
      </c>
      <c r="AB1555">
        <v>0.44444444444444442</v>
      </c>
      <c r="AC1555" s="11">
        <v>-213.60100027785501</v>
      </c>
      <c r="AD1555" s="9">
        <v>125206.49717514125</v>
      </c>
      <c r="AE1555" s="8">
        <v>-2.4590163934426229E-2</v>
      </c>
    </row>
    <row r="1556" spans="1:31" x14ac:dyDescent="0.35">
      <c r="A1556" s="6" t="s">
        <v>1577</v>
      </c>
      <c r="B1556" s="7">
        <v>1</v>
      </c>
      <c r="C1556" s="7">
        <v>12</v>
      </c>
      <c r="D1556" s="7">
        <v>4</v>
      </c>
      <c r="E1556" s="7">
        <v>1</v>
      </c>
      <c r="F1556">
        <v>115</v>
      </c>
      <c r="G1556">
        <v>21</v>
      </c>
      <c r="H1556">
        <v>18.23</v>
      </c>
      <c r="I1556">
        <v>19</v>
      </c>
      <c r="J1556">
        <v>16.14</v>
      </c>
      <c r="K1556">
        <v>278</v>
      </c>
      <c r="L1556">
        <v>36</v>
      </c>
      <c r="M1556">
        <v>242</v>
      </c>
      <c r="N1556">
        <v>470.65</v>
      </c>
      <c r="O1556">
        <v>7.99</v>
      </c>
      <c r="P1556">
        <v>19.07</v>
      </c>
      <c r="Q1556">
        <v>1.53</v>
      </c>
      <c r="R1556">
        <v>3.05</v>
      </c>
      <c r="S1556">
        <v>43</v>
      </c>
      <c r="T1556">
        <v>535</v>
      </c>
      <c r="U1556">
        <v>269</v>
      </c>
      <c r="V1556">
        <v>27</v>
      </c>
      <c r="W1556">
        <v>13.4</v>
      </c>
      <c r="X1556" s="10">
        <v>0.79980764701545326</v>
      </c>
      <c r="Y1556" s="9">
        <v>1190</v>
      </c>
      <c r="Z1556" s="9">
        <v>785</v>
      </c>
      <c r="AA1556" s="9">
        <v>1175</v>
      </c>
      <c r="AB1556">
        <v>0.96296296296296291</v>
      </c>
      <c r="AC1556" s="11">
        <v>6.3819672131147538</v>
      </c>
      <c r="AD1556" s="9">
        <v>744.7</v>
      </c>
      <c r="AE1556" s="8">
        <v>0.42079806529625152</v>
      </c>
    </row>
    <row r="1557" spans="1:31" x14ac:dyDescent="0.35">
      <c r="A1557" s="6" t="s">
        <v>1578</v>
      </c>
      <c r="B1557" s="7">
        <v>9</v>
      </c>
      <c r="C1557" s="7">
        <v>0</v>
      </c>
      <c r="D1557" s="7">
        <v>7</v>
      </c>
      <c r="E1557" s="7">
        <v>2</v>
      </c>
      <c r="F1557">
        <v>3108</v>
      </c>
      <c r="G1557">
        <v>34</v>
      </c>
      <c r="H1557">
        <v>1.1000000000000001</v>
      </c>
      <c r="I1557">
        <v>60</v>
      </c>
      <c r="J1557">
        <v>1.92</v>
      </c>
      <c r="K1557">
        <v>5626</v>
      </c>
      <c r="L1557">
        <v>786</v>
      </c>
      <c r="M1557">
        <v>4840</v>
      </c>
      <c r="N1557">
        <v>3961.87</v>
      </c>
      <c r="O1557">
        <v>1.23</v>
      </c>
      <c r="P1557">
        <v>67.66</v>
      </c>
      <c r="Q1557">
        <v>0.85</v>
      </c>
      <c r="R1557">
        <v>1.3</v>
      </c>
      <c r="S1557">
        <v>2542</v>
      </c>
      <c r="T1557">
        <v>201350</v>
      </c>
      <c r="U1557">
        <v>132472</v>
      </c>
      <c r="V1557">
        <v>156</v>
      </c>
      <c r="W1557">
        <v>26.43</v>
      </c>
      <c r="X1557" s="10">
        <v>0.44376127150327266</v>
      </c>
      <c r="Y1557" s="9">
        <v>186000</v>
      </c>
      <c r="Z1557" s="9">
        <v>163000</v>
      </c>
      <c r="AA1557" s="9">
        <v>185000</v>
      </c>
      <c r="AB1557">
        <v>0.95652173913043481</v>
      </c>
      <c r="AC1557" s="11">
        <v>226.97971658794106</v>
      </c>
      <c r="AD1557" s="9">
        <v>165860.45197740113</v>
      </c>
      <c r="AE1557" s="8">
        <v>7.5581395348837205E-2</v>
      </c>
    </row>
    <row r="1558" spans="1:31" x14ac:dyDescent="0.35">
      <c r="A1558" s="6" t="s">
        <v>1579</v>
      </c>
      <c r="B1558" s="7">
        <v>7</v>
      </c>
      <c r="C1558" s="7">
        <v>0</v>
      </c>
      <c r="D1558" s="7">
        <v>3</v>
      </c>
      <c r="E1558" s="7">
        <v>8</v>
      </c>
      <c r="F1558">
        <v>277</v>
      </c>
      <c r="G1558">
        <v>5</v>
      </c>
      <c r="H1558">
        <v>1.95</v>
      </c>
      <c r="I1558">
        <v>1</v>
      </c>
      <c r="J1558">
        <v>0.4</v>
      </c>
      <c r="K1558">
        <v>820</v>
      </c>
      <c r="L1558">
        <v>260</v>
      </c>
      <c r="M1558">
        <v>560</v>
      </c>
      <c r="N1558">
        <v>45.6</v>
      </c>
      <c r="O1558">
        <v>0.26</v>
      </c>
      <c r="P1558">
        <v>1125</v>
      </c>
      <c r="Q1558">
        <v>1.6</v>
      </c>
      <c r="R1558">
        <v>2.36</v>
      </c>
      <c r="S1558">
        <v>1</v>
      </c>
      <c r="T1558">
        <v>705</v>
      </c>
      <c r="U1558">
        <v>477</v>
      </c>
      <c r="V1558">
        <v>13</v>
      </c>
      <c r="W1558">
        <v>75.58</v>
      </c>
      <c r="X1558" s="10">
        <v>0.32273136613357106</v>
      </c>
      <c r="Y1558" s="9">
        <v>1285</v>
      </c>
      <c r="Z1558" s="9">
        <v>1115</v>
      </c>
      <c r="AA1558" s="9">
        <v>1185</v>
      </c>
      <c r="AB1558">
        <v>0.41176470588235292</v>
      </c>
      <c r="AC1558" s="11">
        <v>-1.3384273409280356</v>
      </c>
      <c r="AD1558" s="9">
        <v>1215.3220338983051</v>
      </c>
      <c r="AE1558" s="8">
        <v>-3.6585365853658534E-2</v>
      </c>
    </row>
    <row r="1559" spans="1:31" x14ac:dyDescent="0.35">
      <c r="A1559" s="6" t="s">
        <v>1580</v>
      </c>
      <c r="B1559" s="7">
        <v>15</v>
      </c>
      <c r="C1559" s="7">
        <v>1</v>
      </c>
      <c r="D1559" s="7">
        <v>2</v>
      </c>
      <c r="E1559" s="7">
        <v>0</v>
      </c>
      <c r="F1559">
        <v>815</v>
      </c>
      <c r="G1559">
        <v>43</v>
      </c>
      <c r="H1559">
        <v>5.28</v>
      </c>
      <c r="I1559">
        <v>32</v>
      </c>
      <c r="J1559">
        <v>3.96</v>
      </c>
      <c r="K1559">
        <v>460</v>
      </c>
      <c r="L1559">
        <v>273</v>
      </c>
      <c r="M1559">
        <v>186</v>
      </c>
      <c r="N1559">
        <v>303.25</v>
      </c>
      <c r="O1559">
        <v>25.19</v>
      </c>
      <c r="P1559">
        <v>5.22</v>
      </c>
      <c r="Q1559">
        <v>1.33</v>
      </c>
      <c r="R1559">
        <v>0.21</v>
      </c>
      <c r="S1559">
        <v>472</v>
      </c>
      <c r="T1559">
        <v>1849</v>
      </c>
      <c r="U1559">
        <v>11923</v>
      </c>
      <c r="V1559">
        <v>81</v>
      </c>
      <c r="W1559">
        <v>3.31</v>
      </c>
      <c r="X1559" s="10">
        <v>0.40091943847671141</v>
      </c>
      <c r="Y1559" s="9">
        <v>2935</v>
      </c>
      <c r="Z1559" s="9">
        <v>2160</v>
      </c>
      <c r="AA1559" s="9">
        <v>2580</v>
      </c>
      <c r="AB1559">
        <v>0.54193548387096779</v>
      </c>
      <c r="AC1559" s="11">
        <v>7.4669352597943872</v>
      </c>
      <c r="AD1559" s="9">
        <v>2321.0084745762711</v>
      </c>
      <c r="AE1559" s="8">
        <v>0.1889400921658986</v>
      </c>
    </row>
    <row r="1560" spans="1:31" x14ac:dyDescent="0.35">
      <c r="A1560" s="6" t="s">
        <v>1581</v>
      </c>
      <c r="B1560" s="7">
        <v>2</v>
      </c>
      <c r="C1560" s="7">
        <v>1</v>
      </c>
      <c r="D1560" s="7">
        <v>11</v>
      </c>
      <c r="E1560" s="7">
        <v>4</v>
      </c>
      <c r="F1560">
        <v>1110</v>
      </c>
      <c r="G1560">
        <v>-95</v>
      </c>
      <c r="H1560">
        <v>-8.58</v>
      </c>
      <c r="I1560">
        <v>-160</v>
      </c>
      <c r="J1560">
        <v>-14.42</v>
      </c>
      <c r="K1560">
        <v>3953</v>
      </c>
      <c r="L1560">
        <v>2282</v>
      </c>
      <c r="M1560">
        <v>1671</v>
      </c>
      <c r="N1560">
        <v>280.36</v>
      </c>
      <c r="O1560">
        <v>-12.17</v>
      </c>
      <c r="P1560">
        <v>0</v>
      </c>
      <c r="Q1560">
        <v>3.37</v>
      </c>
      <c r="R1560">
        <v>2.78</v>
      </c>
      <c r="S1560">
        <v>-1255</v>
      </c>
      <c r="T1560">
        <v>6998</v>
      </c>
      <c r="U1560">
        <v>8481</v>
      </c>
      <c r="V1560">
        <v>-32</v>
      </c>
      <c r="W1560">
        <v>-190.63</v>
      </c>
      <c r="X1560" s="10">
        <v>0.92168309966066564</v>
      </c>
      <c r="Y1560" s="9">
        <v>35200</v>
      </c>
      <c r="Z1560" s="9">
        <v>23600</v>
      </c>
      <c r="AA1560" s="9">
        <v>33400</v>
      </c>
      <c r="AB1560">
        <v>0.84482758620689657</v>
      </c>
      <c r="AC1560" s="11">
        <v>175.37510419560988</v>
      </c>
      <c r="AD1560" s="9">
        <v>23336.892655367232</v>
      </c>
      <c r="AE1560" s="8">
        <v>0.40041928721174003</v>
      </c>
    </row>
    <row r="1561" spans="1:31" x14ac:dyDescent="0.35">
      <c r="A1561" s="6" t="s">
        <v>1582</v>
      </c>
      <c r="B1561" s="7">
        <v>0</v>
      </c>
      <c r="C1561" s="7">
        <v>0</v>
      </c>
      <c r="D1561" s="7">
        <v>0</v>
      </c>
      <c r="E1561" s="7">
        <v>18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 s="10">
        <v>0.94624948393469532</v>
      </c>
      <c r="Y1561" s="9">
        <v>20850</v>
      </c>
      <c r="Z1561" s="9">
        <v>15000</v>
      </c>
      <c r="AA1561" s="9">
        <v>19550</v>
      </c>
      <c r="AB1561">
        <v>0.77777777777777779</v>
      </c>
      <c r="AC1561" s="11">
        <v>95.495971103084202</v>
      </c>
      <c r="AD1561" s="9">
        <v>14559.0395480226</v>
      </c>
      <c r="AE1561" s="8">
        <v>0.30333333333333334</v>
      </c>
    </row>
    <row r="1562" spans="1:31" x14ac:dyDescent="0.35">
      <c r="A1562" s="6" t="s">
        <v>1583</v>
      </c>
      <c r="B1562" s="7">
        <v>3</v>
      </c>
      <c r="C1562" s="7">
        <v>9</v>
      </c>
      <c r="D1562" s="7">
        <v>2</v>
      </c>
      <c r="E1562" s="7">
        <v>4</v>
      </c>
      <c r="F1562">
        <v>582</v>
      </c>
      <c r="G1562">
        <v>35</v>
      </c>
      <c r="H1562">
        <v>6.01</v>
      </c>
      <c r="I1562">
        <v>38</v>
      </c>
      <c r="J1562">
        <v>6.56</v>
      </c>
      <c r="K1562">
        <v>560</v>
      </c>
      <c r="L1562">
        <v>91</v>
      </c>
      <c r="M1562">
        <v>469</v>
      </c>
      <c r="N1562">
        <v>682.3</v>
      </c>
      <c r="O1562">
        <v>8.2799999999999994</v>
      </c>
      <c r="P1562">
        <v>6.9</v>
      </c>
      <c r="Q1562">
        <v>0.56999999999999995</v>
      </c>
      <c r="R1562">
        <v>0.45</v>
      </c>
      <c r="S1562">
        <v>3179</v>
      </c>
      <c r="T1562">
        <v>38768</v>
      </c>
      <c r="U1562">
        <v>48462</v>
      </c>
      <c r="V1562">
        <v>49</v>
      </c>
      <c r="W1562">
        <v>5.36</v>
      </c>
      <c r="X1562" s="10">
        <v>0.74915441625305756</v>
      </c>
      <c r="Y1562" s="9">
        <v>27000</v>
      </c>
      <c r="Z1562" s="9">
        <v>21050</v>
      </c>
      <c r="AA1562" s="9">
        <v>26100</v>
      </c>
      <c r="AB1562">
        <v>0.84873949579831931</v>
      </c>
      <c r="AC1562" s="11">
        <v>83.662128368991375</v>
      </c>
      <c r="AD1562" s="9">
        <v>20671.638418079096</v>
      </c>
      <c r="AE1562" s="8">
        <v>0.15486725663716813</v>
      </c>
    </row>
    <row r="1563" spans="1:31" x14ac:dyDescent="0.35">
      <c r="A1563" s="6" t="s">
        <v>1584</v>
      </c>
      <c r="B1563" s="7">
        <v>6</v>
      </c>
      <c r="C1563" s="7">
        <v>5</v>
      </c>
      <c r="D1563" s="7">
        <v>3</v>
      </c>
      <c r="E1563" s="7">
        <v>4</v>
      </c>
      <c r="F1563">
        <v>991</v>
      </c>
      <c r="G1563">
        <v>75</v>
      </c>
      <c r="H1563">
        <v>7.52</v>
      </c>
      <c r="I1563">
        <v>177</v>
      </c>
      <c r="J1563">
        <v>17.899999999999999</v>
      </c>
      <c r="K1563">
        <v>1667</v>
      </c>
      <c r="L1563">
        <v>597</v>
      </c>
      <c r="M1563">
        <v>1070</v>
      </c>
      <c r="N1563">
        <v>1482.93</v>
      </c>
      <c r="O1563">
        <v>17.98</v>
      </c>
      <c r="P1563">
        <v>8.49</v>
      </c>
      <c r="Q1563">
        <v>1.41</v>
      </c>
      <c r="R1563">
        <v>1.52</v>
      </c>
      <c r="S1563">
        <v>1313</v>
      </c>
      <c r="T1563">
        <v>7880</v>
      </c>
      <c r="U1563">
        <v>7333</v>
      </c>
      <c r="V1563">
        <v>169</v>
      </c>
      <c r="W1563">
        <v>8.92</v>
      </c>
      <c r="X1563" s="10">
        <v>0.30945052168671494</v>
      </c>
      <c r="Y1563" s="9">
        <v>13800</v>
      </c>
      <c r="Z1563" s="9">
        <v>11100</v>
      </c>
      <c r="AA1563" s="9">
        <v>12350</v>
      </c>
      <c r="AB1563">
        <v>0.46296296296296297</v>
      </c>
      <c r="AC1563" s="11">
        <v>22.092247846624058</v>
      </c>
      <c r="AD1563" s="9">
        <v>11614.5197740113</v>
      </c>
      <c r="AE1563" s="8">
        <v>0.10762331838565023</v>
      </c>
    </row>
    <row r="1564" spans="1:31" x14ac:dyDescent="0.35">
      <c r="A1564" s="6" t="s">
        <v>1585</v>
      </c>
      <c r="B1564" s="7">
        <v>8</v>
      </c>
      <c r="C1564" s="7">
        <v>4</v>
      </c>
      <c r="D1564" s="7">
        <v>1</v>
      </c>
      <c r="E1564" s="7">
        <v>5</v>
      </c>
      <c r="F1564">
        <v>802</v>
      </c>
      <c r="G1564">
        <v>85</v>
      </c>
      <c r="H1564">
        <v>10.55</v>
      </c>
      <c r="I1564">
        <v>58</v>
      </c>
      <c r="J1564">
        <v>7.24</v>
      </c>
      <c r="K1564">
        <v>1246</v>
      </c>
      <c r="L1564">
        <v>496</v>
      </c>
      <c r="M1564">
        <v>751</v>
      </c>
      <c r="N1564">
        <v>565.61</v>
      </c>
      <c r="O1564">
        <v>7.94</v>
      </c>
      <c r="P1564">
        <v>14.5</v>
      </c>
      <c r="Q1564">
        <v>1.1299999999999999</v>
      </c>
      <c r="R1564">
        <v>1.05</v>
      </c>
      <c r="S1564">
        <v>515</v>
      </c>
      <c r="T1564">
        <v>6613</v>
      </c>
      <c r="U1564">
        <v>7115</v>
      </c>
      <c r="V1564">
        <v>131</v>
      </c>
      <c r="W1564">
        <v>7.18</v>
      </c>
      <c r="X1564" s="10">
        <v>0.3802469521763302</v>
      </c>
      <c r="Y1564" s="9">
        <v>7900</v>
      </c>
      <c r="Z1564" s="9">
        <v>6730</v>
      </c>
      <c r="AA1564" s="9">
        <v>6890</v>
      </c>
      <c r="AB1564">
        <v>0.13675213675213677</v>
      </c>
      <c r="AC1564" s="11">
        <v>-9.2656293414837432</v>
      </c>
      <c r="AD1564" s="9">
        <v>7430.7683615819215</v>
      </c>
      <c r="AE1564" s="8">
        <v>-9.1029023746701854E-2</v>
      </c>
    </row>
    <row r="1565" spans="1:31" x14ac:dyDescent="0.35">
      <c r="A1565" s="6" t="s">
        <v>1586</v>
      </c>
      <c r="B1565" s="7">
        <v>0</v>
      </c>
      <c r="C1565" s="7">
        <v>5</v>
      </c>
      <c r="D1565" s="7">
        <v>2</v>
      </c>
      <c r="E1565" s="7">
        <v>11</v>
      </c>
      <c r="F1565">
        <v>4542</v>
      </c>
      <c r="G1565">
        <v>227</v>
      </c>
      <c r="H1565">
        <v>4.99</v>
      </c>
      <c r="I1565">
        <v>140</v>
      </c>
      <c r="J1565">
        <v>3.07</v>
      </c>
      <c r="K1565">
        <v>2541</v>
      </c>
      <c r="L1565">
        <v>958</v>
      </c>
      <c r="M1565">
        <v>1583</v>
      </c>
      <c r="N1565">
        <v>1018.78</v>
      </c>
      <c r="O1565">
        <v>9.0399999999999991</v>
      </c>
      <c r="P1565">
        <v>13.81</v>
      </c>
      <c r="Q1565">
        <v>1.28</v>
      </c>
      <c r="R1565">
        <v>0.42</v>
      </c>
      <c r="S1565">
        <v>494</v>
      </c>
      <c r="T1565">
        <v>5337</v>
      </c>
      <c r="U1565">
        <v>16078</v>
      </c>
      <c r="V1565">
        <v>401</v>
      </c>
      <c r="W1565">
        <v>5.52</v>
      </c>
      <c r="X1565" s="10">
        <v>0.54500271774176556</v>
      </c>
      <c r="Y1565" s="9">
        <v>7910</v>
      </c>
      <c r="Z1565" s="9">
        <v>6410</v>
      </c>
      <c r="AA1565" s="9">
        <v>7420</v>
      </c>
      <c r="AB1565">
        <v>0.67333333333333334</v>
      </c>
      <c r="AC1565" s="11">
        <v>16.56071130869686</v>
      </c>
      <c r="AD1565" s="9">
        <v>6619.2316384180785</v>
      </c>
      <c r="AE1565" s="8">
        <v>7.8488372093023256E-2</v>
      </c>
    </row>
    <row r="1566" spans="1:31" x14ac:dyDescent="0.35">
      <c r="A1566" s="6" t="s">
        <v>1587</v>
      </c>
      <c r="B1566" s="7">
        <v>9</v>
      </c>
      <c r="C1566" s="7">
        <v>1</v>
      </c>
      <c r="D1566" s="7">
        <v>6</v>
      </c>
      <c r="E1566" s="7">
        <v>2</v>
      </c>
      <c r="F1566">
        <v>1904</v>
      </c>
      <c r="G1566">
        <v>-14</v>
      </c>
      <c r="H1566">
        <v>-0.73</v>
      </c>
      <c r="I1566">
        <v>348</v>
      </c>
      <c r="J1566">
        <v>18.260000000000002</v>
      </c>
      <c r="K1566">
        <v>4642</v>
      </c>
      <c r="L1566">
        <v>1462</v>
      </c>
      <c r="M1566">
        <v>3181</v>
      </c>
      <c r="N1566">
        <v>1522.87</v>
      </c>
      <c r="O1566">
        <v>15.38</v>
      </c>
      <c r="P1566">
        <v>8.19</v>
      </c>
      <c r="Q1566">
        <v>1.22</v>
      </c>
      <c r="R1566">
        <v>1.5</v>
      </c>
      <c r="S1566">
        <v>1183</v>
      </c>
      <c r="T1566">
        <v>7967</v>
      </c>
      <c r="U1566">
        <v>6477</v>
      </c>
      <c r="V1566">
        <v>182</v>
      </c>
      <c r="W1566">
        <v>26.77</v>
      </c>
      <c r="X1566" s="10">
        <v>0.58983736303898682</v>
      </c>
      <c r="Y1566" s="9">
        <v>9250</v>
      </c>
      <c r="Z1566" s="9">
        <v>6450</v>
      </c>
      <c r="AA1566" s="9">
        <v>8460</v>
      </c>
      <c r="AB1566">
        <v>0.71785714285714286</v>
      </c>
      <c r="AC1566" s="11">
        <v>38.327313142539602</v>
      </c>
      <c r="AD1566" s="9">
        <v>6767.6836158192091</v>
      </c>
      <c r="AE1566" s="8">
        <v>0.18321678321678322</v>
      </c>
    </row>
    <row r="1567" spans="1:31" x14ac:dyDescent="0.35">
      <c r="A1567" s="6" t="s">
        <v>1588</v>
      </c>
      <c r="B1567" s="7">
        <v>11</v>
      </c>
      <c r="C1567" s="7">
        <v>0</v>
      </c>
      <c r="D1567" s="7">
        <v>4</v>
      </c>
      <c r="E1567" s="7">
        <v>3</v>
      </c>
      <c r="F1567">
        <v>7856</v>
      </c>
      <c r="G1567">
        <v>352</v>
      </c>
      <c r="H1567">
        <v>4.4800000000000004</v>
      </c>
      <c r="I1567">
        <v>176</v>
      </c>
      <c r="J1567">
        <v>2.2400000000000002</v>
      </c>
      <c r="K1567">
        <v>7876</v>
      </c>
      <c r="L1567">
        <v>4528</v>
      </c>
      <c r="M1567">
        <v>3349</v>
      </c>
      <c r="N1567">
        <v>803.18</v>
      </c>
      <c r="O1567">
        <v>5.37</v>
      </c>
      <c r="P1567">
        <v>16.760000000000002</v>
      </c>
      <c r="Q1567">
        <v>0.92</v>
      </c>
      <c r="R1567">
        <v>0.38</v>
      </c>
      <c r="S1567">
        <v>475</v>
      </c>
      <c r="T1567">
        <v>8699</v>
      </c>
      <c r="U1567">
        <v>21190</v>
      </c>
      <c r="V1567">
        <v>494</v>
      </c>
      <c r="W1567">
        <v>10.97</v>
      </c>
      <c r="X1567" s="10">
        <v>0.52157277927111545</v>
      </c>
      <c r="Y1567" s="9">
        <v>8990</v>
      </c>
      <c r="Z1567" s="9">
        <v>7220</v>
      </c>
      <c r="AA1567" s="9">
        <v>7220</v>
      </c>
      <c r="AB1567">
        <v>0</v>
      </c>
      <c r="AC1567" s="11">
        <v>-18.792164490136152</v>
      </c>
      <c r="AD1567" s="9">
        <v>8755.3276836158202</v>
      </c>
      <c r="AE1567" s="8">
        <v>-0.11411042944785275</v>
      </c>
    </row>
    <row r="1568" spans="1:31" x14ac:dyDescent="0.35">
      <c r="A1568" s="6" t="s">
        <v>1589</v>
      </c>
      <c r="B1568" s="7">
        <v>2</v>
      </c>
      <c r="C1568" s="7">
        <v>3</v>
      </c>
      <c r="D1568" s="7">
        <v>9</v>
      </c>
      <c r="E1568" s="7">
        <v>4</v>
      </c>
      <c r="F1568">
        <v>451</v>
      </c>
      <c r="G1568">
        <v>30</v>
      </c>
      <c r="H1568">
        <v>6.58</v>
      </c>
      <c r="I1568">
        <v>14</v>
      </c>
      <c r="J1568">
        <v>3.13</v>
      </c>
      <c r="K1568">
        <v>771</v>
      </c>
      <c r="L1568">
        <v>194</v>
      </c>
      <c r="M1568">
        <v>577</v>
      </c>
      <c r="N1568">
        <v>688.54</v>
      </c>
      <c r="O1568">
        <v>3.24</v>
      </c>
      <c r="P1568">
        <v>43.44</v>
      </c>
      <c r="Q1568">
        <v>1.5</v>
      </c>
      <c r="R1568">
        <v>1.36</v>
      </c>
      <c r="S1568">
        <v>128</v>
      </c>
      <c r="T1568">
        <v>3707</v>
      </c>
      <c r="U1568">
        <v>4089</v>
      </c>
      <c r="V1568">
        <v>46</v>
      </c>
      <c r="W1568">
        <v>19.29</v>
      </c>
      <c r="X1568" s="10">
        <v>0.62409527468189274</v>
      </c>
      <c r="Y1568" s="9">
        <v>5760</v>
      </c>
      <c r="Z1568" s="9">
        <v>4725</v>
      </c>
      <c r="AA1568" s="9">
        <v>5560</v>
      </c>
      <c r="AB1568">
        <v>0.80676328502415462</v>
      </c>
      <c r="AC1568" s="11">
        <v>13.943873298138373</v>
      </c>
      <c r="AD1568" s="9">
        <v>4708.7118644067796</v>
      </c>
      <c r="AE1568" s="8">
        <v>0.13469387755102041</v>
      </c>
    </row>
    <row r="1569" spans="1:31" x14ac:dyDescent="0.35">
      <c r="A1569" s="6" t="s">
        <v>1590</v>
      </c>
      <c r="B1569" s="7">
        <v>10</v>
      </c>
      <c r="C1569" s="7">
        <v>5</v>
      </c>
      <c r="D1569" s="7">
        <v>2</v>
      </c>
      <c r="E1569" s="7">
        <v>1</v>
      </c>
      <c r="F1569">
        <v>55</v>
      </c>
      <c r="G1569">
        <v>35</v>
      </c>
      <c r="H1569">
        <v>63.67</v>
      </c>
      <c r="I1569">
        <v>165</v>
      </c>
      <c r="J1569">
        <v>298.25</v>
      </c>
      <c r="K1569">
        <v>3123</v>
      </c>
      <c r="L1569">
        <v>58</v>
      </c>
      <c r="M1569">
        <v>3065</v>
      </c>
      <c r="N1569">
        <v>548.33000000000004</v>
      </c>
      <c r="O1569">
        <v>5.71</v>
      </c>
      <c r="P1569">
        <v>18.57</v>
      </c>
      <c r="Q1569">
        <v>1.1200000000000001</v>
      </c>
      <c r="R1569">
        <v>55.41</v>
      </c>
      <c r="S1569">
        <v>364</v>
      </c>
      <c r="T1569">
        <v>6009</v>
      </c>
      <c r="U1569">
        <v>122</v>
      </c>
      <c r="V1569">
        <v>35</v>
      </c>
      <c r="W1569">
        <v>94.98</v>
      </c>
      <c r="X1569" s="10">
        <v>0.16022340447274147</v>
      </c>
      <c r="Y1569" s="9">
        <v>8370</v>
      </c>
      <c r="Z1569" s="9">
        <v>6440</v>
      </c>
      <c r="AA1569" s="9">
        <v>7420</v>
      </c>
      <c r="AB1569">
        <v>0.50777202072538863</v>
      </c>
      <c r="AC1569" s="11">
        <v>10.334815226451793</v>
      </c>
      <c r="AD1569" s="9">
        <v>6995.6214689265535</v>
      </c>
      <c r="AE1569" s="8">
        <v>8.3211678832116789E-2</v>
      </c>
    </row>
    <row r="1570" spans="1:31" x14ac:dyDescent="0.35">
      <c r="A1570" s="6" t="s">
        <v>1591</v>
      </c>
      <c r="B1570" s="7">
        <v>2</v>
      </c>
      <c r="C1570" s="7">
        <v>0</v>
      </c>
      <c r="D1570" s="7">
        <v>7</v>
      </c>
      <c r="E1570" s="7">
        <v>9</v>
      </c>
      <c r="F1570">
        <v>835</v>
      </c>
      <c r="G1570">
        <v>-51</v>
      </c>
      <c r="H1570">
        <v>-6.09</v>
      </c>
      <c r="I1570">
        <v>-126</v>
      </c>
      <c r="J1570">
        <v>-15.04</v>
      </c>
      <c r="K1570">
        <v>1390</v>
      </c>
      <c r="L1570">
        <v>967</v>
      </c>
      <c r="M1570">
        <v>423</v>
      </c>
      <c r="N1570">
        <v>828.31</v>
      </c>
      <c r="O1570">
        <v>-27.26</v>
      </c>
      <c r="P1570">
        <v>0</v>
      </c>
      <c r="Q1570">
        <v>3.94</v>
      </c>
      <c r="R1570">
        <v>1.18</v>
      </c>
      <c r="S1570">
        <v>-1505</v>
      </c>
      <c r="T1570">
        <v>2998</v>
      </c>
      <c r="U1570">
        <v>10010</v>
      </c>
      <c r="V1570">
        <v>28</v>
      </c>
      <c r="W1570">
        <v>59.92</v>
      </c>
      <c r="X1570" s="10">
        <v>0.23030938713489507</v>
      </c>
      <c r="Y1570" s="9">
        <v>13250</v>
      </c>
      <c r="Z1570" s="9">
        <v>10300</v>
      </c>
      <c r="AA1570" s="9">
        <v>10700</v>
      </c>
      <c r="AB1570">
        <v>0.13559322033898305</v>
      </c>
      <c r="AC1570" s="11">
        <v>-22.021394831897744</v>
      </c>
      <c r="AD1570" s="9">
        <v>12135.819209039548</v>
      </c>
      <c r="AE1570" s="8">
        <v>-0.11570247933884298</v>
      </c>
    </row>
    <row r="1571" spans="1:31" x14ac:dyDescent="0.35">
      <c r="A1571" s="6" t="s">
        <v>1592</v>
      </c>
      <c r="B1571" s="7">
        <v>4</v>
      </c>
      <c r="C1571" s="7">
        <v>2</v>
      </c>
      <c r="D1571" s="7">
        <v>1</v>
      </c>
      <c r="E1571" s="7">
        <v>11</v>
      </c>
      <c r="F1571">
        <v>102</v>
      </c>
      <c r="G1571">
        <v>11</v>
      </c>
      <c r="H1571">
        <v>10.44</v>
      </c>
      <c r="I1571">
        <v>-252</v>
      </c>
      <c r="J1571">
        <v>-247.36</v>
      </c>
      <c r="K1571">
        <v>323</v>
      </c>
      <c r="L1571">
        <v>187</v>
      </c>
      <c r="M1571">
        <v>135</v>
      </c>
      <c r="N1571">
        <v>128.16999999999999</v>
      </c>
      <c r="O1571">
        <v>-102.95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 s="10">
        <v>0.70803624887665506</v>
      </c>
      <c r="Y1571" s="9">
        <v>2830</v>
      </c>
      <c r="Z1571" s="9">
        <v>1415</v>
      </c>
      <c r="AA1571" s="9">
        <v>2005</v>
      </c>
      <c r="AB1571">
        <v>0.41696113074204949</v>
      </c>
      <c r="AC1571" s="11">
        <v>16.034870797443734</v>
      </c>
      <c r="AD1571" s="9">
        <v>1361.0197740112994</v>
      </c>
      <c r="AE1571" s="8">
        <v>0.34563758389261745</v>
      </c>
    </row>
    <row r="1572" spans="1:31" x14ac:dyDescent="0.35">
      <c r="A1572" s="6" t="s">
        <v>1593</v>
      </c>
      <c r="B1572" s="7">
        <v>4</v>
      </c>
      <c r="C1572" s="7">
        <v>2</v>
      </c>
      <c r="D1572" s="7">
        <v>9</v>
      </c>
      <c r="E1572" s="7">
        <v>3</v>
      </c>
      <c r="F1572">
        <v>3093</v>
      </c>
      <c r="G1572">
        <v>223</v>
      </c>
      <c r="H1572">
        <v>7.22</v>
      </c>
      <c r="I1572">
        <v>311</v>
      </c>
      <c r="J1572">
        <v>10.07</v>
      </c>
      <c r="K1572">
        <v>2953</v>
      </c>
      <c r="L1572">
        <v>586</v>
      </c>
      <c r="M1572">
        <v>2368</v>
      </c>
      <c r="N1572">
        <v>2646.12</v>
      </c>
      <c r="O1572">
        <v>13.95</v>
      </c>
      <c r="P1572">
        <v>6.53</v>
      </c>
      <c r="Q1572">
        <v>0.94</v>
      </c>
      <c r="R1572">
        <v>0.66</v>
      </c>
      <c r="S1572">
        <v>1891</v>
      </c>
      <c r="T1572">
        <v>13137</v>
      </c>
      <c r="U1572">
        <v>18779</v>
      </c>
      <c r="V1572">
        <v>264</v>
      </c>
      <c r="W1572">
        <v>8.3800000000000008</v>
      </c>
      <c r="X1572" s="10">
        <v>0.22804914204665189</v>
      </c>
      <c r="Y1572" s="9">
        <v>15850</v>
      </c>
      <c r="Z1572" s="9">
        <v>12350</v>
      </c>
      <c r="AA1572" s="9">
        <v>14950</v>
      </c>
      <c r="AB1572">
        <v>0.74285714285714288</v>
      </c>
      <c r="AC1572" s="11">
        <v>19.171992220061128</v>
      </c>
      <c r="AD1572" s="9">
        <v>13925.254237288136</v>
      </c>
      <c r="AE1572" s="8">
        <v>0.15444015444015444</v>
      </c>
    </row>
    <row r="1573" spans="1:31" x14ac:dyDescent="0.35">
      <c r="A1573" s="6" t="s">
        <v>1594</v>
      </c>
      <c r="B1573" s="7">
        <v>0</v>
      </c>
      <c r="C1573" s="7">
        <v>2</v>
      </c>
      <c r="D1573" s="7">
        <v>8</v>
      </c>
      <c r="E1573" s="7">
        <v>8</v>
      </c>
      <c r="F1573">
        <v>659</v>
      </c>
      <c r="G1573">
        <v>-131</v>
      </c>
      <c r="H1573">
        <v>-19.91</v>
      </c>
      <c r="I1573">
        <v>-175</v>
      </c>
      <c r="J1573">
        <v>-26.57</v>
      </c>
      <c r="K1573">
        <v>1015</v>
      </c>
      <c r="L1573">
        <v>614</v>
      </c>
      <c r="M1573">
        <v>401</v>
      </c>
      <c r="N1573">
        <v>170.29</v>
      </c>
      <c r="O1573">
        <v>-53.33</v>
      </c>
      <c r="P1573">
        <v>0</v>
      </c>
      <c r="Q1573">
        <v>1.45</v>
      </c>
      <c r="R1573">
        <v>0.56999999999999995</v>
      </c>
      <c r="S1573">
        <v>-819</v>
      </c>
      <c r="T1573">
        <v>1224</v>
      </c>
      <c r="U1573">
        <v>3083</v>
      </c>
      <c r="V1573">
        <v>-154</v>
      </c>
      <c r="W1573">
        <v>-6.11</v>
      </c>
      <c r="X1573" s="10">
        <v>0.22804914204665189</v>
      </c>
      <c r="Y1573" s="9">
        <v>489</v>
      </c>
      <c r="Z1573" s="9">
        <v>489</v>
      </c>
      <c r="AA1573" s="9">
        <v>489</v>
      </c>
      <c r="AC1573" s="11">
        <v>0</v>
      </c>
      <c r="AD1573" s="9">
        <v>489</v>
      </c>
      <c r="AE1573" s="8">
        <v>0</v>
      </c>
    </row>
    <row r="1574" spans="1:31" x14ac:dyDescent="0.35">
      <c r="A1574" s="6" t="s">
        <v>1595</v>
      </c>
      <c r="B1574" s="7">
        <v>2</v>
      </c>
      <c r="C1574" s="7">
        <v>0</v>
      </c>
      <c r="D1574" s="7">
        <v>12</v>
      </c>
      <c r="E1574" s="7">
        <v>4</v>
      </c>
      <c r="F1574">
        <v>677</v>
      </c>
      <c r="G1574">
        <v>-31</v>
      </c>
      <c r="H1574">
        <v>-4.5199999999999996</v>
      </c>
      <c r="I1574">
        <v>-58</v>
      </c>
      <c r="J1574">
        <v>-8.5</v>
      </c>
      <c r="K1574">
        <v>1326</v>
      </c>
      <c r="L1574">
        <v>1085</v>
      </c>
      <c r="M1574">
        <v>241</v>
      </c>
      <c r="N1574">
        <v>51.02</v>
      </c>
      <c r="O1574">
        <v>-28.5</v>
      </c>
      <c r="P1574">
        <v>0</v>
      </c>
      <c r="Q1574">
        <v>1.68</v>
      </c>
      <c r="R1574">
        <v>0.44</v>
      </c>
      <c r="S1574">
        <v>-241</v>
      </c>
      <c r="T1574">
        <v>738</v>
      </c>
      <c r="U1574">
        <v>2835</v>
      </c>
      <c r="V1574">
        <v>-8</v>
      </c>
      <c r="W1574">
        <v>-131.82</v>
      </c>
      <c r="X1574" s="10">
        <v>0.22104308882310073</v>
      </c>
      <c r="Y1574" s="9">
        <v>2085</v>
      </c>
      <c r="Z1574" s="9">
        <v>1405</v>
      </c>
      <c r="AA1574" s="9">
        <v>1870</v>
      </c>
      <c r="AB1574">
        <v>0.68382352941176472</v>
      </c>
      <c r="AC1574" s="11">
        <v>4.7028341205890518</v>
      </c>
      <c r="AD1574" s="9">
        <v>1585.9802259887006</v>
      </c>
      <c r="AE1574" s="8">
        <v>0.33096085409252668</v>
      </c>
    </row>
    <row r="1575" spans="1:31" x14ac:dyDescent="0.35">
      <c r="A1575" s="6" t="s">
        <v>1596</v>
      </c>
      <c r="B1575" s="7">
        <v>3</v>
      </c>
      <c r="C1575" s="7">
        <v>1</v>
      </c>
      <c r="D1575" s="7">
        <v>13</v>
      </c>
      <c r="E1575" s="7">
        <v>1</v>
      </c>
      <c r="F1575">
        <v>2268</v>
      </c>
      <c r="G1575">
        <v>-95</v>
      </c>
      <c r="H1575">
        <v>-4.18</v>
      </c>
      <c r="I1575">
        <v>-227</v>
      </c>
      <c r="J1575">
        <v>-10.029999999999999</v>
      </c>
      <c r="K1575">
        <v>4990</v>
      </c>
      <c r="L1575">
        <v>3269</v>
      </c>
      <c r="M1575">
        <v>1721</v>
      </c>
      <c r="N1575">
        <v>2188.84</v>
      </c>
      <c r="O1575">
        <v>-12.41</v>
      </c>
      <c r="P1575">
        <v>0</v>
      </c>
      <c r="Q1575">
        <v>0.34</v>
      </c>
      <c r="R1575">
        <v>0.17</v>
      </c>
      <c r="S1575">
        <v>-19958</v>
      </c>
      <c r="T1575">
        <v>101858</v>
      </c>
      <c r="U1575">
        <v>199016</v>
      </c>
      <c r="V1575">
        <v>39</v>
      </c>
      <c r="W1575">
        <v>83.08</v>
      </c>
      <c r="X1575" s="10">
        <v>0.62430369929969787</v>
      </c>
      <c r="Y1575" s="9">
        <v>44300</v>
      </c>
      <c r="Z1575" s="9">
        <v>34100</v>
      </c>
      <c r="AA1575" s="9">
        <v>41500</v>
      </c>
      <c r="AB1575">
        <v>0.72549019607843135</v>
      </c>
      <c r="AC1575" s="11">
        <v>132.09363712142263</v>
      </c>
      <c r="AD1575" s="9">
        <v>35488.644067796609</v>
      </c>
      <c r="AE1575" s="8">
        <v>0.21167883211678831</v>
      </c>
    </row>
    <row r="1576" spans="1:31" x14ac:dyDescent="0.35">
      <c r="A1576" s="6" t="s">
        <v>1597</v>
      </c>
      <c r="B1576" s="7">
        <v>10</v>
      </c>
      <c r="C1576" s="7">
        <v>7</v>
      </c>
      <c r="D1576" s="7">
        <v>1</v>
      </c>
      <c r="E1576" s="7">
        <v>0</v>
      </c>
      <c r="F1576">
        <v>1661</v>
      </c>
      <c r="G1576">
        <v>205</v>
      </c>
      <c r="H1576">
        <v>12.35</v>
      </c>
      <c r="I1576">
        <v>146</v>
      </c>
      <c r="J1576">
        <v>8.77</v>
      </c>
      <c r="K1576">
        <v>2170</v>
      </c>
      <c r="L1576">
        <v>1442</v>
      </c>
      <c r="M1576">
        <v>728</v>
      </c>
      <c r="N1576">
        <v>175.57</v>
      </c>
      <c r="O1576">
        <v>21.78</v>
      </c>
      <c r="P1576">
        <v>6.1</v>
      </c>
      <c r="Q1576">
        <v>1.22</v>
      </c>
      <c r="R1576">
        <v>0.53</v>
      </c>
      <c r="S1576">
        <v>2755</v>
      </c>
      <c r="T1576">
        <v>13728</v>
      </c>
      <c r="U1576">
        <v>31422</v>
      </c>
      <c r="V1576">
        <v>420</v>
      </c>
      <c r="W1576">
        <v>2.58</v>
      </c>
      <c r="X1576" s="10">
        <v>0.54967612597356719</v>
      </c>
      <c r="Y1576" s="9">
        <v>19000</v>
      </c>
      <c r="Z1576" s="9">
        <v>15500</v>
      </c>
      <c r="AA1576" s="9">
        <v>19000</v>
      </c>
      <c r="AB1576">
        <v>1</v>
      </c>
      <c r="AC1576" s="11">
        <v>47.667407613225897</v>
      </c>
      <c r="AD1576" s="9">
        <v>15315.310734463277</v>
      </c>
      <c r="AE1576" s="8">
        <v>0.14803625377643503</v>
      </c>
    </row>
    <row r="1577" spans="1:31" x14ac:dyDescent="0.35">
      <c r="A1577" s="6" t="s">
        <v>1598</v>
      </c>
      <c r="B1577" s="7">
        <v>5</v>
      </c>
      <c r="C1577" s="7">
        <v>4</v>
      </c>
      <c r="D1577" s="7">
        <v>1</v>
      </c>
      <c r="E1577" s="7">
        <v>8</v>
      </c>
      <c r="F1577">
        <v>757</v>
      </c>
      <c r="G1577">
        <v>75</v>
      </c>
      <c r="H1577">
        <v>9.8800000000000008</v>
      </c>
      <c r="I1577">
        <v>58</v>
      </c>
      <c r="J1577">
        <v>7.62</v>
      </c>
      <c r="K1577">
        <v>693</v>
      </c>
      <c r="L1577">
        <v>91</v>
      </c>
      <c r="M1577">
        <v>602</v>
      </c>
      <c r="N1577">
        <v>714.05</v>
      </c>
      <c r="O1577">
        <v>9.6300000000000008</v>
      </c>
      <c r="P1577">
        <v>15.67</v>
      </c>
      <c r="Q1577">
        <v>1.84</v>
      </c>
      <c r="R1577">
        <v>1.19</v>
      </c>
      <c r="S1577">
        <v>388</v>
      </c>
      <c r="T1577">
        <v>3299</v>
      </c>
      <c r="U1577">
        <v>5088</v>
      </c>
      <c r="V1577">
        <v>118</v>
      </c>
      <c r="W1577">
        <v>8.1</v>
      </c>
      <c r="X1577" s="10">
        <v>0.78204393429832775</v>
      </c>
      <c r="Y1577" s="9">
        <v>6710</v>
      </c>
      <c r="Z1577" s="9">
        <v>5910</v>
      </c>
      <c r="AA1577" s="9">
        <v>6710</v>
      </c>
      <c r="AB1577">
        <v>1</v>
      </c>
      <c r="AC1577" s="11">
        <v>9.0691858849680482</v>
      </c>
      <c r="AD1577" s="9">
        <v>5927.0564971751419</v>
      </c>
      <c r="AE1577" s="8">
        <v>8.5760517799352745E-2</v>
      </c>
    </row>
    <row r="1578" spans="1:31" x14ac:dyDescent="0.35">
      <c r="A1578" s="6" t="s">
        <v>1599</v>
      </c>
      <c r="B1578" s="7">
        <v>1</v>
      </c>
      <c r="C1578" s="7">
        <v>11</v>
      </c>
      <c r="D1578" s="7">
        <v>3</v>
      </c>
      <c r="E1578" s="7">
        <v>3</v>
      </c>
      <c r="F1578">
        <v>812</v>
      </c>
      <c r="G1578">
        <v>22</v>
      </c>
      <c r="H1578">
        <v>2.72</v>
      </c>
      <c r="I1578">
        <v>9</v>
      </c>
      <c r="J1578">
        <v>1.05</v>
      </c>
      <c r="K1578">
        <v>665</v>
      </c>
      <c r="L1578">
        <v>489</v>
      </c>
      <c r="M1578">
        <v>176</v>
      </c>
      <c r="N1578">
        <v>50.39</v>
      </c>
      <c r="O1578">
        <v>6.66</v>
      </c>
      <c r="P1578">
        <v>14.51</v>
      </c>
      <c r="Q1578">
        <v>0.98</v>
      </c>
      <c r="R1578">
        <v>0.15</v>
      </c>
      <c r="S1578">
        <v>45</v>
      </c>
      <c r="T1578">
        <v>666</v>
      </c>
      <c r="U1578">
        <v>4293</v>
      </c>
      <c r="V1578">
        <v>35</v>
      </c>
      <c r="W1578">
        <v>12.03</v>
      </c>
      <c r="X1578" s="10">
        <v>0.90661182091918679</v>
      </c>
      <c r="Y1578" s="9">
        <v>1360</v>
      </c>
      <c r="Z1578" s="9">
        <v>701</v>
      </c>
      <c r="AA1578" s="9">
        <v>1285</v>
      </c>
      <c r="AB1578">
        <v>0.88619119878603947</v>
      </c>
      <c r="AC1578" s="11">
        <v>11.34231731036399</v>
      </c>
      <c r="AD1578" s="9">
        <v>663.15932203389832</v>
      </c>
      <c r="AE1578" s="8">
        <v>0.83309557774607701</v>
      </c>
    </row>
    <row r="1579" spans="1:31" x14ac:dyDescent="0.35">
      <c r="A1579" s="6" t="s">
        <v>1600</v>
      </c>
      <c r="B1579" s="7">
        <v>3</v>
      </c>
      <c r="C1579" s="7">
        <v>3</v>
      </c>
      <c r="D1579" s="7">
        <v>3</v>
      </c>
      <c r="E1579" s="7">
        <v>9</v>
      </c>
      <c r="F1579">
        <v>104</v>
      </c>
      <c r="G1579">
        <v>-46</v>
      </c>
      <c r="H1579">
        <v>-44.36</v>
      </c>
      <c r="I1579">
        <v>-80</v>
      </c>
      <c r="J1579">
        <v>-76.98</v>
      </c>
      <c r="K1579">
        <v>547</v>
      </c>
      <c r="L1579">
        <v>314</v>
      </c>
      <c r="M1579">
        <v>233</v>
      </c>
      <c r="N1579">
        <v>133.97999999999999</v>
      </c>
      <c r="O1579">
        <v>-29.54</v>
      </c>
      <c r="P1579">
        <v>0</v>
      </c>
      <c r="Q1579">
        <v>85.71</v>
      </c>
      <c r="R1579">
        <v>17.079999999999998</v>
      </c>
      <c r="S1579">
        <v>-405</v>
      </c>
      <c r="T1579">
        <v>105</v>
      </c>
      <c r="U1579">
        <v>527</v>
      </c>
      <c r="V1579">
        <v>-38</v>
      </c>
      <c r="W1579">
        <v>-55.15</v>
      </c>
      <c r="X1579" s="10">
        <v>0.67598311940011879</v>
      </c>
      <c r="Y1579" s="9">
        <v>10350</v>
      </c>
      <c r="Z1579" s="9">
        <v>7400</v>
      </c>
      <c r="AA1579" s="9">
        <v>7860</v>
      </c>
      <c r="AB1579">
        <v>0.15593220338983052</v>
      </c>
      <c r="AC1579" s="11">
        <v>-28.844956932481246</v>
      </c>
      <c r="AD1579" s="9">
        <v>9235.2711864406774</v>
      </c>
      <c r="AE1579" s="8">
        <v>-7.4204946996466431E-2</v>
      </c>
    </row>
    <row r="1580" spans="1:31" x14ac:dyDescent="0.35">
      <c r="A1580" s="6" t="s">
        <v>1601</v>
      </c>
      <c r="B1580" s="7">
        <v>0</v>
      </c>
      <c r="C1580" s="7">
        <v>14</v>
      </c>
      <c r="D1580" s="7">
        <v>2</v>
      </c>
      <c r="E1580" s="7">
        <v>2</v>
      </c>
      <c r="F1580">
        <v>167</v>
      </c>
      <c r="G1580">
        <v>-52</v>
      </c>
      <c r="H1580">
        <v>-31.27</v>
      </c>
      <c r="I1580">
        <v>-74</v>
      </c>
      <c r="J1580">
        <v>-44.51</v>
      </c>
      <c r="K1580">
        <v>1141</v>
      </c>
      <c r="L1580">
        <v>132</v>
      </c>
      <c r="M1580">
        <v>1009</v>
      </c>
      <c r="N1580">
        <v>2262.7399999999998</v>
      </c>
      <c r="O1580">
        <v>-10.65</v>
      </c>
      <c r="P1580">
        <v>0</v>
      </c>
      <c r="Q1580">
        <v>5.07</v>
      </c>
      <c r="R1580">
        <v>22.01</v>
      </c>
      <c r="S1580">
        <v>-1042</v>
      </c>
      <c r="T1580">
        <v>9397</v>
      </c>
      <c r="U1580">
        <v>2163</v>
      </c>
      <c r="V1580">
        <v>14</v>
      </c>
      <c r="W1580">
        <v>259.51</v>
      </c>
      <c r="X1580" s="10">
        <v>0.51881094758548307</v>
      </c>
      <c r="Y1580" s="9">
        <v>68500</v>
      </c>
      <c r="Z1580" s="9">
        <v>47150</v>
      </c>
      <c r="AA1580" s="9">
        <v>64300</v>
      </c>
      <c r="AB1580">
        <v>0.80327868852459017</v>
      </c>
      <c r="AC1580" s="11">
        <v>178.20922478466241</v>
      </c>
      <c r="AD1580" s="9">
        <v>54437.118644067799</v>
      </c>
      <c r="AE1580" s="8">
        <v>0.36373276776246022</v>
      </c>
    </row>
    <row r="1581" spans="1:31" x14ac:dyDescent="0.35">
      <c r="A1581" s="6" t="s">
        <v>1602</v>
      </c>
      <c r="B1581" s="7">
        <v>3</v>
      </c>
      <c r="C1581" s="7">
        <v>4</v>
      </c>
      <c r="D1581" s="7">
        <v>2</v>
      </c>
      <c r="E1581" s="7">
        <v>9</v>
      </c>
      <c r="F1581">
        <v>447</v>
      </c>
      <c r="G1581">
        <v>1</v>
      </c>
      <c r="H1581">
        <v>0.27</v>
      </c>
      <c r="I1581">
        <v>4</v>
      </c>
      <c r="J1581">
        <v>0.98</v>
      </c>
      <c r="K1581">
        <v>736</v>
      </c>
      <c r="L1581">
        <v>176</v>
      </c>
      <c r="M1581">
        <v>561</v>
      </c>
      <c r="N1581">
        <v>1866.44</v>
      </c>
      <c r="O1581">
        <v>1.04</v>
      </c>
      <c r="P1581">
        <v>222</v>
      </c>
      <c r="Q1581">
        <v>2.39</v>
      </c>
      <c r="R1581">
        <v>2.19</v>
      </c>
      <c r="S1581">
        <v>100</v>
      </c>
      <c r="T1581">
        <v>9296</v>
      </c>
      <c r="U1581">
        <v>10149</v>
      </c>
      <c r="V1581">
        <v>31</v>
      </c>
      <c r="W1581">
        <v>42.36</v>
      </c>
      <c r="X1581" s="10">
        <v>0.84956769916194608</v>
      </c>
      <c r="Y1581" s="9">
        <v>33550</v>
      </c>
      <c r="Z1581" s="9">
        <v>21650</v>
      </c>
      <c r="AA1581" s="9">
        <v>32150</v>
      </c>
      <c r="AB1581">
        <v>0.88235294117647056</v>
      </c>
      <c r="AC1581" s="11">
        <v>151.43651014170604</v>
      </c>
      <c r="AD1581" s="9">
        <v>23106.186440677964</v>
      </c>
      <c r="AE1581" s="8">
        <v>0.48156682027649772</v>
      </c>
    </row>
    <row r="1582" spans="1:31" x14ac:dyDescent="0.35">
      <c r="A1582" s="6" t="s">
        <v>1603</v>
      </c>
      <c r="B1582" s="7">
        <v>1</v>
      </c>
      <c r="C1582" s="7">
        <v>2</v>
      </c>
      <c r="D1582" s="7">
        <v>8</v>
      </c>
      <c r="E1582" s="7">
        <v>7</v>
      </c>
      <c r="F1582">
        <v>2153</v>
      </c>
      <c r="G1582">
        <v>-35</v>
      </c>
      <c r="H1582">
        <v>-1.65</v>
      </c>
      <c r="I1582">
        <v>-31</v>
      </c>
      <c r="J1582">
        <v>-1.42</v>
      </c>
      <c r="K1582">
        <v>900</v>
      </c>
      <c r="L1582">
        <v>422</v>
      </c>
      <c r="M1582">
        <v>478</v>
      </c>
      <c r="N1582">
        <v>678.32</v>
      </c>
      <c r="O1582">
        <v>-6.36</v>
      </c>
      <c r="P1582">
        <v>0</v>
      </c>
      <c r="Q1582">
        <v>2.23</v>
      </c>
      <c r="R1582">
        <v>0.46</v>
      </c>
      <c r="S1582">
        <v>-255</v>
      </c>
      <c r="T1582">
        <v>3687</v>
      </c>
      <c r="U1582">
        <v>17924</v>
      </c>
      <c r="V1582">
        <v>-25</v>
      </c>
      <c r="W1582">
        <v>-41.62</v>
      </c>
      <c r="X1582" s="10">
        <v>0.78190257352266102</v>
      </c>
      <c r="Y1582" s="9">
        <v>12000</v>
      </c>
      <c r="Z1582" s="9">
        <v>6910</v>
      </c>
      <c r="AA1582" s="9">
        <v>11200</v>
      </c>
      <c r="AB1582">
        <v>0.84282907662082518</v>
      </c>
      <c r="AC1582" s="11">
        <v>66.616560155598762</v>
      </c>
      <c r="AD1582" s="9">
        <v>6694.3615819209035</v>
      </c>
      <c r="AE1582" s="8">
        <v>0.33651551312649164</v>
      </c>
    </row>
    <row r="1583" spans="1:31" x14ac:dyDescent="0.35">
      <c r="A1583" s="6" t="s">
        <v>1604</v>
      </c>
      <c r="B1583" s="7">
        <v>5</v>
      </c>
      <c r="C1583" s="7">
        <v>4</v>
      </c>
      <c r="D1583" s="7">
        <v>9</v>
      </c>
      <c r="E1583" s="7">
        <v>0</v>
      </c>
      <c r="F1583">
        <v>263</v>
      </c>
      <c r="G1583">
        <v>28</v>
      </c>
      <c r="H1583">
        <v>10.54</v>
      </c>
      <c r="I1583">
        <v>25</v>
      </c>
      <c r="J1583">
        <v>9.68</v>
      </c>
      <c r="K1583">
        <v>469</v>
      </c>
      <c r="L1583">
        <v>140</v>
      </c>
      <c r="M1583">
        <v>329</v>
      </c>
      <c r="N1583">
        <v>729.09</v>
      </c>
      <c r="O1583">
        <v>10.69</v>
      </c>
      <c r="P1583">
        <v>10.25</v>
      </c>
      <c r="Q1583">
        <v>1.07</v>
      </c>
      <c r="R1583">
        <v>0.99</v>
      </c>
      <c r="S1583">
        <v>428</v>
      </c>
      <c r="T1583">
        <v>4080</v>
      </c>
      <c r="U1583">
        <v>4428</v>
      </c>
      <c r="V1583">
        <v>47</v>
      </c>
      <c r="W1583">
        <v>7.33</v>
      </c>
      <c r="X1583" s="10">
        <v>1.0157911564923111E-3</v>
      </c>
      <c r="Y1583" s="9">
        <v>5360</v>
      </c>
      <c r="Z1583" s="9">
        <v>4640</v>
      </c>
      <c r="AA1583" s="9">
        <v>4905</v>
      </c>
      <c r="AB1583">
        <v>0.36805555555555558</v>
      </c>
      <c r="AC1583" s="11">
        <v>0.37565990552931433</v>
      </c>
      <c r="AD1583" s="9">
        <v>4980.2090395480227</v>
      </c>
      <c r="AE1583" s="8">
        <v>3.0462184873949579E-2</v>
      </c>
    </row>
    <row r="1584" spans="1:31" x14ac:dyDescent="0.35">
      <c r="A1584" s="6" t="s">
        <v>1605</v>
      </c>
      <c r="B1584" s="7">
        <v>8</v>
      </c>
      <c r="C1584" s="7">
        <v>2</v>
      </c>
      <c r="D1584" s="7">
        <v>6</v>
      </c>
      <c r="E1584" s="7">
        <v>2</v>
      </c>
      <c r="F1584">
        <v>398</v>
      </c>
      <c r="G1584">
        <v>36</v>
      </c>
      <c r="H1584">
        <v>8.94</v>
      </c>
      <c r="I1584">
        <v>33</v>
      </c>
      <c r="J1584">
        <v>8.35</v>
      </c>
      <c r="K1584">
        <v>516</v>
      </c>
      <c r="L1584">
        <v>121</v>
      </c>
      <c r="M1584">
        <v>395</v>
      </c>
      <c r="N1584">
        <v>564.20000000000005</v>
      </c>
      <c r="O1584">
        <v>11.6</v>
      </c>
      <c r="P1584">
        <v>8.7100000000000009</v>
      </c>
      <c r="Q1584">
        <v>1.02</v>
      </c>
      <c r="R1584">
        <v>0.73</v>
      </c>
      <c r="S1584">
        <v>372</v>
      </c>
      <c r="T1584">
        <v>3174</v>
      </c>
      <c r="U1584">
        <v>4457</v>
      </c>
      <c r="V1584">
        <v>66</v>
      </c>
      <c r="W1584">
        <v>5.82</v>
      </c>
      <c r="X1584" s="10">
        <v>0.62949113936623513</v>
      </c>
      <c r="Y1584" s="9">
        <v>3170</v>
      </c>
      <c r="Z1584" s="9">
        <v>2880</v>
      </c>
      <c r="AA1584" s="9">
        <v>3105</v>
      </c>
      <c r="AB1584">
        <v>0.77586206896551724</v>
      </c>
      <c r="AC1584" s="11">
        <v>3.6221172547929976</v>
      </c>
      <c r="AD1584" s="9">
        <v>2892.6920903954801</v>
      </c>
      <c r="AE1584" s="8">
        <v>5.7921635434412269E-2</v>
      </c>
    </row>
    <row r="1585" spans="1:31" x14ac:dyDescent="0.35">
      <c r="A1585" s="6" t="s">
        <v>1606</v>
      </c>
      <c r="B1585" s="7">
        <v>0</v>
      </c>
      <c r="C1585" s="7">
        <v>3</v>
      </c>
      <c r="D1585" s="7">
        <v>0</v>
      </c>
      <c r="E1585" s="7">
        <v>15</v>
      </c>
      <c r="F1585">
        <v>22</v>
      </c>
      <c r="G1585">
        <v>-12</v>
      </c>
      <c r="H1585">
        <v>-53.27</v>
      </c>
      <c r="I1585">
        <v>-12</v>
      </c>
      <c r="J1585">
        <v>-52.74</v>
      </c>
      <c r="K1585">
        <v>81</v>
      </c>
      <c r="L1585">
        <v>6</v>
      </c>
      <c r="M1585">
        <v>76</v>
      </c>
      <c r="N1585">
        <v>-37.869999999999997</v>
      </c>
      <c r="O1585">
        <v>-18.850000000000001</v>
      </c>
      <c r="P1585">
        <v>0</v>
      </c>
      <c r="Q1585">
        <v>1.2</v>
      </c>
      <c r="R1585">
        <v>2.96</v>
      </c>
      <c r="S1585">
        <v>-63</v>
      </c>
      <c r="T1585">
        <v>296</v>
      </c>
      <c r="U1585">
        <v>120</v>
      </c>
      <c r="V1585">
        <v>0</v>
      </c>
      <c r="W1585">
        <v>0</v>
      </c>
      <c r="X1585" s="10">
        <v>0.72463873014648206</v>
      </c>
      <c r="Y1585" s="9">
        <v>520</v>
      </c>
      <c r="Z1585" s="9">
        <v>348</v>
      </c>
      <c r="AA1585" s="9">
        <v>432</v>
      </c>
      <c r="AB1585">
        <v>0.48837209302325579</v>
      </c>
      <c r="AC1585" s="11">
        <v>2.3060850236176718</v>
      </c>
      <c r="AD1585" s="9">
        <v>326.13107344632766</v>
      </c>
      <c r="AE1585" s="8">
        <v>0.22379603399433429</v>
      </c>
    </row>
    <row r="1586" spans="1:31" x14ac:dyDescent="0.35">
      <c r="A1586" s="6" t="s">
        <v>1607</v>
      </c>
      <c r="B1586" s="7">
        <v>15</v>
      </c>
      <c r="C1586" s="7">
        <v>2</v>
      </c>
      <c r="D1586" s="7">
        <v>1</v>
      </c>
      <c r="E1586" s="7">
        <v>0</v>
      </c>
      <c r="F1586">
        <v>1601</v>
      </c>
      <c r="G1586">
        <v>143</v>
      </c>
      <c r="H1586">
        <v>8.9499999999999993</v>
      </c>
      <c r="I1586">
        <v>119</v>
      </c>
      <c r="J1586">
        <v>7.46</v>
      </c>
      <c r="K1586">
        <v>1669</v>
      </c>
      <c r="L1586">
        <v>565</v>
      </c>
      <c r="M1586">
        <v>1104</v>
      </c>
      <c r="N1586">
        <v>2238.29</v>
      </c>
      <c r="O1586">
        <v>11.62</v>
      </c>
      <c r="P1586">
        <v>13.43</v>
      </c>
      <c r="Q1586">
        <v>1.5</v>
      </c>
      <c r="R1586">
        <v>1</v>
      </c>
      <c r="S1586">
        <v>1273</v>
      </c>
      <c r="T1586">
        <v>11372</v>
      </c>
      <c r="U1586">
        <v>17066</v>
      </c>
      <c r="V1586">
        <v>164</v>
      </c>
      <c r="W1586">
        <v>9.85</v>
      </c>
      <c r="X1586" s="10">
        <v>0.38315290915706729</v>
      </c>
      <c r="Y1586" s="9">
        <v>18500</v>
      </c>
      <c r="Z1586" s="9">
        <v>14900</v>
      </c>
      <c r="AA1586" s="9">
        <v>16800</v>
      </c>
      <c r="AB1586">
        <v>0.52777777777777779</v>
      </c>
      <c r="AC1586" s="11">
        <v>-36.447624340094471</v>
      </c>
      <c r="AD1586" s="9">
        <v>17647.485875706214</v>
      </c>
      <c r="AE1586" s="8">
        <v>-2.8901734104046242E-2</v>
      </c>
    </row>
    <row r="1587" spans="1:31" x14ac:dyDescent="0.35">
      <c r="A1587" s="6" t="s">
        <v>1608</v>
      </c>
      <c r="B1587" s="7">
        <v>6</v>
      </c>
      <c r="C1587" s="7">
        <v>3</v>
      </c>
      <c r="D1587" s="7">
        <v>7</v>
      </c>
      <c r="E1587" s="7">
        <v>2</v>
      </c>
      <c r="F1587">
        <v>845</v>
      </c>
      <c r="G1587">
        <v>163</v>
      </c>
      <c r="H1587">
        <v>19.29</v>
      </c>
      <c r="I1587">
        <v>94</v>
      </c>
      <c r="J1587">
        <v>11.14</v>
      </c>
      <c r="K1587">
        <v>1612</v>
      </c>
      <c r="L1587">
        <v>615</v>
      </c>
      <c r="M1587">
        <v>997</v>
      </c>
      <c r="N1587">
        <v>3190.33</v>
      </c>
      <c r="O1587">
        <v>9.84</v>
      </c>
      <c r="P1587">
        <v>39.85</v>
      </c>
      <c r="Q1587">
        <v>4.34</v>
      </c>
      <c r="R1587">
        <v>4.4400000000000004</v>
      </c>
      <c r="S1587">
        <v>1508</v>
      </c>
      <c r="T1587">
        <v>13841</v>
      </c>
      <c r="U1587">
        <v>13535</v>
      </c>
      <c r="V1587">
        <v>202</v>
      </c>
      <c r="W1587">
        <v>19.27</v>
      </c>
      <c r="X1587" s="10">
        <v>1.249701749298271E-3</v>
      </c>
      <c r="Y1587" s="9">
        <v>64100</v>
      </c>
      <c r="Z1587" s="9">
        <v>55700</v>
      </c>
      <c r="AA1587" s="9">
        <v>62600</v>
      </c>
      <c r="AB1587">
        <v>0.8214285714285714</v>
      </c>
      <c r="AC1587" s="11">
        <v>-3.8260627952208868</v>
      </c>
      <c r="AD1587" s="9">
        <v>60015.028248587572</v>
      </c>
      <c r="AE1587" s="8">
        <v>4.3333333333333335E-2</v>
      </c>
    </row>
    <row r="1588" spans="1:31" x14ac:dyDescent="0.35">
      <c r="A1588" s="6" t="s">
        <v>1609</v>
      </c>
      <c r="B1588" s="7">
        <v>0</v>
      </c>
      <c r="C1588" s="7">
        <v>11</v>
      </c>
      <c r="D1588" s="7">
        <v>3</v>
      </c>
      <c r="E1588" s="7">
        <v>4</v>
      </c>
      <c r="F1588">
        <v>55</v>
      </c>
      <c r="G1588">
        <v>-57</v>
      </c>
      <c r="H1588">
        <v>-104.06</v>
      </c>
      <c r="I1588">
        <v>106</v>
      </c>
      <c r="J1588">
        <v>193.39</v>
      </c>
      <c r="K1588">
        <v>475</v>
      </c>
      <c r="L1588">
        <v>135</v>
      </c>
      <c r="M1588">
        <v>339</v>
      </c>
      <c r="N1588">
        <v>183.69</v>
      </c>
      <c r="O1588">
        <v>68.150000000000006</v>
      </c>
      <c r="P1588">
        <v>6.8</v>
      </c>
      <c r="Q1588">
        <v>2.84</v>
      </c>
      <c r="R1588">
        <v>0</v>
      </c>
      <c r="S1588">
        <v>591</v>
      </c>
      <c r="T1588">
        <v>1416</v>
      </c>
      <c r="U1588">
        <v>0</v>
      </c>
      <c r="V1588">
        <v>-76</v>
      </c>
      <c r="W1588">
        <v>-11.33</v>
      </c>
      <c r="X1588" s="10">
        <v>0.46072629084285383</v>
      </c>
      <c r="Y1588" s="9">
        <v>7020</v>
      </c>
      <c r="Z1588" s="9">
        <v>4850</v>
      </c>
      <c r="AA1588" s="9">
        <v>4850</v>
      </c>
      <c r="AB1588">
        <v>0</v>
      </c>
      <c r="AC1588" s="11">
        <v>-21.490691858849676</v>
      </c>
      <c r="AD1588" s="9">
        <v>6492.1327683615818</v>
      </c>
      <c r="AE1588" s="8">
        <v>-0.15652173913043479</v>
      </c>
    </row>
    <row r="1589" spans="1:31" x14ac:dyDescent="0.35">
      <c r="A1589" s="6" t="s">
        <v>1610</v>
      </c>
      <c r="B1589" s="7">
        <v>2</v>
      </c>
      <c r="C1589" s="7">
        <v>1</v>
      </c>
      <c r="D1589" s="7">
        <v>11</v>
      </c>
      <c r="E1589" s="7">
        <v>4</v>
      </c>
      <c r="F1589">
        <v>764</v>
      </c>
      <c r="G1589">
        <v>3</v>
      </c>
      <c r="H1589">
        <v>0.34</v>
      </c>
      <c r="I1589">
        <v>-2</v>
      </c>
      <c r="J1589">
        <v>-0.24</v>
      </c>
      <c r="K1589">
        <v>954</v>
      </c>
      <c r="L1589">
        <v>516</v>
      </c>
      <c r="M1589">
        <v>438</v>
      </c>
      <c r="N1589">
        <v>584.45000000000005</v>
      </c>
      <c r="O1589">
        <v>-0.42</v>
      </c>
      <c r="P1589">
        <v>0</v>
      </c>
      <c r="Q1589">
        <v>0.93</v>
      </c>
      <c r="R1589">
        <v>0.51</v>
      </c>
      <c r="S1589">
        <v>-14</v>
      </c>
      <c r="T1589">
        <v>3210</v>
      </c>
      <c r="U1589">
        <v>5887</v>
      </c>
      <c r="V1589">
        <v>20</v>
      </c>
      <c r="W1589">
        <v>32.56</v>
      </c>
      <c r="X1589" s="10">
        <v>0.45297582277321558</v>
      </c>
      <c r="Y1589" s="9">
        <v>3530</v>
      </c>
      <c r="Z1589" s="9">
        <v>2550</v>
      </c>
      <c r="AA1589" s="9">
        <v>3175</v>
      </c>
      <c r="AB1589">
        <v>0.63775510204081631</v>
      </c>
      <c r="AC1589" s="11">
        <v>11.599749930536257</v>
      </c>
      <c r="AD1589" s="9">
        <v>2598.6242937853108</v>
      </c>
      <c r="AE1589" s="8">
        <v>4.6128500823723231E-2</v>
      </c>
    </row>
    <row r="1590" spans="1:31" x14ac:dyDescent="0.35">
      <c r="A1590" s="6" t="s">
        <v>1611</v>
      </c>
      <c r="B1590" s="7">
        <v>15</v>
      </c>
      <c r="C1590" s="7">
        <v>0</v>
      </c>
      <c r="D1590" s="7">
        <v>2</v>
      </c>
      <c r="E1590" s="7">
        <v>1</v>
      </c>
      <c r="F1590">
        <v>995</v>
      </c>
      <c r="G1590">
        <v>7</v>
      </c>
      <c r="H1590">
        <v>0.66</v>
      </c>
      <c r="I1590">
        <v>17</v>
      </c>
      <c r="J1590">
        <v>1.75</v>
      </c>
      <c r="K1590">
        <v>758</v>
      </c>
      <c r="L1590">
        <v>208</v>
      </c>
      <c r="M1590">
        <v>549</v>
      </c>
      <c r="N1590">
        <v>483.88</v>
      </c>
      <c r="O1590">
        <v>3.23</v>
      </c>
      <c r="P1590">
        <v>36.909999999999997</v>
      </c>
      <c r="Q1590">
        <v>1.21</v>
      </c>
      <c r="R1590">
        <v>0.64</v>
      </c>
      <c r="S1590">
        <v>94</v>
      </c>
      <c r="T1590">
        <v>2860</v>
      </c>
      <c r="U1590">
        <v>5385</v>
      </c>
      <c r="V1590">
        <v>12</v>
      </c>
      <c r="W1590">
        <v>54.42</v>
      </c>
      <c r="X1590" s="10">
        <v>0.73477792938053799</v>
      </c>
      <c r="Y1590" s="9">
        <v>3845</v>
      </c>
      <c r="Z1590" s="9">
        <v>3060</v>
      </c>
      <c r="AA1590" s="9">
        <v>3060</v>
      </c>
      <c r="AB1590">
        <v>0</v>
      </c>
      <c r="AC1590" s="11">
        <v>-10.833842734092803</v>
      </c>
      <c r="AD1590" s="9">
        <v>3736.4322033898306</v>
      </c>
      <c r="AE1590" s="8">
        <v>-0.1206896551724138</v>
      </c>
    </row>
    <row r="1591" spans="1:31" x14ac:dyDescent="0.35">
      <c r="A1591" s="6" t="s">
        <v>1612</v>
      </c>
      <c r="B1591" s="7">
        <v>0</v>
      </c>
      <c r="C1591" s="7">
        <v>6</v>
      </c>
      <c r="D1591" s="7">
        <v>2</v>
      </c>
      <c r="E1591" s="7">
        <v>10</v>
      </c>
      <c r="F1591">
        <v>1059</v>
      </c>
      <c r="G1591">
        <v>7</v>
      </c>
      <c r="H1591">
        <v>0.71</v>
      </c>
      <c r="I1591">
        <v>-197</v>
      </c>
      <c r="J1591">
        <v>-18.649999999999999</v>
      </c>
      <c r="K1591">
        <v>1291</v>
      </c>
      <c r="L1591">
        <v>763</v>
      </c>
      <c r="M1591">
        <v>529</v>
      </c>
      <c r="N1591">
        <v>1385.37</v>
      </c>
      <c r="O1591">
        <v>-31.26</v>
      </c>
      <c r="P1591">
        <v>0</v>
      </c>
      <c r="Q1591">
        <v>0.72</v>
      </c>
      <c r="R1591">
        <v>0</v>
      </c>
      <c r="S1591">
        <v>-2655</v>
      </c>
      <c r="T1591">
        <v>6457</v>
      </c>
      <c r="U1591">
        <v>0</v>
      </c>
      <c r="V1591">
        <v>29</v>
      </c>
      <c r="W1591">
        <v>21.51</v>
      </c>
      <c r="X1591" s="10">
        <v>0.89906903292241669</v>
      </c>
      <c r="Y1591" s="9">
        <v>5870</v>
      </c>
      <c r="Z1591" s="9">
        <v>4625</v>
      </c>
      <c r="AA1591" s="9">
        <v>5830</v>
      </c>
      <c r="AB1591">
        <v>0.96787148594377514</v>
      </c>
      <c r="AC1591" s="11">
        <v>21.852597943873302</v>
      </c>
      <c r="AD1591" s="9">
        <v>4487.4124293785317</v>
      </c>
      <c r="AE1591" s="8">
        <v>0.23779193205944799</v>
      </c>
    </row>
    <row r="1592" spans="1:31" x14ac:dyDescent="0.35">
      <c r="A1592" s="6" t="s">
        <v>1613</v>
      </c>
      <c r="B1592" s="7">
        <v>3</v>
      </c>
      <c r="C1592" s="7">
        <v>12</v>
      </c>
      <c r="D1592" s="7">
        <v>1</v>
      </c>
      <c r="E1592" s="7">
        <v>2</v>
      </c>
      <c r="F1592">
        <v>211</v>
      </c>
      <c r="G1592">
        <v>18</v>
      </c>
      <c r="H1592">
        <v>8.36</v>
      </c>
      <c r="I1592">
        <v>14</v>
      </c>
      <c r="J1592">
        <v>6.41</v>
      </c>
      <c r="K1592">
        <v>601</v>
      </c>
      <c r="L1592">
        <v>70</v>
      </c>
      <c r="M1592">
        <v>531</v>
      </c>
      <c r="N1592">
        <v>69.25</v>
      </c>
      <c r="O1592">
        <v>2.58</v>
      </c>
      <c r="P1592">
        <v>29.05</v>
      </c>
      <c r="Q1592">
        <v>0.75</v>
      </c>
      <c r="R1592">
        <v>1.84</v>
      </c>
      <c r="S1592">
        <v>42</v>
      </c>
      <c r="T1592">
        <v>1628</v>
      </c>
      <c r="U1592">
        <v>662</v>
      </c>
      <c r="V1592">
        <v>33</v>
      </c>
      <c r="W1592">
        <v>12.21</v>
      </c>
      <c r="X1592" s="10">
        <v>0.63774545499996305</v>
      </c>
      <c r="Y1592" s="9">
        <v>1630</v>
      </c>
      <c r="Z1592" s="9">
        <v>1175</v>
      </c>
      <c r="AA1592" s="9">
        <v>1515</v>
      </c>
      <c r="AB1592">
        <v>0.74725274725274726</v>
      </c>
      <c r="AC1592" s="11">
        <v>5.5158377327035275</v>
      </c>
      <c r="AD1592" s="9">
        <v>1120.1836158192091</v>
      </c>
      <c r="AE1592" s="8">
        <v>0.24691358024691357</v>
      </c>
    </row>
    <row r="1593" spans="1:31" x14ac:dyDescent="0.35">
      <c r="A1593" s="6" t="s">
        <v>1614</v>
      </c>
      <c r="B1593" s="7">
        <v>11</v>
      </c>
      <c r="C1593" s="7">
        <v>2</v>
      </c>
      <c r="D1593" s="7">
        <v>3</v>
      </c>
      <c r="E1593" s="7">
        <v>2</v>
      </c>
      <c r="F1593">
        <v>1552</v>
      </c>
      <c r="G1593">
        <v>91</v>
      </c>
      <c r="H1593">
        <v>5.88</v>
      </c>
      <c r="I1593">
        <v>48</v>
      </c>
      <c r="J1593">
        <v>3.09</v>
      </c>
      <c r="K1593">
        <v>811</v>
      </c>
      <c r="L1593">
        <v>371</v>
      </c>
      <c r="M1593">
        <v>440</v>
      </c>
      <c r="N1593">
        <v>427.52</v>
      </c>
      <c r="O1593">
        <v>11.4</v>
      </c>
      <c r="P1593">
        <v>7.93</v>
      </c>
      <c r="Q1593">
        <v>0.87</v>
      </c>
      <c r="R1593">
        <v>0.24</v>
      </c>
      <c r="S1593">
        <v>287</v>
      </c>
      <c r="T1593">
        <v>2610</v>
      </c>
      <c r="U1593">
        <v>9289</v>
      </c>
      <c r="V1593">
        <v>176</v>
      </c>
      <c r="W1593">
        <v>2.16</v>
      </c>
      <c r="X1593" s="10">
        <v>0.76800742500577179</v>
      </c>
      <c r="Y1593" s="9">
        <v>2765</v>
      </c>
      <c r="Z1593" s="9">
        <v>2205</v>
      </c>
      <c r="AA1593" s="9">
        <v>2560</v>
      </c>
      <c r="AB1593">
        <v>0.6339285714285714</v>
      </c>
      <c r="AC1593" s="11">
        <v>7.5882189497082519</v>
      </c>
      <c r="AD1593" s="9">
        <v>2227.3926553672318</v>
      </c>
      <c r="AE1593" s="8">
        <v>0.12035010940919037</v>
      </c>
    </row>
    <row r="1594" spans="1:31" x14ac:dyDescent="0.35">
      <c r="A1594" s="6" t="s">
        <v>1615</v>
      </c>
      <c r="B1594" s="7">
        <v>2</v>
      </c>
      <c r="C1594" s="7">
        <v>5</v>
      </c>
      <c r="D1594" s="7">
        <v>2</v>
      </c>
      <c r="E1594" s="7">
        <v>9</v>
      </c>
      <c r="F1594">
        <v>69</v>
      </c>
      <c r="G1594">
        <v>-3</v>
      </c>
      <c r="H1594">
        <v>-4.2699999999999996</v>
      </c>
      <c r="I1594">
        <v>-7</v>
      </c>
      <c r="J1594">
        <v>-9.67</v>
      </c>
      <c r="K1594">
        <v>102</v>
      </c>
      <c r="L1594">
        <v>19</v>
      </c>
      <c r="M1594">
        <v>84</v>
      </c>
      <c r="N1594">
        <v>-30.44</v>
      </c>
      <c r="O1594">
        <v>-10.18</v>
      </c>
      <c r="P1594">
        <v>0</v>
      </c>
      <c r="Q1594">
        <v>3.2</v>
      </c>
      <c r="R1594">
        <v>2.5099999999999998</v>
      </c>
      <c r="S1594">
        <v>-37</v>
      </c>
      <c r="T1594">
        <v>301</v>
      </c>
      <c r="U1594">
        <v>383</v>
      </c>
      <c r="V1594">
        <v>-4</v>
      </c>
      <c r="W1594">
        <v>-59.37</v>
      </c>
      <c r="X1594" s="10">
        <v>0.27007502083912266</v>
      </c>
      <c r="Y1594" s="9">
        <v>2890</v>
      </c>
      <c r="Z1594" s="9">
        <v>963</v>
      </c>
      <c r="AA1594" s="9">
        <v>2890</v>
      </c>
      <c r="AB1594">
        <v>1</v>
      </c>
      <c r="AC1594" s="11">
        <v>17.347818838566269</v>
      </c>
      <c r="AD1594" s="9">
        <v>2168.1915254237292</v>
      </c>
      <c r="AE1594" s="8">
        <v>2.0010384215991692</v>
      </c>
    </row>
    <row r="1595" spans="1:31" x14ac:dyDescent="0.35">
      <c r="A1595" s="6" t="s">
        <v>1616</v>
      </c>
      <c r="B1595" s="7">
        <v>1</v>
      </c>
      <c r="C1595" s="7">
        <v>4</v>
      </c>
      <c r="D1595" s="7">
        <v>3</v>
      </c>
      <c r="E1595" s="7">
        <v>10</v>
      </c>
      <c r="F1595">
        <v>673</v>
      </c>
      <c r="G1595">
        <v>-11</v>
      </c>
      <c r="H1595">
        <v>-1.57</v>
      </c>
      <c r="I1595">
        <v>-72</v>
      </c>
      <c r="J1595">
        <v>-10.7</v>
      </c>
      <c r="K1595">
        <v>1817</v>
      </c>
      <c r="L1595">
        <v>1151</v>
      </c>
      <c r="M1595">
        <v>665</v>
      </c>
      <c r="N1595">
        <v>116.75</v>
      </c>
      <c r="O1595">
        <v>-10.42</v>
      </c>
      <c r="P1595">
        <v>0</v>
      </c>
      <c r="Q1595">
        <v>3.56</v>
      </c>
      <c r="R1595">
        <v>3.27</v>
      </c>
      <c r="S1595">
        <v>-112</v>
      </c>
      <c r="T1595">
        <v>965</v>
      </c>
      <c r="U1595">
        <v>1050</v>
      </c>
      <c r="V1595">
        <v>11</v>
      </c>
      <c r="W1595">
        <v>295.91000000000003</v>
      </c>
      <c r="X1595" s="10">
        <v>0.313355015851291</v>
      </c>
      <c r="Y1595" s="9">
        <v>3775</v>
      </c>
      <c r="Z1595" s="9">
        <v>3360</v>
      </c>
      <c r="AA1595" s="9">
        <v>3485</v>
      </c>
      <c r="AB1595">
        <v>0.30120481927710846</v>
      </c>
      <c r="AC1595" s="11">
        <v>3.2692414559599889</v>
      </c>
      <c r="AD1595" s="9">
        <v>3437.7881355932204</v>
      </c>
      <c r="AE1595" s="8">
        <v>-4.2857142857142859E-3</v>
      </c>
    </row>
    <row r="1596" spans="1:31" x14ac:dyDescent="0.35">
      <c r="A1596" s="6" t="s">
        <v>1617</v>
      </c>
      <c r="B1596" s="7">
        <v>2</v>
      </c>
      <c r="C1596" s="7">
        <v>15</v>
      </c>
      <c r="D1596" s="7">
        <v>1</v>
      </c>
      <c r="E1596" s="7">
        <v>0</v>
      </c>
      <c r="F1596">
        <v>432</v>
      </c>
      <c r="G1596">
        <v>66</v>
      </c>
      <c r="H1596">
        <v>15.22</v>
      </c>
      <c r="I1596">
        <v>65</v>
      </c>
      <c r="J1596">
        <v>15.09</v>
      </c>
      <c r="K1596">
        <v>450</v>
      </c>
      <c r="L1596">
        <v>172</v>
      </c>
      <c r="M1596">
        <v>279</v>
      </c>
      <c r="N1596">
        <v>780.55</v>
      </c>
      <c r="O1596">
        <v>28.02</v>
      </c>
      <c r="P1596">
        <v>4.76</v>
      </c>
      <c r="Q1596">
        <v>1.28</v>
      </c>
      <c r="R1596">
        <v>0.72</v>
      </c>
      <c r="S1596">
        <v>1050</v>
      </c>
      <c r="T1596">
        <v>3894</v>
      </c>
      <c r="U1596">
        <v>6956</v>
      </c>
      <c r="V1596">
        <v>71</v>
      </c>
      <c r="W1596">
        <v>5.65</v>
      </c>
      <c r="X1596" s="10">
        <v>0.72794940151199039</v>
      </c>
      <c r="Y1596" s="9">
        <v>9800</v>
      </c>
      <c r="Z1596" s="9">
        <v>4835</v>
      </c>
      <c r="AA1596" s="9">
        <v>9000</v>
      </c>
      <c r="AB1596">
        <v>0.8388721047331319</v>
      </c>
      <c r="AC1596" s="11">
        <v>83.39983328702418</v>
      </c>
      <c r="AD1596" s="9">
        <v>5053.9717514124295</v>
      </c>
      <c r="AE1596" s="8">
        <v>0.80904522613065322</v>
      </c>
    </row>
    <row r="1597" spans="1:31" x14ac:dyDescent="0.35">
      <c r="A1597" s="6" t="s">
        <v>1618</v>
      </c>
      <c r="B1597" s="7">
        <v>1</v>
      </c>
      <c r="C1597" s="7">
        <v>6</v>
      </c>
      <c r="D1597" s="7">
        <v>7</v>
      </c>
      <c r="E1597" s="7">
        <v>4</v>
      </c>
      <c r="F1597">
        <v>8824</v>
      </c>
      <c r="G1597">
        <v>315</v>
      </c>
      <c r="H1597">
        <v>3.57</v>
      </c>
      <c r="I1597">
        <v>545</v>
      </c>
      <c r="J1597">
        <v>6.18</v>
      </c>
      <c r="K1597">
        <v>12057</v>
      </c>
      <c r="L1597">
        <v>4778</v>
      </c>
      <c r="M1597">
        <v>7279</v>
      </c>
      <c r="N1597">
        <v>3597.46</v>
      </c>
      <c r="O1597">
        <v>8.4499999999999993</v>
      </c>
      <c r="P1597">
        <v>30.99</v>
      </c>
      <c r="Q1597">
        <v>2.87</v>
      </c>
      <c r="R1597">
        <v>1.91</v>
      </c>
      <c r="S1597">
        <v>555</v>
      </c>
      <c r="T1597">
        <v>5996</v>
      </c>
      <c r="U1597">
        <v>8983</v>
      </c>
      <c r="V1597">
        <v>502</v>
      </c>
      <c r="W1597">
        <v>39.39</v>
      </c>
      <c r="X1597" s="10">
        <v>0.91642397076298454</v>
      </c>
      <c r="Y1597" s="9">
        <v>23750</v>
      </c>
      <c r="Z1597" s="9">
        <v>16450</v>
      </c>
      <c r="AA1597" s="9">
        <v>23450</v>
      </c>
      <c r="AB1597">
        <v>0.95890410958904104</v>
      </c>
      <c r="AC1597" s="11">
        <v>126.23228674631839</v>
      </c>
      <c r="AD1597" s="9">
        <v>16083.248587570621</v>
      </c>
      <c r="AE1597" s="8">
        <v>0.3248587570621469</v>
      </c>
    </row>
    <row r="1598" spans="1:31" x14ac:dyDescent="0.35">
      <c r="A1598" s="6" t="s">
        <v>1619</v>
      </c>
      <c r="B1598" s="7">
        <v>6</v>
      </c>
      <c r="C1598" s="7">
        <v>8</v>
      </c>
      <c r="D1598" s="7">
        <v>4</v>
      </c>
      <c r="E1598" s="7">
        <v>0</v>
      </c>
      <c r="F1598">
        <v>33127</v>
      </c>
      <c r="G1598">
        <v>926</v>
      </c>
      <c r="H1598">
        <v>2.8</v>
      </c>
      <c r="I1598">
        <v>4243</v>
      </c>
      <c r="J1598">
        <v>12.81</v>
      </c>
      <c r="K1598">
        <v>92460</v>
      </c>
      <c r="L1598">
        <v>39253</v>
      </c>
      <c r="M1598">
        <v>53206</v>
      </c>
      <c r="N1598">
        <v>44444.19</v>
      </c>
      <c r="O1598">
        <v>9.09</v>
      </c>
      <c r="P1598">
        <v>39.6</v>
      </c>
      <c r="Q1598">
        <v>4.2</v>
      </c>
      <c r="R1598">
        <v>5.07</v>
      </c>
      <c r="S1598">
        <v>3990</v>
      </c>
      <c r="T1598">
        <v>37637</v>
      </c>
      <c r="U1598">
        <v>31149</v>
      </c>
      <c r="V1598">
        <v>2043</v>
      </c>
      <c r="W1598">
        <v>111.66</v>
      </c>
      <c r="X1598" s="10">
        <v>0.28853834604801676</v>
      </c>
      <c r="Y1598" s="9">
        <v>171000</v>
      </c>
      <c r="Z1598" s="9">
        <v>124000</v>
      </c>
      <c r="AA1598" s="9">
        <v>147500</v>
      </c>
      <c r="AB1598">
        <v>0.5</v>
      </c>
      <c r="AC1598" s="11">
        <v>340.33064740205617</v>
      </c>
      <c r="AD1598" s="9">
        <v>136011.58192090393</v>
      </c>
      <c r="AE1598" s="8">
        <v>-1.0067114093959731E-2</v>
      </c>
    </row>
    <row r="1599" spans="1:31" x14ac:dyDescent="0.35">
      <c r="A1599" s="6" t="s">
        <v>1620</v>
      </c>
      <c r="B1599" s="7">
        <v>6</v>
      </c>
      <c r="C1599" s="7">
        <v>8</v>
      </c>
      <c r="D1599" s="7">
        <v>3</v>
      </c>
      <c r="E1599" s="7">
        <v>1</v>
      </c>
      <c r="F1599">
        <v>294</v>
      </c>
      <c r="G1599">
        <v>9</v>
      </c>
      <c r="H1599">
        <v>2.91</v>
      </c>
      <c r="I1599">
        <v>7</v>
      </c>
      <c r="J1599">
        <v>2.46</v>
      </c>
      <c r="K1599">
        <v>241</v>
      </c>
      <c r="L1599">
        <v>70</v>
      </c>
      <c r="M1599">
        <v>171</v>
      </c>
      <c r="N1599">
        <v>256.97000000000003</v>
      </c>
      <c r="O1599">
        <v>5.77</v>
      </c>
      <c r="P1599">
        <v>32.15</v>
      </c>
      <c r="Q1599">
        <v>1.8</v>
      </c>
      <c r="R1599">
        <v>0.79</v>
      </c>
      <c r="S1599">
        <v>100</v>
      </c>
      <c r="T1599">
        <v>1782</v>
      </c>
      <c r="U1599">
        <v>4088</v>
      </c>
      <c r="V1599">
        <v>15</v>
      </c>
      <c r="W1599">
        <v>21.52</v>
      </c>
      <c r="X1599" s="10">
        <v>0.65699281973173751</v>
      </c>
      <c r="Y1599" s="9">
        <v>7940</v>
      </c>
      <c r="Z1599" s="9">
        <v>4230</v>
      </c>
      <c r="AA1599" s="9">
        <v>4230</v>
      </c>
      <c r="AB1599">
        <v>0</v>
      </c>
      <c r="AC1599" s="11">
        <v>-37.955959988885795</v>
      </c>
      <c r="AD1599" s="9">
        <v>6148.073446327684</v>
      </c>
      <c r="AE1599" s="8">
        <v>-0.2309090909090909</v>
      </c>
    </row>
    <row r="1600" spans="1:31" x14ac:dyDescent="0.35">
      <c r="A1600" s="6" t="s">
        <v>1621</v>
      </c>
      <c r="B1600" s="7">
        <v>5</v>
      </c>
      <c r="C1600" s="7">
        <v>8</v>
      </c>
      <c r="D1600" s="7">
        <v>2</v>
      </c>
      <c r="E1600" s="7">
        <v>3</v>
      </c>
      <c r="F1600">
        <v>5127</v>
      </c>
      <c r="G1600">
        <v>86</v>
      </c>
      <c r="H1600">
        <v>1.67</v>
      </c>
      <c r="I1600">
        <v>21</v>
      </c>
      <c r="J1600">
        <v>0.41</v>
      </c>
      <c r="K1600">
        <v>4096</v>
      </c>
      <c r="L1600">
        <v>1744</v>
      </c>
      <c r="M1600">
        <v>2352</v>
      </c>
      <c r="N1600">
        <v>3171.59</v>
      </c>
      <c r="O1600">
        <v>0.89</v>
      </c>
      <c r="P1600">
        <v>134.47</v>
      </c>
      <c r="Q1600">
        <v>1.4</v>
      </c>
      <c r="R1600">
        <v>0.55000000000000004</v>
      </c>
      <c r="S1600">
        <v>161</v>
      </c>
      <c r="T1600">
        <v>15484</v>
      </c>
      <c r="U1600">
        <v>39472</v>
      </c>
      <c r="V1600">
        <v>171</v>
      </c>
      <c r="W1600">
        <v>19.010000000000002</v>
      </c>
      <c r="X1600" s="10">
        <v>0.63361636455924808</v>
      </c>
      <c r="Y1600" s="9">
        <v>29050</v>
      </c>
      <c r="Z1600" s="9">
        <v>20100</v>
      </c>
      <c r="AA1600" s="9">
        <v>27900</v>
      </c>
      <c r="AB1600">
        <v>0.87150837988826813</v>
      </c>
      <c r="AC1600" s="11">
        <v>136.80744651292025</v>
      </c>
      <c r="AD1600" s="9">
        <v>19657.372881355932</v>
      </c>
      <c r="AE1600" s="8">
        <v>0.27688787185354691</v>
      </c>
    </row>
    <row r="1601" spans="1:31" x14ac:dyDescent="0.35">
      <c r="A1601" s="6" t="s">
        <v>1622</v>
      </c>
      <c r="B1601" s="7">
        <v>6</v>
      </c>
      <c r="C1601" s="7">
        <v>11</v>
      </c>
      <c r="D1601" s="7">
        <v>1</v>
      </c>
      <c r="E1601" s="7">
        <v>0</v>
      </c>
      <c r="F1601">
        <v>754</v>
      </c>
      <c r="G1601">
        <v>56</v>
      </c>
      <c r="H1601">
        <v>7.38</v>
      </c>
      <c r="I1601">
        <v>59</v>
      </c>
      <c r="J1601">
        <v>7.83</v>
      </c>
      <c r="K1601">
        <v>795</v>
      </c>
      <c r="L1601">
        <v>164</v>
      </c>
      <c r="M1601">
        <v>631</v>
      </c>
      <c r="N1601">
        <v>1492.08</v>
      </c>
      <c r="O1601">
        <v>9.57</v>
      </c>
      <c r="P1601">
        <v>10.52</v>
      </c>
      <c r="Q1601">
        <v>1.34</v>
      </c>
      <c r="R1601">
        <v>0.82</v>
      </c>
      <c r="S1601">
        <v>787</v>
      </c>
      <c r="T1601">
        <v>6171</v>
      </c>
      <c r="U1601">
        <v>10048</v>
      </c>
      <c r="V1601">
        <v>81</v>
      </c>
      <c r="W1601">
        <v>10.52</v>
      </c>
      <c r="X1601" s="10">
        <v>0.33569791125859588</v>
      </c>
      <c r="Y1601" s="9">
        <v>9120</v>
      </c>
      <c r="Z1601" s="9">
        <v>6900</v>
      </c>
      <c r="AA1601" s="9">
        <v>8590</v>
      </c>
      <c r="AB1601">
        <v>0.76126126126126126</v>
      </c>
      <c r="AC1601" s="11">
        <v>17.464295637677129</v>
      </c>
      <c r="AD1601" s="9">
        <v>7490.6723163841807</v>
      </c>
      <c r="AE1601" s="8">
        <v>4.1212121212121214E-2</v>
      </c>
    </row>
    <row r="1602" spans="1:31" x14ac:dyDescent="0.35">
      <c r="A1602" s="6" t="s">
        <v>1623</v>
      </c>
      <c r="B1602" s="7">
        <v>2</v>
      </c>
      <c r="C1602" s="7">
        <v>7</v>
      </c>
      <c r="D1602" s="7">
        <v>5</v>
      </c>
      <c r="E1602" s="7">
        <v>4</v>
      </c>
      <c r="F1602">
        <v>420</v>
      </c>
      <c r="G1602">
        <v>2</v>
      </c>
      <c r="H1602">
        <v>0.49</v>
      </c>
      <c r="I1602">
        <v>-46</v>
      </c>
      <c r="J1602">
        <v>-10.97</v>
      </c>
      <c r="K1602">
        <v>1103</v>
      </c>
      <c r="L1602">
        <v>633</v>
      </c>
      <c r="M1602">
        <v>471</v>
      </c>
      <c r="N1602">
        <v>571.51</v>
      </c>
      <c r="O1602">
        <v>-10.29</v>
      </c>
      <c r="P1602">
        <v>0</v>
      </c>
      <c r="Q1602">
        <v>0.56000000000000005</v>
      </c>
      <c r="R1602">
        <v>0.56999999999999995</v>
      </c>
      <c r="S1602">
        <v>-358</v>
      </c>
      <c r="T1602">
        <v>3291</v>
      </c>
      <c r="U1602">
        <v>3264</v>
      </c>
      <c r="V1602">
        <v>30</v>
      </c>
      <c r="W1602">
        <v>24.28</v>
      </c>
      <c r="X1602" s="10">
        <v>0.15221300451141614</v>
      </c>
      <c r="Y1602" s="9">
        <v>2175</v>
      </c>
      <c r="Z1602" s="9">
        <v>1485</v>
      </c>
      <c r="AA1602" s="9">
        <v>1900</v>
      </c>
      <c r="AB1602">
        <v>0.60144927536231885</v>
      </c>
      <c r="AC1602" s="11">
        <v>-4.0440400111141983</v>
      </c>
      <c r="AD1602" s="9">
        <v>1950.093220338983</v>
      </c>
      <c r="AE1602" s="8">
        <v>3.2608695652173912E-2</v>
      </c>
    </row>
    <row r="1603" spans="1:31" x14ac:dyDescent="0.35">
      <c r="A1603" s="6" t="s">
        <v>1624</v>
      </c>
      <c r="B1603" s="7">
        <v>6</v>
      </c>
      <c r="C1603" s="7">
        <v>5</v>
      </c>
      <c r="D1603" s="7">
        <v>6</v>
      </c>
      <c r="E1603" s="7">
        <v>1</v>
      </c>
      <c r="F1603">
        <v>1429</v>
      </c>
      <c r="G1603">
        <v>81</v>
      </c>
      <c r="H1603">
        <v>5.66</v>
      </c>
      <c r="I1603">
        <v>42</v>
      </c>
      <c r="J1603">
        <v>2.95</v>
      </c>
      <c r="K1603">
        <v>1356</v>
      </c>
      <c r="L1603">
        <v>763</v>
      </c>
      <c r="M1603">
        <v>592</v>
      </c>
      <c r="N1603">
        <v>1216.52</v>
      </c>
      <c r="O1603">
        <v>8.8000000000000007</v>
      </c>
      <c r="P1603">
        <v>72.39</v>
      </c>
      <c r="Q1603">
        <v>0.63</v>
      </c>
      <c r="R1603">
        <v>2.14</v>
      </c>
      <c r="S1603">
        <v>556</v>
      </c>
      <c r="T1603">
        <v>64291</v>
      </c>
      <c r="U1603">
        <v>18827</v>
      </c>
      <c r="V1603">
        <v>136</v>
      </c>
      <c r="W1603">
        <v>5.74</v>
      </c>
      <c r="X1603" s="10">
        <v>4.4038054199010641E-2</v>
      </c>
      <c r="Y1603" s="9">
        <v>5570</v>
      </c>
      <c r="Z1603" s="9">
        <v>3915</v>
      </c>
      <c r="AA1603" s="9">
        <v>4330</v>
      </c>
      <c r="AB1603">
        <v>0.25075528700906347</v>
      </c>
      <c r="AC1603" s="11">
        <v>6.4563767713253686</v>
      </c>
      <c r="AD1603" s="9">
        <v>4538.6638418079092</v>
      </c>
      <c r="AE1603" s="8">
        <v>7.7114427860696513E-2</v>
      </c>
    </row>
    <row r="1604" spans="1:31" x14ac:dyDescent="0.35">
      <c r="A1604" s="6" t="s">
        <v>1625</v>
      </c>
      <c r="B1604" s="7">
        <v>6</v>
      </c>
      <c r="C1604" s="7">
        <v>5</v>
      </c>
      <c r="D1604" s="7">
        <v>1</v>
      </c>
      <c r="E1604" s="7">
        <v>6</v>
      </c>
      <c r="F1604">
        <v>206</v>
      </c>
      <c r="G1604">
        <v>-58</v>
      </c>
      <c r="H1604">
        <v>-28.02</v>
      </c>
      <c r="I1604">
        <v>-26</v>
      </c>
      <c r="J1604">
        <v>-12.44</v>
      </c>
      <c r="K1604">
        <v>584</v>
      </c>
      <c r="L1604">
        <v>189</v>
      </c>
      <c r="M1604">
        <v>395</v>
      </c>
      <c r="N1604">
        <v>235.63</v>
      </c>
      <c r="O1604">
        <v>-8.3699999999999992</v>
      </c>
      <c r="P1604">
        <v>0</v>
      </c>
      <c r="Q1604">
        <v>1.58</v>
      </c>
      <c r="R1604">
        <v>2.25</v>
      </c>
      <c r="S1604">
        <v>-145</v>
      </c>
      <c r="T1604">
        <v>1676</v>
      </c>
      <c r="U1604">
        <v>1172</v>
      </c>
      <c r="V1604">
        <v>-59</v>
      </c>
      <c r="W1604">
        <v>-10.5</v>
      </c>
      <c r="X1604" s="10">
        <v>0.68784969955062458</v>
      </c>
      <c r="Y1604" s="9">
        <v>4135</v>
      </c>
      <c r="Z1604" s="9">
        <v>2570</v>
      </c>
      <c r="AA1604" s="9">
        <v>3645</v>
      </c>
      <c r="AB1604">
        <v>0.68690095846645371</v>
      </c>
      <c r="AC1604" s="11">
        <v>21.624895804390107</v>
      </c>
      <c r="AD1604" s="9">
        <v>2624.4406779661017</v>
      </c>
      <c r="AE1604" s="8">
        <v>0.17580645161290323</v>
      </c>
    </row>
    <row r="1605" spans="1:31" x14ac:dyDescent="0.35">
      <c r="A1605" s="6" t="s">
        <v>1626</v>
      </c>
      <c r="B1605" s="7">
        <v>8</v>
      </c>
      <c r="C1605" s="7">
        <v>0</v>
      </c>
      <c r="D1605" s="7">
        <v>0</v>
      </c>
      <c r="E1605" s="7">
        <v>10</v>
      </c>
      <c r="F1605">
        <v>1679</v>
      </c>
      <c r="G1605">
        <v>176</v>
      </c>
      <c r="H1605">
        <v>10.46</v>
      </c>
      <c r="I1605">
        <v>139</v>
      </c>
      <c r="J1605">
        <v>8.25</v>
      </c>
      <c r="K1605">
        <v>34638</v>
      </c>
      <c r="L1605">
        <v>31583</v>
      </c>
      <c r="M1605">
        <v>3055</v>
      </c>
      <c r="N1605">
        <v>176.09</v>
      </c>
      <c r="O1605">
        <v>4.6399999999999997</v>
      </c>
      <c r="P1605">
        <v>11.69</v>
      </c>
      <c r="Q1605">
        <v>0.54</v>
      </c>
      <c r="R1605">
        <v>0.97</v>
      </c>
      <c r="S1605">
        <v>626</v>
      </c>
      <c r="T1605">
        <v>13635</v>
      </c>
      <c r="U1605">
        <v>7585</v>
      </c>
      <c r="V1605">
        <v>0</v>
      </c>
      <c r="W1605">
        <v>0</v>
      </c>
      <c r="X1605" s="10">
        <v>0.72788375127020155</v>
      </c>
      <c r="Y1605" s="9">
        <v>9680</v>
      </c>
      <c r="Z1605" s="9">
        <v>6870</v>
      </c>
      <c r="AA1605" s="9">
        <v>9640</v>
      </c>
      <c r="AB1605">
        <v>0.98576512455516019</v>
      </c>
      <c r="AC1605" s="11">
        <v>36.414559599888861</v>
      </c>
      <c r="AD1605" s="9">
        <v>6928.3559322033898</v>
      </c>
      <c r="AE1605" s="8">
        <v>0.27344782034346105</v>
      </c>
    </row>
    <row r="1606" spans="1:31" x14ac:dyDescent="0.35">
      <c r="A1606" s="6" t="s">
        <v>1627</v>
      </c>
      <c r="B1606" s="7">
        <v>0</v>
      </c>
      <c r="C1606" s="7">
        <v>2</v>
      </c>
      <c r="D1606" s="7">
        <v>10</v>
      </c>
      <c r="E1606" s="7">
        <v>6</v>
      </c>
      <c r="F1606">
        <v>186</v>
      </c>
      <c r="G1606">
        <v>-5</v>
      </c>
      <c r="H1606">
        <v>-2.64</v>
      </c>
      <c r="I1606">
        <v>-8</v>
      </c>
      <c r="J1606">
        <v>-4.1399999999999997</v>
      </c>
      <c r="K1606">
        <v>152</v>
      </c>
      <c r="L1606">
        <v>72</v>
      </c>
      <c r="M1606">
        <v>80</v>
      </c>
      <c r="N1606">
        <v>83.89</v>
      </c>
      <c r="O1606">
        <v>-9.18</v>
      </c>
      <c r="P1606">
        <v>0</v>
      </c>
      <c r="Q1606">
        <v>1.73</v>
      </c>
      <c r="R1606">
        <v>0.74</v>
      </c>
      <c r="S1606">
        <v>-88</v>
      </c>
      <c r="T1606">
        <v>911</v>
      </c>
      <c r="U1606">
        <v>2139</v>
      </c>
      <c r="V1606">
        <v>-3</v>
      </c>
      <c r="W1606">
        <v>-64.33</v>
      </c>
      <c r="X1606" s="10">
        <v>0.80953654955416277</v>
      </c>
      <c r="Y1606" s="9">
        <v>2355</v>
      </c>
      <c r="Z1606" s="9">
        <v>1510</v>
      </c>
      <c r="AA1606" s="9">
        <v>2320</v>
      </c>
      <c r="AB1606">
        <v>0.95857988165680474</v>
      </c>
      <c r="AC1606" s="11">
        <v>13.342039455404281</v>
      </c>
      <c r="AD1606" s="9">
        <v>1431.7344632768361</v>
      </c>
      <c r="AE1606" s="8">
        <v>0.473015873015873</v>
      </c>
    </row>
    <row r="1607" spans="1:31" x14ac:dyDescent="0.35">
      <c r="A1607" s="6" t="s">
        <v>1628</v>
      </c>
      <c r="B1607" s="7">
        <v>1</v>
      </c>
      <c r="C1607" s="7">
        <v>2</v>
      </c>
      <c r="D1607" s="7">
        <v>8</v>
      </c>
      <c r="E1607" s="7">
        <v>7</v>
      </c>
      <c r="F1607">
        <v>249</v>
      </c>
      <c r="G1607">
        <v>-1</v>
      </c>
      <c r="H1607">
        <v>-0.3</v>
      </c>
      <c r="I1607">
        <v>-180</v>
      </c>
      <c r="J1607">
        <v>-72.22</v>
      </c>
      <c r="K1607">
        <v>767</v>
      </c>
      <c r="L1607">
        <v>424</v>
      </c>
      <c r="M1607">
        <v>343</v>
      </c>
      <c r="N1607">
        <v>173.47</v>
      </c>
      <c r="O1607">
        <v>-27.13</v>
      </c>
      <c r="P1607">
        <v>0</v>
      </c>
      <c r="Q1607">
        <v>21.83</v>
      </c>
      <c r="R1607">
        <v>16.38</v>
      </c>
      <c r="S1607">
        <v>-683</v>
      </c>
      <c r="T1607">
        <v>710</v>
      </c>
      <c r="U1607">
        <v>946</v>
      </c>
      <c r="V1607">
        <v>8</v>
      </c>
      <c r="W1607">
        <v>553.44000000000005</v>
      </c>
      <c r="X1607" s="10">
        <v>0.44712033010004787</v>
      </c>
      <c r="Y1607" s="9">
        <v>20650</v>
      </c>
      <c r="Z1607" s="9">
        <v>15300</v>
      </c>
      <c r="AA1607" s="9">
        <v>18100</v>
      </c>
      <c r="AB1607">
        <v>0.52336448598130836</v>
      </c>
      <c r="AC1607" s="11">
        <v>51.560155598777435</v>
      </c>
      <c r="AD1607" s="9">
        <v>15864.915254237289</v>
      </c>
      <c r="AE1607" s="8">
        <v>0.18300653594771241</v>
      </c>
    </row>
    <row r="1608" spans="1:31" x14ac:dyDescent="0.35">
      <c r="A1608" s="6" t="s">
        <v>1629</v>
      </c>
      <c r="B1608" s="7">
        <v>5</v>
      </c>
      <c r="C1608" s="7">
        <v>9</v>
      </c>
      <c r="D1608" s="7">
        <v>3</v>
      </c>
      <c r="E1608" s="7">
        <v>1</v>
      </c>
      <c r="F1608">
        <v>531</v>
      </c>
      <c r="G1608">
        <v>40</v>
      </c>
      <c r="H1608">
        <v>7.48</v>
      </c>
      <c r="I1608">
        <v>27</v>
      </c>
      <c r="J1608">
        <v>5</v>
      </c>
      <c r="K1608">
        <v>614</v>
      </c>
      <c r="L1608">
        <v>232</v>
      </c>
      <c r="M1608">
        <v>382</v>
      </c>
      <c r="N1608">
        <v>278.3</v>
      </c>
      <c r="O1608">
        <v>10.58</v>
      </c>
      <c r="P1608">
        <v>13.89</v>
      </c>
      <c r="Q1608">
        <v>1.44</v>
      </c>
      <c r="R1608">
        <v>0.69</v>
      </c>
      <c r="S1608">
        <v>185</v>
      </c>
      <c r="T1608">
        <v>1781</v>
      </c>
      <c r="U1608">
        <v>3713</v>
      </c>
      <c r="V1608">
        <v>74</v>
      </c>
      <c r="W1608">
        <v>8.2100000000000009</v>
      </c>
      <c r="X1608" s="10">
        <v>0.75492684473449934</v>
      </c>
      <c r="Y1608" s="9">
        <v>4345</v>
      </c>
      <c r="Z1608" s="9">
        <v>2240</v>
      </c>
      <c r="AA1608" s="9">
        <v>4300</v>
      </c>
      <c r="AB1608">
        <v>0.97862232779097391</v>
      </c>
      <c r="AC1608" s="11">
        <v>25.827174215059742</v>
      </c>
      <c r="AD1608" s="9">
        <v>2040.6045197740114</v>
      </c>
      <c r="AE1608" s="8">
        <v>0.86550976138828628</v>
      </c>
    </row>
    <row r="1609" spans="1:31" x14ac:dyDescent="0.35">
      <c r="A1609" s="6" t="s">
        <v>1630</v>
      </c>
      <c r="B1609" s="7">
        <v>9</v>
      </c>
      <c r="C1609" s="7">
        <v>6</v>
      </c>
      <c r="D1609" s="7">
        <v>1</v>
      </c>
      <c r="E1609" s="7">
        <v>2</v>
      </c>
      <c r="F1609">
        <v>266</v>
      </c>
      <c r="G1609">
        <v>59</v>
      </c>
      <c r="H1609">
        <v>22.29</v>
      </c>
      <c r="I1609">
        <v>52</v>
      </c>
      <c r="J1609">
        <v>19.41</v>
      </c>
      <c r="K1609">
        <v>538</v>
      </c>
      <c r="L1609">
        <v>174</v>
      </c>
      <c r="M1609">
        <v>364</v>
      </c>
      <c r="N1609">
        <v>779.22</v>
      </c>
      <c r="O1609">
        <v>15.06</v>
      </c>
      <c r="P1609">
        <v>4.68</v>
      </c>
      <c r="Q1609">
        <v>0.67</v>
      </c>
      <c r="R1609">
        <v>0.91</v>
      </c>
      <c r="S1609">
        <v>626</v>
      </c>
      <c r="T1609">
        <v>4357</v>
      </c>
      <c r="U1609">
        <v>3224</v>
      </c>
      <c r="V1609">
        <v>64</v>
      </c>
      <c r="W1609">
        <v>4.26</v>
      </c>
      <c r="X1609" s="10">
        <v>0.7181243665539373</v>
      </c>
      <c r="Y1609" s="9">
        <v>4210</v>
      </c>
      <c r="Z1609" s="9">
        <v>2500</v>
      </c>
      <c r="AA1609" s="9">
        <v>3710</v>
      </c>
      <c r="AB1609">
        <v>0.70760233918128657</v>
      </c>
      <c r="AC1609" s="11">
        <v>23.08238399555432</v>
      </c>
      <c r="AD1609" s="9">
        <v>2409.2372881355932</v>
      </c>
      <c r="AE1609" s="8">
        <v>0.2533783783783784</v>
      </c>
    </row>
    <row r="1610" spans="1:31" x14ac:dyDescent="0.35">
      <c r="A1610" s="6" t="s">
        <v>1631</v>
      </c>
      <c r="B1610" s="7">
        <v>15</v>
      </c>
      <c r="C1610" s="7">
        <v>2</v>
      </c>
      <c r="D1610" s="7">
        <v>0</v>
      </c>
      <c r="E1610" s="7">
        <v>1</v>
      </c>
      <c r="F1610">
        <v>1892</v>
      </c>
      <c r="G1610">
        <v>156</v>
      </c>
      <c r="H1610">
        <v>8.23</v>
      </c>
      <c r="I1610">
        <v>161</v>
      </c>
      <c r="J1610">
        <v>8.51</v>
      </c>
      <c r="K1610">
        <v>2210</v>
      </c>
      <c r="L1610">
        <v>865</v>
      </c>
      <c r="M1610">
        <v>1345</v>
      </c>
      <c r="N1610">
        <v>2133.1999999999998</v>
      </c>
      <c r="O1610">
        <v>12.59</v>
      </c>
      <c r="P1610">
        <v>7.14</v>
      </c>
      <c r="Q1610">
        <v>1.06</v>
      </c>
      <c r="R1610">
        <v>0.61</v>
      </c>
      <c r="S1610">
        <v>1533</v>
      </c>
      <c r="T1610">
        <v>10326</v>
      </c>
      <c r="U1610">
        <v>18018</v>
      </c>
      <c r="V1610">
        <v>178</v>
      </c>
      <c r="W1610">
        <v>10.27</v>
      </c>
      <c r="X1610" s="10">
        <v>0.12168665945543353</v>
      </c>
      <c r="Y1610" s="9">
        <v>15950</v>
      </c>
      <c r="Z1610" s="9">
        <v>10950</v>
      </c>
      <c r="AA1610" s="9">
        <v>15850</v>
      </c>
      <c r="AB1610">
        <v>0.98</v>
      </c>
      <c r="AC1610" s="11">
        <v>21.437899416504585</v>
      </c>
      <c r="AD1610" s="9">
        <v>12258.644067796609</v>
      </c>
      <c r="AE1610" s="8">
        <v>0.40888888888888891</v>
      </c>
    </row>
    <row r="1611" spans="1:31" x14ac:dyDescent="0.35">
      <c r="A1611" s="6" t="s">
        <v>1632</v>
      </c>
      <c r="B1611" s="7">
        <v>10</v>
      </c>
      <c r="C1611" s="7">
        <v>1</v>
      </c>
      <c r="D1611" s="7">
        <v>6</v>
      </c>
      <c r="E1611" s="7">
        <v>1</v>
      </c>
      <c r="F1611">
        <v>1450</v>
      </c>
      <c r="G1611">
        <v>69</v>
      </c>
      <c r="H1611">
        <v>4.7699999999999996</v>
      </c>
      <c r="I1611">
        <v>71</v>
      </c>
      <c r="J1611">
        <v>4.93</v>
      </c>
      <c r="K1611">
        <v>2124</v>
      </c>
      <c r="L1611">
        <v>425</v>
      </c>
      <c r="M1611">
        <v>1699</v>
      </c>
      <c r="N1611">
        <v>439.16</v>
      </c>
      <c r="O1611">
        <v>5.93</v>
      </c>
      <c r="P1611">
        <v>45.02</v>
      </c>
      <c r="Q1611">
        <v>4.66</v>
      </c>
      <c r="R1611">
        <v>2.2200000000000002</v>
      </c>
      <c r="S1611">
        <v>2643</v>
      </c>
      <c r="T1611">
        <v>25532</v>
      </c>
      <c r="U1611">
        <v>53640</v>
      </c>
      <c r="V1611">
        <v>115</v>
      </c>
      <c r="W1611">
        <v>68.73</v>
      </c>
      <c r="X1611" s="10">
        <v>0.16716529550566306</v>
      </c>
      <c r="Y1611" s="9">
        <v>149000</v>
      </c>
      <c r="Z1611" s="9">
        <v>122500</v>
      </c>
      <c r="AA1611" s="9">
        <v>133500</v>
      </c>
      <c r="AB1611">
        <v>0.41509433962264153</v>
      </c>
      <c r="AC1611" s="11">
        <v>-184.89858293970548</v>
      </c>
      <c r="AD1611" s="9">
        <v>142914.40677966102</v>
      </c>
      <c r="AE1611" s="8">
        <v>0</v>
      </c>
    </row>
    <row r="1612" spans="1:31" x14ac:dyDescent="0.35">
      <c r="A1612" s="6" t="s">
        <v>1633</v>
      </c>
      <c r="B1612" s="7">
        <v>3</v>
      </c>
      <c r="C1612" s="7">
        <v>2</v>
      </c>
      <c r="D1612" s="7">
        <v>12</v>
      </c>
      <c r="E1612" s="7">
        <v>1</v>
      </c>
      <c r="F1612">
        <v>548</v>
      </c>
      <c r="G1612">
        <v>9</v>
      </c>
      <c r="H1612">
        <v>1.6</v>
      </c>
      <c r="I1612">
        <v>-23</v>
      </c>
      <c r="J1612">
        <v>-4.1100000000000003</v>
      </c>
      <c r="K1612">
        <v>833</v>
      </c>
      <c r="L1612">
        <v>548</v>
      </c>
      <c r="M1612">
        <v>284</v>
      </c>
      <c r="N1612">
        <v>44.88</v>
      </c>
      <c r="O1612">
        <v>-7.62</v>
      </c>
      <c r="P1612">
        <v>0</v>
      </c>
      <c r="Q1612">
        <v>1.64</v>
      </c>
      <c r="R1612">
        <v>0.84</v>
      </c>
      <c r="S1612">
        <v>-574</v>
      </c>
      <c r="T1612">
        <v>7175</v>
      </c>
      <c r="U1612">
        <v>13969</v>
      </c>
      <c r="V1612">
        <v>14</v>
      </c>
      <c r="W1612">
        <v>61.15</v>
      </c>
      <c r="X1612" s="10">
        <v>0.30829179019315367</v>
      </c>
      <c r="Y1612" s="9">
        <v>15100</v>
      </c>
      <c r="Z1612" s="9">
        <v>11150</v>
      </c>
      <c r="AA1612" s="9">
        <v>13350</v>
      </c>
      <c r="AB1612">
        <v>0.55696202531645567</v>
      </c>
      <c r="AC1612" s="11">
        <v>30.125034731869963</v>
      </c>
      <c r="AD1612" s="9">
        <v>11502.853107344632</v>
      </c>
      <c r="AE1612" s="8">
        <v>0.15086206896551724</v>
      </c>
    </row>
    <row r="1613" spans="1:31" x14ac:dyDescent="0.35">
      <c r="A1613" s="6" t="s">
        <v>1634</v>
      </c>
      <c r="B1613" s="7">
        <v>10</v>
      </c>
      <c r="C1613" s="7">
        <v>3</v>
      </c>
      <c r="D1613" s="7">
        <v>1</v>
      </c>
      <c r="E1613" s="7">
        <v>4</v>
      </c>
      <c r="F1613">
        <v>4917</v>
      </c>
      <c r="G1613">
        <v>370</v>
      </c>
      <c r="H1613">
        <v>7.52</v>
      </c>
      <c r="I1613">
        <v>363</v>
      </c>
      <c r="J1613">
        <v>7.39</v>
      </c>
      <c r="K1613">
        <v>6372</v>
      </c>
      <c r="L1613">
        <v>1721</v>
      </c>
      <c r="M1613">
        <v>4651</v>
      </c>
      <c r="N1613">
        <v>2262.42</v>
      </c>
      <c r="O1613">
        <v>7.82</v>
      </c>
      <c r="P1613">
        <v>10.28</v>
      </c>
      <c r="Q1613">
        <v>1.01</v>
      </c>
      <c r="R1613">
        <v>0.76</v>
      </c>
      <c r="S1613">
        <v>11184</v>
      </c>
      <c r="T1613">
        <v>114282</v>
      </c>
      <c r="U1613">
        <v>151298</v>
      </c>
      <c r="V1613">
        <v>496</v>
      </c>
      <c r="W1613">
        <v>10.25</v>
      </c>
      <c r="X1613" s="10">
        <v>4.8836287201288915E-2</v>
      </c>
      <c r="Y1613" s="9">
        <v>122500</v>
      </c>
      <c r="Z1613" s="9">
        <v>102000</v>
      </c>
      <c r="AA1613" s="9">
        <v>111000</v>
      </c>
      <c r="AB1613">
        <v>0.43902439024390244</v>
      </c>
      <c r="AC1613" s="11">
        <v>-49.222006112809098</v>
      </c>
      <c r="AD1613" s="9">
        <v>109159.604519774</v>
      </c>
      <c r="AE1613" s="8">
        <v>-9.3877551020408165E-2</v>
      </c>
    </row>
    <row r="1614" spans="1:31" x14ac:dyDescent="0.35">
      <c r="A1614" s="6" t="s">
        <v>1635</v>
      </c>
      <c r="B1614" s="7">
        <v>14</v>
      </c>
      <c r="C1614" s="7">
        <v>2</v>
      </c>
      <c r="D1614" s="7">
        <v>0</v>
      </c>
      <c r="E1614" s="7">
        <v>2</v>
      </c>
      <c r="F1614">
        <v>533</v>
      </c>
      <c r="G1614">
        <v>117</v>
      </c>
      <c r="H1614">
        <v>21.98</v>
      </c>
      <c r="I1614">
        <v>96</v>
      </c>
      <c r="J1614">
        <v>17.95</v>
      </c>
      <c r="K1614">
        <v>701</v>
      </c>
      <c r="L1614">
        <v>124</v>
      </c>
      <c r="M1614">
        <v>576</v>
      </c>
      <c r="N1614">
        <v>9206.2000000000007</v>
      </c>
      <c r="O1614">
        <v>24.08</v>
      </c>
      <c r="P1614">
        <v>6.76</v>
      </c>
      <c r="Q1614">
        <v>1.52</v>
      </c>
      <c r="R1614">
        <v>1.21</v>
      </c>
      <c r="S1614">
        <v>10328</v>
      </c>
      <c r="T1614">
        <v>45792</v>
      </c>
      <c r="U1614">
        <v>57547</v>
      </c>
      <c r="V1614">
        <v>161</v>
      </c>
      <c r="W1614">
        <v>5.45</v>
      </c>
      <c r="X1614" s="10">
        <v>0.62458116843605271</v>
      </c>
      <c r="Y1614" s="9">
        <v>73700</v>
      </c>
      <c r="Z1614" s="9">
        <v>60600</v>
      </c>
      <c r="AA1614" s="9">
        <v>69000</v>
      </c>
      <c r="AB1614">
        <v>0.64122137404580148</v>
      </c>
      <c r="AC1614" s="11">
        <v>151.79216449013612</v>
      </c>
      <c r="AD1614" s="9">
        <v>61997.005649717517</v>
      </c>
      <c r="AE1614" s="8">
        <v>6.9767441860465115E-2</v>
      </c>
    </row>
    <row r="1615" spans="1:31" x14ac:dyDescent="0.35">
      <c r="A1615" s="6" t="s">
        <v>1636</v>
      </c>
      <c r="B1615" s="7">
        <v>2</v>
      </c>
      <c r="C1615" s="7">
        <v>2</v>
      </c>
      <c r="D1615" s="7">
        <v>12</v>
      </c>
      <c r="E1615" s="7">
        <v>2</v>
      </c>
      <c r="F1615">
        <v>303</v>
      </c>
      <c r="G1615">
        <v>-23</v>
      </c>
      <c r="H1615">
        <v>-7.63</v>
      </c>
      <c r="I1615">
        <v>-19</v>
      </c>
      <c r="J1615">
        <v>-6.29</v>
      </c>
      <c r="K1615">
        <v>740</v>
      </c>
      <c r="L1615">
        <v>241</v>
      </c>
      <c r="M1615">
        <v>499</v>
      </c>
      <c r="N1615">
        <v>252.42</v>
      </c>
      <c r="O1615">
        <v>-5</v>
      </c>
      <c r="P1615">
        <v>0</v>
      </c>
      <c r="Q1615">
        <v>2.36</v>
      </c>
      <c r="R1615">
        <v>2.9</v>
      </c>
      <c r="S1615">
        <v>-89</v>
      </c>
      <c r="T1615">
        <v>1749</v>
      </c>
      <c r="U1615">
        <v>1427</v>
      </c>
      <c r="V1615">
        <v>-31</v>
      </c>
      <c r="W1615">
        <v>-39.200000000000003</v>
      </c>
      <c r="X1615" s="10">
        <v>0.47672935816779699</v>
      </c>
      <c r="Y1615" s="9">
        <v>4105</v>
      </c>
      <c r="Z1615" s="9">
        <v>3495</v>
      </c>
      <c r="AA1615" s="9">
        <v>3915</v>
      </c>
      <c r="AB1615">
        <v>0.68852459016393441</v>
      </c>
      <c r="AC1615" s="11">
        <v>4.8999722145040288</v>
      </c>
      <c r="AD1615" s="9">
        <v>3536.5508474576272</v>
      </c>
      <c r="AE1615" s="8">
        <v>0.11063829787234042</v>
      </c>
    </row>
    <row r="1616" spans="1:31" x14ac:dyDescent="0.35">
      <c r="A1616" s="6" t="s">
        <v>1637</v>
      </c>
      <c r="B1616" s="7">
        <v>5</v>
      </c>
      <c r="C1616" s="7">
        <v>7</v>
      </c>
      <c r="D1616" s="7">
        <v>1</v>
      </c>
      <c r="E1616" s="7">
        <v>5</v>
      </c>
      <c r="F1616">
        <v>70</v>
      </c>
      <c r="G1616">
        <v>-40</v>
      </c>
      <c r="H1616">
        <v>-57.47</v>
      </c>
      <c r="I1616">
        <v>14</v>
      </c>
      <c r="J1616">
        <v>19.77</v>
      </c>
      <c r="K1616">
        <v>890</v>
      </c>
      <c r="L1616">
        <v>48</v>
      </c>
      <c r="M1616">
        <v>843</v>
      </c>
      <c r="N1616">
        <v>2199.2399999999998</v>
      </c>
      <c r="O1616">
        <v>2.27</v>
      </c>
      <c r="P1616">
        <v>128.96</v>
      </c>
      <c r="Q1616">
        <v>3.54</v>
      </c>
      <c r="R1616">
        <v>25.48</v>
      </c>
      <c r="S1616">
        <v>259</v>
      </c>
      <c r="T1616">
        <v>9425</v>
      </c>
      <c r="U1616">
        <v>1311</v>
      </c>
      <c r="V1616">
        <v>-42</v>
      </c>
      <c r="W1616">
        <v>-68.14</v>
      </c>
      <c r="X1616" s="10">
        <v>0.36433545951339441</v>
      </c>
      <c r="Y1616" s="9">
        <v>30800</v>
      </c>
      <c r="Z1616" s="9">
        <v>24850</v>
      </c>
      <c r="AA1616" s="9">
        <v>26200</v>
      </c>
      <c r="AB1616">
        <v>0.22689075630252101</v>
      </c>
      <c r="AC1616" s="11">
        <v>-56.011392053348153</v>
      </c>
      <c r="AD1616" s="9">
        <v>28940.847457627118</v>
      </c>
      <c r="AE1616" s="8">
        <v>-3.8532110091743121E-2</v>
      </c>
    </row>
    <row r="1617" spans="1:31" x14ac:dyDescent="0.35">
      <c r="A1617" s="6" t="s">
        <v>1638</v>
      </c>
      <c r="B1617" s="7">
        <v>2</v>
      </c>
      <c r="C1617" s="7">
        <v>11</v>
      </c>
      <c r="D1617" s="7">
        <v>2</v>
      </c>
      <c r="E1617" s="7">
        <v>3</v>
      </c>
      <c r="F1617">
        <v>460</v>
      </c>
      <c r="G1617">
        <v>51</v>
      </c>
      <c r="H1617">
        <v>11.11</v>
      </c>
      <c r="I1617">
        <v>35</v>
      </c>
      <c r="J1617">
        <v>7.7</v>
      </c>
      <c r="K1617">
        <v>759</v>
      </c>
      <c r="L1617">
        <v>164</v>
      </c>
      <c r="M1617">
        <v>595</v>
      </c>
      <c r="N1617">
        <v>1077.18</v>
      </c>
      <c r="O1617">
        <v>5.75</v>
      </c>
      <c r="P1617">
        <v>65.58</v>
      </c>
      <c r="Q1617">
        <v>4.4800000000000004</v>
      </c>
      <c r="R1617">
        <v>5.04</v>
      </c>
      <c r="S1617">
        <v>308</v>
      </c>
      <c r="T1617">
        <v>4507</v>
      </c>
      <c r="U1617">
        <v>4004</v>
      </c>
      <c r="V1617">
        <v>71</v>
      </c>
      <c r="W1617">
        <v>33.46</v>
      </c>
      <c r="X1617" s="10">
        <v>0.78535097862236514</v>
      </c>
      <c r="Y1617" s="9">
        <v>32250</v>
      </c>
      <c r="Z1617" s="9">
        <v>20200</v>
      </c>
      <c r="AA1617" s="9">
        <v>28600</v>
      </c>
      <c r="AB1617">
        <v>0.69709543568464727</v>
      </c>
      <c r="AC1617" s="11">
        <v>165.56404556821337</v>
      </c>
      <c r="AD1617" s="9">
        <v>20876.129943502823</v>
      </c>
      <c r="AE1617" s="8">
        <v>0.36842105263157893</v>
      </c>
    </row>
    <row r="1618" spans="1:31" x14ac:dyDescent="0.35">
      <c r="A1618" s="6" t="s">
        <v>1639</v>
      </c>
      <c r="B1618" s="7">
        <v>3</v>
      </c>
      <c r="C1618" s="7">
        <v>2</v>
      </c>
      <c r="D1618" s="7">
        <v>4</v>
      </c>
      <c r="E1618" s="7">
        <v>9</v>
      </c>
      <c r="F1618">
        <v>3090</v>
      </c>
      <c r="G1618">
        <v>-41</v>
      </c>
      <c r="H1618">
        <v>-1.32</v>
      </c>
      <c r="I1618">
        <v>-20</v>
      </c>
      <c r="J1618">
        <v>-0.64</v>
      </c>
      <c r="K1618">
        <v>2848</v>
      </c>
      <c r="L1618">
        <v>1145</v>
      </c>
      <c r="M1618">
        <v>1703</v>
      </c>
      <c r="N1618">
        <v>389.37</v>
      </c>
      <c r="O1618">
        <v>-1.1599999999999999</v>
      </c>
      <c r="P1618">
        <v>0</v>
      </c>
      <c r="Q1618">
        <v>0.42</v>
      </c>
      <c r="R1618">
        <v>0.23</v>
      </c>
      <c r="S1618">
        <v>-28</v>
      </c>
      <c r="T1618">
        <v>2440</v>
      </c>
      <c r="U1618">
        <v>4440</v>
      </c>
      <c r="V1618">
        <v>14</v>
      </c>
      <c r="W1618">
        <v>78.77</v>
      </c>
      <c r="X1618" s="10">
        <v>0.80923119628328177</v>
      </c>
      <c r="Y1618" s="9">
        <v>1145</v>
      </c>
      <c r="Z1618" s="9">
        <v>992</v>
      </c>
      <c r="AA1618" s="9">
        <v>1115</v>
      </c>
      <c r="AB1618">
        <v>0.80392156862745101</v>
      </c>
      <c r="AC1618" s="11">
        <v>2.3651847735482074</v>
      </c>
      <c r="AD1618" s="9">
        <v>998.3118644067797</v>
      </c>
      <c r="AE1618" s="8">
        <v>0.12060301507537688</v>
      </c>
    </row>
    <row r="1619" spans="1:31" x14ac:dyDescent="0.35">
      <c r="A1619" s="6" t="s">
        <v>1640</v>
      </c>
      <c r="B1619" s="7">
        <v>6</v>
      </c>
      <c r="C1619" s="7">
        <v>9</v>
      </c>
      <c r="D1619" s="7">
        <v>3</v>
      </c>
      <c r="E1619" s="7">
        <v>0</v>
      </c>
      <c r="F1619">
        <v>1127</v>
      </c>
      <c r="G1619">
        <v>72</v>
      </c>
      <c r="H1619">
        <v>6.35</v>
      </c>
      <c r="I1619">
        <v>53</v>
      </c>
      <c r="J1619">
        <v>4.68</v>
      </c>
      <c r="K1619">
        <v>1306</v>
      </c>
      <c r="L1619">
        <v>289</v>
      </c>
      <c r="M1619">
        <v>1017</v>
      </c>
      <c r="N1619">
        <v>3288.58</v>
      </c>
      <c r="O1619">
        <v>5.3</v>
      </c>
      <c r="P1619">
        <v>11.37</v>
      </c>
      <c r="Q1619">
        <v>0.59</v>
      </c>
      <c r="R1619">
        <v>0.01</v>
      </c>
      <c r="S1619">
        <v>8792</v>
      </c>
      <c r="T1619">
        <v>168506</v>
      </c>
      <c r="U1619">
        <v>18788061</v>
      </c>
      <c r="V1619">
        <v>98</v>
      </c>
      <c r="W1619">
        <v>6.13</v>
      </c>
      <c r="X1619" s="10">
        <v>0.7968394762472405</v>
      </c>
      <c r="Y1619" s="9">
        <v>150500</v>
      </c>
      <c r="Z1619" s="9">
        <v>99200</v>
      </c>
      <c r="AA1619" s="9">
        <v>150500</v>
      </c>
      <c r="AB1619">
        <v>1</v>
      </c>
      <c r="AC1619" s="11">
        <v>745.3237010280634</v>
      </c>
      <c r="AD1619" s="9">
        <v>90837.627118644072</v>
      </c>
      <c r="AE1619" s="8">
        <v>0.51104417670682734</v>
      </c>
    </row>
    <row r="1620" spans="1:31" x14ac:dyDescent="0.35">
      <c r="A1620" s="6" t="s">
        <v>1641</v>
      </c>
      <c r="B1620" s="7">
        <v>12</v>
      </c>
      <c r="C1620" s="7">
        <v>2</v>
      </c>
      <c r="D1620" s="7">
        <v>4</v>
      </c>
      <c r="E1620" s="7">
        <v>0</v>
      </c>
      <c r="F1620">
        <v>5441</v>
      </c>
      <c r="G1620">
        <v>539</v>
      </c>
      <c r="H1620">
        <v>9.91</v>
      </c>
      <c r="I1620">
        <v>352</v>
      </c>
      <c r="J1620">
        <v>6.46</v>
      </c>
      <c r="K1620">
        <v>5738</v>
      </c>
      <c r="L1620">
        <v>2423</v>
      </c>
      <c r="M1620">
        <v>3314</v>
      </c>
      <c r="N1620">
        <v>1310.69</v>
      </c>
      <c r="O1620">
        <v>11.17</v>
      </c>
      <c r="P1620">
        <v>17.47</v>
      </c>
      <c r="Q1620">
        <v>1.94</v>
      </c>
      <c r="R1620">
        <v>1.1299999999999999</v>
      </c>
      <c r="S1620">
        <v>3738</v>
      </c>
      <c r="T1620">
        <v>33663</v>
      </c>
      <c r="U1620">
        <v>57863</v>
      </c>
      <c r="V1620">
        <v>745</v>
      </c>
      <c r="W1620">
        <v>9.23</v>
      </c>
      <c r="X1620" s="10">
        <v>8.0941133833199799E-2</v>
      </c>
      <c r="Y1620" s="9">
        <v>71200</v>
      </c>
      <c r="Z1620" s="9">
        <v>54700</v>
      </c>
      <c r="AA1620" s="9">
        <v>70000</v>
      </c>
      <c r="AB1620">
        <v>0.92727272727272725</v>
      </c>
      <c r="AC1620" s="11">
        <v>75.615448735759927</v>
      </c>
      <c r="AD1620" s="9">
        <v>57643.728813559319</v>
      </c>
      <c r="AE1620" s="8">
        <v>7.1975497702909647E-2</v>
      </c>
    </row>
    <row r="1621" spans="1:31" x14ac:dyDescent="0.35">
      <c r="A1621" s="6" t="s">
        <v>1642</v>
      </c>
      <c r="B1621" s="7">
        <v>3</v>
      </c>
      <c r="C1621" s="7">
        <v>2</v>
      </c>
      <c r="D1621" s="7">
        <v>1</v>
      </c>
      <c r="E1621" s="7">
        <v>12</v>
      </c>
      <c r="F1621">
        <v>1064</v>
      </c>
      <c r="G1621">
        <v>-26</v>
      </c>
      <c r="H1621">
        <v>-2.48</v>
      </c>
      <c r="I1621">
        <v>-11</v>
      </c>
      <c r="J1621">
        <v>-1.04</v>
      </c>
      <c r="K1621">
        <v>1651</v>
      </c>
      <c r="L1621">
        <v>432</v>
      </c>
      <c r="M1621">
        <v>1218</v>
      </c>
      <c r="N1621">
        <v>844.53</v>
      </c>
      <c r="O1621">
        <v>-0.9</v>
      </c>
      <c r="P1621">
        <v>0</v>
      </c>
      <c r="Q1621">
        <v>0.94</v>
      </c>
      <c r="R1621">
        <v>1.06</v>
      </c>
      <c r="S1621">
        <v>-215</v>
      </c>
      <c r="T1621">
        <v>23289</v>
      </c>
      <c r="U1621">
        <v>20741</v>
      </c>
      <c r="V1621">
        <v>88</v>
      </c>
      <c r="W1621">
        <v>13.11</v>
      </c>
      <c r="X1621" s="10">
        <v>0.29046938585172738</v>
      </c>
      <c r="Y1621" s="9">
        <v>31500</v>
      </c>
      <c r="Z1621" s="9">
        <v>19200</v>
      </c>
      <c r="AA1621" s="9">
        <v>29200</v>
      </c>
      <c r="AB1621">
        <v>0.81300813008130079</v>
      </c>
      <c r="AC1621" s="11">
        <v>89.120589052514589</v>
      </c>
      <c r="AD1621" s="9">
        <v>20019.322033898305</v>
      </c>
      <c r="AE1621" s="8">
        <v>0.30648769574944074</v>
      </c>
    </row>
    <row r="1622" spans="1:31" x14ac:dyDescent="0.35">
      <c r="A1622" s="6" t="s">
        <v>1643</v>
      </c>
      <c r="B1622" s="7">
        <v>6</v>
      </c>
      <c r="C1622" s="7">
        <v>4</v>
      </c>
      <c r="D1622" s="7">
        <v>5</v>
      </c>
      <c r="E1622" s="7">
        <v>3</v>
      </c>
      <c r="F1622">
        <v>112</v>
      </c>
      <c r="G1622">
        <v>67</v>
      </c>
      <c r="H1622">
        <v>59.92</v>
      </c>
      <c r="I1622">
        <v>62</v>
      </c>
      <c r="J1622">
        <v>55.64</v>
      </c>
      <c r="K1622">
        <v>1363</v>
      </c>
      <c r="L1622">
        <v>12</v>
      </c>
      <c r="M1622">
        <v>1350</v>
      </c>
      <c r="N1622">
        <v>1446.76</v>
      </c>
      <c r="O1622">
        <v>4.66</v>
      </c>
      <c r="P1622">
        <v>32.24</v>
      </c>
      <c r="Q1622">
        <v>1.64</v>
      </c>
      <c r="R1622">
        <v>17.940000000000001</v>
      </c>
      <c r="S1622">
        <v>1855</v>
      </c>
      <c r="T1622">
        <v>36413</v>
      </c>
      <c r="U1622">
        <v>3334</v>
      </c>
      <c r="V1622">
        <v>68</v>
      </c>
      <c r="W1622">
        <v>32.200000000000003</v>
      </c>
      <c r="X1622" s="10">
        <v>0.52584581209856984</v>
      </c>
      <c r="Y1622" s="9">
        <v>75400</v>
      </c>
      <c r="Z1622" s="9">
        <v>56000</v>
      </c>
      <c r="AA1622" s="9">
        <v>68300</v>
      </c>
      <c r="AB1622">
        <v>0.634020618556701</v>
      </c>
      <c r="AC1622" s="11">
        <v>186.46012781328147</v>
      </c>
      <c r="AD1622" s="9">
        <v>56077.966101694918</v>
      </c>
      <c r="AE1622" s="8">
        <v>0.13833333333333334</v>
      </c>
    </row>
    <row r="1623" spans="1:31" x14ac:dyDescent="0.35">
      <c r="A1623" s="6" t="s">
        <v>1644</v>
      </c>
      <c r="B1623" s="7">
        <v>0</v>
      </c>
      <c r="C1623" s="7">
        <v>12</v>
      </c>
      <c r="D1623" s="7">
        <v>2</v>
      </c>
      <c r="E1623" s="7">
        <v>4</v>
      </c>
      <c r="F1623">
        <v>1347</v>
      </c>
      <c r="G1623">
        <v>27</v>
      </c>
      <c r="H1623">
        <v>2.02</v>
      </c>
      <c r="I1623">
        <v>19</v>
      </c>
      <c r="J1623">
        <v>1.42</v>
      </c>
      <c r="K1623">
        <v>1165</v>
      </c>
      <c r="L1623">
        <v>324</v>
      </c>
      <c r="M1623">
        <v>841</v>
      </c>
      <c r="N1623">
        <v>574.72</v>
      </c>
      <c r="O1623">
        <v>2.2999999999999998</v>
      </c>
      <c r="P1623">
        <v>16.920000000000002</v>
      </c>
      <c r="Q1623">
        <v>0.42</v>
      </c>
      <c r="R1623">
        <v>0.24</v>
      </c>
      <c r="S1623">
        <v>78</v>
      </c>
      <c r="T1623">
        <v>3126</v>
      </c>
      <c r="U1623">
        <v>5490</v>
      </c>
      <c r="V1623">
        <v>55</v>
      </c>
      <c r="W1623">
        <v>7.2</v>
      </c>
      <c r="X1623" s="10">
        <v>0.61488113709910852</v>
      </c>
      <c r="Y1623" s="9">
        <v>1455</v>
      </c>
      <c r="Z1623" s="9">
        <v>1285</v>
      </c>
      <c r="AA1623" s="9">
        <v>1425</v>
      </c>
      <c r="AB1623">
        <v>0.82352941176470584</v>
      </c>
      <c r="AC1623" s="11">
        <v>1.7538205056960265</v>
      </c>
      <c r="AD1623" s="9">
        <v>1330.3418079096045</v>
      </c>
      <c r="AE1623" s="8">
        <v>0.10894941634241245</v>
      </c>
    </row>
    <row r="1624" spans="1:31" x14ac:dyDescent="0.35">
      <c r="A1624" s="6" t="s">
        <v>1645</v>
      </c>
      <c r="B1624" s="7">
        <v>7</v>
      </c>
      <c r="C1624" s="7">
        <v>1</v>
      </c>
      <c r="D1624" s="7">
        <v>5</v>
      </c>
      <c r="E1624" s="7">
        <v>5</v>
      </c>
      <c r="F1624">
        <v>1404</v>
      </c>
      <c r="G1624">
        <v>99</v>
      </c>
      <c r="H1624">
        <v>7.05</v>
      </c>
      <c r="I1624">
        <v>-209</v>
      </c>
      <c r="J1624">
        <v>-14.9</v>
      </c>
      <c r="K1624">
        <v>3046</v>
      </c>
      <c r="L1624">
        <v>1961</v>
      </c>
      <c r="M1624">
        <v>1085</v>
      </c>
      <c r="N1624">
        <v>349.57</v>
      </c>
      <c r="O1624">
        <v>-20.12</v>
      </c>
      <c r="P1624">
        <v>0</v>
      </c>
      <c r="Q1624">
        <v>1.69</v>
      </c>
      <c r="R1624">
        <v>1.08</v>
      </c>
      <c r="S1624">
        <v>-462</v>
      </c>
      <c r="T1624">
        <v>1982</v>
      </c>
      <c r="U1624">
        <v>3102</v>
      </c>
      <c r="V1624">
        <v>206</v>
      </c>
      <c r="W1624">
        <v>14.17</v>
      </c>
      <c r="X1624" s="10">
        <v>0.83830787141353413</v>
      </c>
      <c r="Y1624" s="9">
        <v>5320</v>
      </c>
      <c r="Z1624" s="9">
        <v>3215</v>
      </c>
      <c r="AA1624" s="9">
        <v>5200</v>
      </c>
      <c r="AB1624">
        <v>0.94299287410926369</v>
      </c>
      <c r="AC1624" s="11">
        <v>39.432342317310358</v>
      </c>
      <c r="AD1624" s="9">
        <v>3146.6468926553671</v>
      </c>
      <c r="AE1624" s="8">
        <v>0.5662650602409639</v>
      </c>
    </row>
    <row r="1625" spans="1:31" x14ac:dyDescent="0.35">
      <c r="A1625" s="6" t="s">
        <v>1646</v>
      </c>
      <c r="B1625" s="7">
        <v>5</v>
      </c>
      <c r="C1625" s="7">
        <v>2</v>
      </c>
      <c r="D1625" s="7">
        <v>3</v>
      </c>
      <c r="E1625" s="7">
        <v>8</v>
      </c>
      <c r="F1625">
        <v>428</v>
      </c>
      <c r="G1625">
        <v>-17</v>
      </c>
      <c r="H1625">
        <v>-4.01</v>
      </c>
      <c r="I1625">
        <v>-11</v>
      </c>
      <c r="J1625">
        <v>-2.57</v>
      </c>
      <c r="K1625">
        <v>306</v>
      </c>
      <c r="L1625">
        <v>56</v>
      </c>
      <c r="M1625">
        <v>251</v>
      </c>
      <c r="N1625">
        <v>548.66999999999996</v>
      </c>
      <c r="O1625">
        <v>-4.28</v>
      </c>
      <c r="P1625">
        <v>0</v>
      </c>
      <c r="Q1625">
        <v>0.83</v>
      </c>
      <c r="R1625">
        <v>0.44</v>
      </c>
      <c r="S1625">
        <v>-28</v>
      </c>
      <c r="T1625">
        <v>577</v>
      </c>
      <c r="U1625">
        <v>1096</v>
      </c>
      <c r="V1625">
        <v>-16</v>
      </c>
      <c r="W1625">
        <v>-12.9</v>
      </c>
      <c r="X1625" s="10">
        <v>0.77251332951783636</v>
      </c>
      <c r="Y1625" s="9">
        <v>761</v>
      </c>
      <c r="Z1625" s="9">
        <v>481</v>
      </c>
      <c r="AA1625" s="9">
        <v>699</v>
      </c>
      <c r="AB1625">
        <v>0.77857142857142858</v>
      </c>
      <c r="AC1625" s="11">
        <v>3.2815504306751877</v>
      </c>
      <c r="AD1625" s="9">
        <v>510.69604519774009</v>
      </c>
      <c r="AE1625" s="8">
        <v>0.45322245322245325</v>
      </c>
    </row>
    <row r="1626" spans="1:31" x14ac:dyDescent="0.35">
      <c r="A1626" s="6" t="s">
        <v>1647</v>
      </c>
      <c r="B1626" s="7">
        <v>0</v>
      </c>
      <c r="C1626" s="7">
        <v>0</v>
      </c>
      <c r="D1626" s="7">
        <v>0</v>
      </c>
      <c r="E1626" s="7">
        <v>18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 s="10">
        <v>0.41587473613947201</v>
      </c>
      <c r="Y1626" s="9">
        <v>5800</v>
      </c>
      <c r="Z1626" s="9">
        <v>4195</v>
      </c>
      <c r="AA1626" s="9">
        <v>4250</v>
      </c>
      <c r="AB1626">
        <v>3.4267912772585667E-2</v>
      </c>
      <c r="AC1626" s="11">
        <v>-12.930119477632676</v>
      </c>
      <c r="AD1626" s="9">
        <v>5186.4519774011296</v>
      </c>
      <c r="AE1626" s="8">
        <v>-0.19354838709677419</v>
      </c>
    </row>
    <row r="1627" spans="1:31" x14ac:dyDescent="0.35">
      <c r="A1627" s="6" t="s">
        <v>1648</v>
      </c>
      <c r="B1627" s="7">
        <v>7</v>
      </c>
      <c r="C1627" s="7">
        <v>6</v>
      </c>
      <c r="D1627" s="7">
        <v>3</v>
      </c>
      <c r="E1627" s="7">
        <v>2</v>
      </c>
      <c r="F1627">
        <v>217</v>
      </c>
      <c r="G1627">
        <v>50</v>
      </c>
      <c r="H1627">
        <v>22.98</v>
      </c>
      <c r="I1627">
        <v>39</v>
      </c>
      <c r="J1627">
        <v>18.04</v>
      </c>
      <c r="K1627">
        <v>602</v>
      </c>
      <c r="L1627">
        <v>85</v>
      </c>
      <c r="M1627">
        <v>517</v>
      </c>
      <c r="N1627">
        <v>1311.99</v>
      </c>
      <c r="O1627">
        <v>10.48</v>
      </c>
      <c r="P1627">
        <v>20.07</v>
      </c>
      <c r="Q1627">
        <v>2.08</v>
      </c>
      <c r="R1627">
        <v>3.62</v>
      </c>
      <c r="S1627">
        <v>715</v>
      </c>
      <c r="T1627">
        <v>6910</v>
      </c>
      <c r="U1627">
        <v>3960</v>
      </c>
      <c r="V1627">
        <v>96</v>
      </c>
      <c r="W1627">
        <v>10.92</v>
      </c>
      <c r="X1627" s="10">
        <v>0.12715397318420443</v>
      </c>
      <c r="Y1627" s="9">
        <v>17700</v>
      </c>
      <c r="Z1627" s="9">
        <v>13800</v>
      </c>
      <c r="AA1627" s="9">
        <v>16300</v>
      </c>
      <c r="AB1627">
        <v>0.64102564102564108</v>
      </c>
      <c r="AC1627" s="11">
        <v>-18.641289247013059</v>
      </c>
      <c r="AD1627" s="9">
        <v>15635.225988700564</v>
      </c>
      <c r="AE1627" s="8">
        <v>7.9470198675496692E-2</v>
      </c>
    </row>
    <row r="1628" spans="1:31" x14ac:dyDescent="0.35">
      <c r="A1628" s="6" t="s">
        <v>1649</v>
      </c>
      <c r="B1628" s="7">
        <v>3</v>
      </c>
      <c r="C1628" s="7">
        <v>1</v>
      </c>
      <c r="D1628" s="7">
        <v>4</v>
      </c>
      <c r="E1628" s="7">
        <v>10</v>
      </c>
      <c r="F1628">
        <v>198</v>
      </c>
      <c r="G1628">
        <v>4</v>
      </c>
      <c r="H1628">
        <v>2.25</v>
      </c>
      <c r="I1628">
        <v>3</v>
      </c>
      <c r="J1628">
        <v>1.75</v>
      </c>
      <c r="K1628">
        <v>613</v>
      </c>
      <c r="L1628">
        <v>172</v>
      </c>
      <c r="M1628">
        <v>441</v>
      </c>
      <c r="N1628">
        <v>1538.84</v>
      </c>
      <c r="O1628">
        <v>0.79</v>
      </c>
      <c r="P1628">
        <v>63.18</v>
      </c>
      <c r="Q1628">
        <v>0.69</v>
      </c>
      <c r="R1628">
        <v>1.1100000000000001</v>
      </c>
      <c r="S1628">
        <v>368</v>
      </c>
      <c r="T1628">
        <v>33684</v>
      </c>
      <c r="U1628">
        <v>21017</v>
      </c>
      <c r="V1628">
        <v>7</v>
      </c>
      <c r="W1628">
        <v>62.36</v>
      </c>
      <c r="X1628" s="10">
        <v>0.5812451413553773</v>
      </c>
      <c r="Y1628" s="9">
        <v>36300</v>
      </c>
      <c r="Z1628" s="9">
        <v>22550</v>
      </c>
      <c r="AA1628" s="9">
        <v>30800</v>
      </c>
      <c r="AB1628">
        <v>0.6</v>
      </c>
      <c r="AC1628" s="11">
        <v>127.07140872464571</v>
      </c>
      <c r="AD1628" s="9">
        <v>22132.655367231637</v>
      </c>
      <c r="AE1628" s="8">
        <v>0.3247311827956989</v>
      </c>
    </row>
    <row r="1629" spans="1:31" x14ac:dyDescent="0.35">
      <c r="A1629" s="6" t="s">
        <v>1650</v>
      </c>
      <c r="B1629" s="7">
        <v>1</v>
      </c>
      <c r="C1629" s="7">
        <v>3</v>
      </c>
      <c r="D1629" s="7">
        <v>6</v>
      </c>
      <c r="E1629" s="7">
        <v>8</v>
      </c>
      <c r="F1629">
        <v>86</v>
      </c>
      <c r="G1629">
        <v>2</v>
      </c>
      <c r="H1629">
        <v>2.4500000000000002</v>
      </c>
      <c r="I1629">
        <v>0</v>
      </c>
      <c r="J1629">
        <v>0.18</v>
      </c>
      <c r="K1629">
        <v>447</v>
      </c>
      <c r="L1629">
        <v>276</v>
      </c>
      <c r="M1629">
        <v>171</v>
      </c>
      <c r="N1629">
        <v>56.58</v>
      </c>
      <c r="O1629">
        <v>0.18</v>
      </c>
      <c r="P1629">
        <v>800</v>
      </c>
      <c r="Q1629">
        <v>2.0499999999999998</v>
      </c>
      <c r="R1629">
        <v>2.0299999999999998</v>
      </c>
      <c r="S1629">
        <v>2</v>
      </c>
      <c r="T1629">
        <v>782</v>
      </c>
      <c r="U1629">
        <v>790</v>
      </c>
      <c r="V1629">
        <v>9</v>
      </c>
      <c r="W1629">
        <v>63.53</v>
      </c>
      <c r="X1629" s="10">
        <v>0.57013606219501556</v>
      </c>
      <c r="Y1629" s="9">
        <v>2925</v>
      </c>
      <c r="Z1629" s="9">
        <v>1495</v>
      </c>
      <c r="AA1629" s="9">
        <v>2550</v>
      </c>
      <c r="AB1629">
        <v>0.73776223776223782</v>
      </c>
      <c r="AC1629" s="11">
        <v>19.536398999722145</v>
      </c>
      <c r="AD1629" s="9">
        <v>1708.3898305084745</v>
      </c>
      <c r="AE1629" s="8">
        <v>0.61904761904761907</v>
      </c>
    </row>
    <row r="1630" spans="1:31" x14ac:dyDescent="0.35">
      <c r="A1630" s="6" t="s">
        <v>1651</v>
      </c>
      <c r="B1630" s="7">
        <v>3</v>
      </c>
      <c r="C1630" s="7">
        <v>1</v>
      </c>
      <c r="D1630" s="7">
        <v>7</v>
      </c>
      <c r="E1630" s="7">
        <v>7</v>
      </c>
      <c r="F1630">
        <v>527</v>
      </c>
      <c r="G1630">
        <v>7</v>
      </c>
      <c r="H1630">
        <v>1.41</v>
      </c>
      <c r="I1630">
        <v>15</v>
      </c>
      <c r="J1630">
        <v>2.9</v>
      </c>
      <c r="K1630">
        <v>1494</v>
      </c>
      <c r="L1630">
        <v>242</v>
      </c>
      <c r="M1630">
        <v>1251</v>
      </c>
      <c r="N1630">
        <v>1282.67</v>
      </c>
      <c r="O1630">
        <v>1.62</v>
      </c>
      <c r="P1630">
        <v>71.34</v>
      </c>
      <c r="Q1630">
        <v>1.17</v>
      </c>
      <c r="R1630">
        <v>2.06</v>
      </c>
      <c r="S1630">
        <v>112</v>
      </c>
      <c r="T1630">
        <v>6844</v>
      </c>
      <c r="U1630">
        <v>3887</v>
      </c>
      <c r="V1630">
        <v>178</v>
      </c>
      <c r="W1630">
        <v>8.1199999999999992</v>
      </c>
      <c r="X1630" s="10">
        <v>0.25518865051565065</v>
      </c>
      <c r="Y1630" s="9">
        <v>7150</v>
      </c>
      <c r="Z1630" s="9">
        <v>6090</v>
      </c>
      <c r="AA1630" s="9">
        <v>6730</v>
      </c>
      <c r="AB1630">
        <v>0.60377358490566035</v>
      </c>
      <c r="AC1630" s="11">
        <v>6.7296471242011666</v>
      </c>
      <c r="AD1630" s="9">
        <v>6416.7457627118647</v>
      </c>
      <c r="AE1630" s="8">
        <v>9.7879282218597069E-2</v>
      </c>
    </row>
    <row r="1631" spans="1:31" x14ac:dyDescent="0.35">
      <c r="A1631" s="6" t="s">
        <v>1652</v>
      </c>
      <c r="B1631" s="7">
        <v>4</v>
      </c>
      <c r="C1631" s="7">
        <v>11</v>
      </c>
      <c r="D1631" s="7">
        <v>2</v>
      </c>
      <c r="E1631" s="7">
        <v>1</v>
      </c>
      <c r="F1631">
        <v>262</v>
      </c>
      <c r="G1631">
        <v>21</v>
      </c>
      <c r="H1631">
        <v>8.0399999999999991</v>
      </c>
      <c r="I1631">
        <v>12</v>
      </c>
      <c r="J1631">
        <v>4.66</v>
      </c>
      <c r="K1631">
        <v>343</v>
      </c>
      <c r="L1631">
        <v>102</v>
      </c>
      <c r="M1631">
        <v>240</v>
      </c>
      <c r="N1631">
        <v>201.94</v>
      </c>
      <c r="O1631">
        <v>6.09</v>
      </c>
      <c r="P1631">
        <v>56.42</v>
      </c>
      <c r="Q1631">
        <v>3.75</v>
      </c>
      <c r="R1631">
        <v>2.63</v>
      </c>
      <c r="S1631">
        <v>81</v>
      </c>
      <c r="T1631">
        <v>1220</v>
      </c>
      <c r="U1631">
        <v>1736</v>
      </c>
      <c r="V1631">
        <v>36</v>
      </c>
      <c r="W1631">
        <v>20.23</v>
      </c>
      <c r="X1631" s="10">
        <v>0.84746675258491377</v>
      </c>
      <c r="Y1631" s="9">
        <v>12200</v>
      </c>
      <c r="Z1631" s="9">
        <v>4290</v>
      </c>
      <c r="AA1631" s="9">
        <v>11800</v>
      </c>
      <c r="AB1631">
        <v>0.94943109987357777</v>
      </c>
      <c r="AC1631" s="11">
        <v>135.93692692414561</v>
      </c>
      <c r="AD1631" s="9">
        <v>2810.5903954802261</v>
      </c>
      <c r="AE1631" s="8">
        <v>1.7505827505827505</v>
      </c>
    </row>
    <row r="1632" spans="1:31" x14ac:dyDescent="0.35">
      <c r="A1632" s="6" t="s">
        <v>1653</v>
      </c>
      <c r="B1632" s="7">
        <v>4</v>
      </c>
      <c r="C1632" s="7">
        <v>6</v>
      </c>
      <c r="D1632" s="7">
        <v>3</v>
      </c>
      <c r="E1632" s="7">
        <v>5</v>
      </c>
      <c r="F1632">
        <v>191</v>
      </c>
      <c r="G1632">
        <v>6</v>
      </c>
      <c r="H1632">
        <v>3.17</v>
      </c>
      <c r="I1632">
        <v>-63</v>
      </c>
      <c r="J1632">
        <v>-32.840000000000003</v>
      </c>
      <c r="K1632">
        <v>152</v>
      </c>
      <c r="L1632">
        <v>84</v>
      </c>
      <c r="M1632">
        <v>68</v>
      </c>
      <c r="N1632">
        <v>79.72</v>
      </c>
      <c r="O1632">
        <v>-71.84</v>
      </c>
      <c r="P1632">
        <v>0</v>
      </c>
      <c r="Q1632">
        <v>0.84</v>
      </c>
      <c r="R1632">
        <v>1.36</v>
      </c>
      <c r="S1632">
        <v>-171</v>
      </c>
      <c r="T1632">
        <v>838</v>
      </c>
      <c r="U1632">
        <v>520</v>
      </c>
      <c r="V1632">
        <v>9</v>
      </c>
      <c r="W1632">
        <v>31.99</v>
      </c>
      <c r="X1632" s="10">
        <v>0.6785945626093246</v>
      </c>
      <c r="Y1632" s="9">
        <v>6750</v>
      </c>
      <c r="Z1632" s="9">
        <v>3715</v>
      </c>
      <c r="AA1632" s="9">
        <v>6750</v>
      </c>
      <c r="AB1632">
        <v>1</v>
      </c>
      <c r="AC1632" s="11">
        <v>37.016671297582668</v>
      </c>
      <c r="AD1632" s="9">
        <v>3281.6581920903955</v>
      </c>
      <c r="AE1632" s="8">
        <v>0.79521276595744683</v>
      </c>
    </row>
    <row r="1633" spans="1:31" x14ac:dyDescent="0.35">
      <c r="A1633" s="6" t="s">
        <v>1654</v>
      </c>
      <c r="B1633" s="7">
        <v>1</v>
      </c>
      <c r="C1633" s="7">
        <v>11</v>
      </c>
      <c r="D1633" s="7">
        <v>2</v>
      </c>
      <c r="E1633" s="7">
        <v>4</v>
      </c>
      <c r="F1633">
        <v>186</v>
      </c>
      <c r="G1633">
        <v>3</v>
      </c>
      <c r="H1633">
        <v>1.76</v>
      </c>
      <c r="I1633">
        <v>2</v>
      </c>
      <c r="J1633">
        <v>1.06</v>
      </c>
      <c r="K1633">
        <v>223</v>
      </c>
      <c r="L1633">
        <v>118</v>
      </c>
      <c r="M1633">
        <v>105</v>
      </c>
      <c r="N1633">
        <v>72.8</v>
      </c>
      <c r="O1633">
        <v>1.9</v>
      </c>
      <c r="P1633">
        <v>44.81</v>
      </c>
      <c r="Q1633">
        <v>1.07</v>
      </c>
      <c r="R1633">
        <v>0.47</v>
      </c>
      <c r="S1633">
        <v>16</v>
      </c>
      <c r="T1633">
        <v>668</v>
      </c>
      <c r="U1633">
        <v>1526</v>
      </c>
      <c r="V1633">
        <v>10</v>
      </c>
      <c r="W1633">
        <v>9.49</v>
      </c>
      <c r="X1633" s="10">
        <v>0.66737737244866613</v>
      </c>
      <c r="Y1633" s="9">
        <v>1020</v>
      </c>
      <c r="Z1633" s="9">
        <v>703</v>
      </c>
      <c r="AA1633" s="9">
        <v>917</v>
      </c>
      <c r="AB1633">
        <v>0.67507886435331232</v>
      </c>
      <c r="AC1633" s="11">
        <v>3.7020561267018626</v>
      </c>
      <c r="AD1633" s="9">
        <v>732.30395480225991</v>
      </c>
      <c r="AE1633" s="8">
        <v>0.30440967283072545</v>
      </c>
    </row>
    <row r="1634" spans="1:31" x14ac:dyDescent="0.35">
      <c r="A1634" s="6" t="s">
        <v>1655</v>
      </c>
      <c r="B1634" s="7">
        <v>9</v>
      </c>
      <c r="C1634" s="7">
        <v>4</v>
      </c>
      <c r="D1634" s="7">
        <v>2</v>
      </c>
      <c r="E1634" s="7">
        <v>3</v>
      </c>
      <c r="F1634">
        <v>1444</v>
      </c>
      <c r="G1634">
        <v>59</v>
      </c>
      <c r="H1634">
        <v>4.05</v>
      </c>
      <c r="I1634">
        <v>40</v>
      </c>
      <c r="J1634">
        <v>2.74</v>
      </c>
      <c r="K1634">
        <v>1371</v>
      </c>
      <c r="L1634">
        <v>892</v>
      </c>
      <c r="M1634">
        <v>479</v>
      </c>
      <c r="N1634">
        <v>355.43</v>
      </c>
      <c r="O1634">
        <v>8.3699999999999992</v>
      </c>
      <c r="P1634">
        <v>11.6</v>
      </c>
      <c r="Q1634">
        <v>1.07</v>
      </c>
      <c r="R1634">
        <v>0.32</v>
      </c>
      <c r="S1634">
        <v>159</v>
      </c>
      <c r="T1634">
        <v>1727</v>
      </c>
      <c r="U1634">
        <v>5778</v>
      </c>
      <c r="V1634">
        <v>103</v>
      </c>
      <c r="W1634">
        <v>7.88</v>
      </c>
      <c r="X1634" s="10">
        <v>6.5430458538884739E-2</v>
      </c>
      <c r="Y1634" s="9">
        <v>1845</v>
      </c>
      <c r="Z1634" s="9">
        <v>1675</v>
      </c>
      <c r="AA1634" s="9">
        <v>1835</v>
      </c>
      <c r="AB1634">
        <v>0.94117647058823528</v>
      </c>
      <c r="AC1634" s="11">
        <v>0.67171436510141702</v>
      </c>
      <c r="AD1634" s="9">
        <v>1736.2627118644068</v>
      </c>
      <c r="AE1634" s="8">
        <v>-5.4200542005420054E-3</v>
      </c>
    </row>
    <row r="1635" spans="1:31" x14ac:dyDescent="0.35">
      <c r="A1635" s="6" t="s">
        <v>1656</v>
      </c>
      <c r="B1635" s="7">
        <v>4</v>
      </c>
      <c r="C1635" s="7">
        <v>13</v>
      </c>
      <c r="D1635" s="7">
        <v>0</v>
      </c>
      <c r="E1635" s="7">
        <v>1</v>
      </c>
      <c r="F1635">
        <v>587</v>
      </c>
      <c r="G1635">
        <v>33</v>
      </c>
      <c r="H1635">
        <v>5.63</v>
      </c>
      <c r="I1635">
        <v>11</v>
      </c>
      <c r="J1635">
        <v>1.95</v>
      </c>
      <c r="K1635">
        <v>521</v>
      </c>
      <c r="L1635">
        <v>397</v>
      </c>
      <c r="M1635">
        <v>124</v>
      </c>
      <c r="N1635">
        <v>111.82</v>
      </c>
      <c r="O1635">
        <v>9.67</v>
      </c>
      <c r="P1635">
        <v>24.07</v>
      </c>
      <c r="Q1635">
        <v>4.59</v>
      </c>
      <c r="R1635">
        <v>0.47</v>
      </c>
      <c r="S1635">
        <v>97</v>
      </c>
      <c r="T1635">
        <v>509</v>
      </c>
      <c r="U1635">
        <v>4991</v>
      </c>
      <c r="V1635">
        <v>49</v>
      </c>
      <c r="W1635">
        <v>9.85</v>
      </c>
      <c r="X1635" s="10">
        <v>0.26388700823529321</v>
      </c>
      <c r="Y1635" s="9">
        <v>3735</v>
      </c>
      <c r="Z1635" s="9">
        <v>2190</v>
      </c>
      <c r="AA1635" s="9">
        <v>2835</v>
      </c>
      <c r="AB1635">
        <v>0.41747572815533979</v>
      </c>
      <c r="AC1635" s="11">
        <v>11.91469852736871</v>
      </c>
      <c r="AD1635" s="9">
        <v>2504.768361581921</v>
      </c>
      <c r="AE1635" s="8">
        <v>0.29452054794520549</v>
      </c>
    </row>
    <row r="1636" spans="1:31" x14ac:dyDescent="0.35">
      <c r="A1636" s="6" t="s">
        <v>1657</v>
      </c>
      <c r="B1636" s="7">
        <v>5</v>
      </c>
      <c r="C1636" s="7">
        <v>1</v>
      </c>
      <c r="D1636" s="7">
        <v>10</v>
      </c>
      <c r="E1636" s="7">
        <v>2</v>
      </c>
      <c r="F1636">
        <v>724</v>
      </c>
      <c r="G1636">
        <v>53</v>
      </c>
      <c r="H1636">
        <v>7.26</v>
      </c>
      <c r="I1636">
        <v>42</v>
      </c>
      <c r="J1636">
        <v>5.78</v>
      </c>
      <c r="K1636">
        <v>807</v>
      </c>
      <c r="L1636">
        <v>297</v>
      </c>
      <c r="M1636">
        <v>510</v>
      </c>
      <c r="N1636">
        <v>1134.3699999999999</v>
      </c>
      <c r="O1636">
        <v>9.23</v>
      </c>
      <c r="P1636">
        <v>12.7</v>
      </c>
      <c r="Q1636">
        <v>1.1299999999999999</v>
      </c>
      <c r="R1636">
        <v>0.74</v>
      </c>
      <c r="S1636">
        <v>529</v>
      </c>
      <c r="T1636">
        <v>5935</v>
      </c>
      <c r="U1636">
        <v>9141</v>
      </c>
      <c r="V1636">
        <v>61</v>
      </c>
      <c r="W1636">
        <v>10.69</v>
      </c>
      <c r="X1636" s="10">
        <v>0.62746158006755615</v>
      </c>
      <c r="Y1636" s="9">
        <v>9670</v>
      </c>
      <c r="Z1636" s="9">
        <v>6430</v>
      </c>
      <c r="AA1636" s="9">
        <v>8400</v>
      </c>
      <c r="AB1636">
        <v>0.60802469135802473</v>
      </c>
      <c r="AC1636" s="11">
        <v>39.430119477632687</v>
      </c>
      <c r="AD1636" s="9">
        <v>7177.2146892655364</v>
      </c>
      <c r="AE1636" s="8">
        <v>0.30637636080870917</v>
      </c>
    </row>
    <row r="1637" spans="1:31" x14ac:dyDescent="0.35">
      <c r="A1637" s="6" t="s">
        <v>1658</v>
      </c>
      <c r="B1637" s="7">
        <v>2</v>
      </c>
      <c r="C1637" s="7">
        <v>1</v>
      </c>
      <c r="D1637" s="7">
        <v>3</v>
      </c>
      <c r="E1637" s="7">
        <v>12</v>
      </c>
      <c r="F1637">
        <v>1096</v>
      </c>
      <c r="G1637">
        <v>34</v>
      </c>
      <c r="H1637">
        <v>3.11</v>
      </c>
      <c r="I1637">
        <v>-31</v>
      </c>
      <c r="J1637">
        <v>-2.79</v>
      </c>
      <c r="K1637">
        <v>1785</v>
      </c>
      <c r="L1637">
        <v>664</v>
      </c>
      <c r="M1637">
        <v>1121</v>
      </c>
      <c r="N1637">
        <v>394.92</v>
      </c>
      <c r="O1637">
        <v>-2.7</v>
      </c>
      <c r="P1637">
        <v>0</v>
      </c>
      <c r="Q1637">
        <v>0.45</v>
      </c>
      <c r="R1637">
        <v>0.45</v>
      </c>
      <c r="S1637">
        <v>-67</v>
      </c>
      <c r="T1637">
        <v>2437</v>
      </c>
      <c r="U1637">
        <v>2418</v>
      </c>
      <c r="V1637">
        <v>63</v>
      </c>
      <c r="W1637">
        <v>15.51</v>
      </c>
      <c r="X1637" s="10">
        <v>0.32139263379139643</v>
      </c>
      <c r="Y1637" s="9">
        <v>1325</v>
      </c>
      <c r="Z1637" s="9">
        <v>1095</v>
      </c>
      <c r="AA1637" s="9">
        <v>1215</v>
      </c>
      <c r="AB1637">
        <v>0.52173913043478259</v>
      </c>
      <c r="AC1637" s="11">
        <v>1.4178938594053905</v>
      </c>
      <c r="AD1637" s="9">
        <v>1145.2542372881355</v>
      </c>
      <c r="AE1637" s="8">
        <v>0.1095890410958904</v>
      </c>
    </row>
    <row r="1638" spans="1:31" x14ac:dyDescent="0.35">
      <c r="A1638" s="6" t="s">
        <v>1659</v>
      </c>
      <c r="B1638" s="7">
        <v>6</v>
      </c>
      <c r="C1638" s="7">
        <v>2</v>
      </c>
      <c r="D1638" s="7">
        <v>10</v>
      </c>
      <c r="E1638" s="7">
        <v>0</v>
      </c>
      <c r="F1638">
        <v>4535</v>
      </c>
      <c r="G1638">
        <v>196</v>
      </c>
      <c r="H1638">
        <v>4.32</v>
      </c>
      <c r="I1638">
        <v>178</v>
      </c>
      <c r="J1638">
        <v>3.91</v>
      </c>
      <c r="K1638">
        <v>3957</v>
      </c>
      <c r="L1638">
        <v>1997</v>
      </c>
      <c r="M1638">
        <v>1961</v>
      </c>
      <c r="N1638">
        <v>1956.08</v>
      </c>
      <c r="O1638">
        <v>9.3800000000000008</v>
      </c>
      <c r="P1638">
        <v>6.82</v>
      </c>
      <c r="Q1638">
        <v>0.62</v>
      </c>
      <c r="R1638">
        <v>0.27</v>
      </c>
      <c r="S1638">
        <v>931</v>
      </c>
      <c r="T1638">
        <v>10224</v>
      </c>
      <c r="U1638">
        <v>23779</v>
      </c>
      <c r="V1638">
        <v>349</v>
      </c>
      <c r="W1638">
        <v>5.71</v>
      </c>
      <c r="X1638" s="10">
        <v>0.23007101274269076</v>
      </c>
      <c r="Y1638" s="9">
        <v>6730</v>
      </c>
      <c r="Z1638" s="9">
        <v>5890</v>
      </c>
      <c r="AA1638" s="9">
        <v>6440</v>
      </c>
      <c r="AB1638">
        <v>0.65476190476190477</v>
      </c>
      <c r="AC1638" s="11">
        <v>5.9727702139483192</v>
      </c>
      <c r="AD1638" s="9">
        <v>6053.8305084745762</v>
      </c>
      <c r="AE1638" s="8">
        <v>1.5772870662460567E-2</v>
      </c>
    </row>
    <row r="1639" spans="1:31" x14ac:dyDescent="0.35">
      <c r="A1639" s="6" t="s">
        <v>1660</v>
      </c>
      <c r="B1639" s="7">
        <v>2</v>
      </c>
      <c r="C1639" s="7">
        <v>2</v>
      </c>
      <c r="D1639" s="7">
        <v>12</v>
      </c>
      <c r="E1639" s="7">
        <v>2</v>
      </c>
      <c r="F1639">
        <v>408</v>
      </c>
      <c r="G1639">
        <v>6</v>
      </c>
      <c r="H1639">
        <v>1.44</v>
      </c>
      <c r="I1639">
        <v>-22</v>
      </c>
      <c r="J1639">
        <v>-5.36</v>
      </c>
      <c r="K1639">
        <v>784</v>
      </c>
      <c r="L1639">
        <v>573</v>
      </c>
      <c r="M1639">
        <v>211</v>
      </c>
      <c r="N1639">
        <v>-24.23</v>
      </c>
      <c r="O1639">
        <v>-13.12</v>
      </c>
      <c r="P1639">
        <v>0</v>
      </c>
      <c r="Q1639">
        <v>2.06</v>
      </c>
      <c r="R1639">
        <v>0.69</v>
      </c>
      <c r="S1639">
        <v>-48</v>
      </c>
      <c r="T1639">
        <v>302</v>
      </c>
      <c r="U1639">
        <v>901</v>
      </c>
      <c r="V1639">
        <v>28</v>
      </c>
      <c r="W1639">
        <v>28.63</v>
      </c>
      <c r="X1639" s="10">
        <v>2.4917436886585913E-2</v>
      </c>
      <c r="Y1639" s="9">
        <v>621</v>
      </c>
      <c r="Z1639" s="9">
        <v>546</v>
      </c>
      <c r="AA1639" s="9">
        <v>551</v>
      </c>
      <c r="AB1639">
        <v>6.6666666666666666E-2</v>
      </c>
      <c r="AC1639" s="11">
        <v>0.15479299805501529</v>
      </c>
      <c r="AD1639" s="9">
        <v>572.49548022598879</v>
      </c>
      <c r="AE1639" s="8">
        <v>9.1575091575091579E-3</v>
      </c>
    </row>
    <row r="1640" spans="1:31" x14ac:dyDescent="0.35">
      <c r="A1640" s="6" t="s">
        <v>1661</v>
      </c>
      <c r="B1640" s="7">
        <v>1</v>
      </c>
      <c r="C1640" s="7">
        <v>0</v>
      </c>
      <c r="D1640" s="7">
        <v>10</v>
      </c>
      <c r="E1640" s="7">
        <v>7</v>
      </c>
      <c r="F1640">
        <v>16282</v>
      </c>
      <c r="G1640">
        <v>530</v>
      </c>
      <c r="H1640">
        <v>3.25</v>
      </c>
      <c r="I1640">
        <v>-63</v>
      </c>
      <c r="J1640">
        <v>-0.39</v>
      </c>
      <c r="K1640">
        <v>42713</v>
      </c>
      <c r="L1640">
        <v>26867</v>
      </c>
      <c r="M1640">
        <v>15847</v>
      </c>
      <c r="N1640">
        <v>2637.19</v>
      </c>
      <c r="O1640">
        <v>-0.53</v>
      </c>
      <c r="P1640">
        <v>0</v>
      </c>
      <c r="Q1640">
        <v>0.49</v>
      </c>
      <c r="R1640">
        <v>0.35</v>
      </c>
      <c r="S1640">
        <v>-731</v>
      </c>
      <c r="T1640">
        <v>134300</v>
      </c>
      <c r="U1640">
        <v>187491</v>
      </c>
      <c r="V1640">
        <v>2589</v>
      </c>
      <c r="W1640">
        <v>10.81</v>
      </c>
      <c r="X1640" s="10">
        <v>0.28271207889590783</v>
      </c>
      <c r="Y1640" s="9">
        <v>58000</v>
      </c>
      <c r="Z1640" s="9">
        <v>49750</v>
      </c>
      <c r="AA1640" s="9">
        <v>56500</v>
      </c>
      <c r="AB1640">
        <v>0.81818181818181823</v>
      </c>
      <c r="AC1640" s="11">
        <v>75.969713809391493</v>
      </c>
      <c r="AD1640" s="9">
        <v>51535.423728813563</v>
      </c>
      <c r="AE1640" s="8">
        <v>-2.5862068965517241E-2</v>
      </c>
    </row>
    <row r="1641" spans="1:31" x14ac:dyDescent="0.35">
      <c r="A1641" s="6" t="s">
        <v>1662</v>
      </c>
      <c r="B1641" s="7">
        <v>7</v>
      </c>
      <c r="C1641" s="7">
        <v>0</v>
      </c>
      <c r="D1641" s="7">
        <v>6</v>
      </c>
      <c r="E1641" s="7">
        <v>5</v>
      </c>
      <c r="F1641">
        <v>701</v>
      </c>
      <c r="G1641">
        <v>-9</v>
      </c>
      <c r="H1641">
        <v>-1.3</v>
      </c>
      <c r="I1641">
        <v>-16</v>
      </c>
      <c r="J1641">
        <v>-2.34</v>
      </c>
      <c r="K1641">
        <v>723</v>
      </c>
      <c r="L1641">
        <v>563</v>
      </c>
      <c r="M1641">
        <v>160</v>
      </c>
      <c r="N1641">
        <v>15.49</v>
      </c>
      <c r="O1641">
        <v>-13.03</v>
      </c>
      <c r="P1641">
        <v>0</v>
      </c>
      <c r="Q1641">
        <v>0.99</v>
      </c>
      <c r="R1641">
        <v>0.16</v>
      </c>
      <c r="S1641">
        <v>-79</v>
      </c>
      <c r="T1641">
        <v>545</v>
      </c>
      <c r="U1641">
        <v>3375</v>
      </c>
      <c r="V1641">
        <v>17</v>
      </c>
      <c r="W1641">
        <v>26.92</v>
      </c>
      <c r="X1641" s="10">
        <v>0.59544983099677051</v>
      </c>
      <c r="Y1641" s="9">
        <v>659</v>
      </c>
      <c r="Z1641" s="9">
        <v>500</v>
      </c>
      <c r="AA1641" s="9">
        <v>659</v>
      </c>
      <c r="AB1641">
        <v>1</v>
      </c>
      <c r="AC1641" s="11">
        <v>1.5808835787718809</v>
      </c>
      <c r="AD1641" s="9">
        <v>498.51638418079096</v>
      </c>
      <c r="AE1641" s="8">
        <v>0.2271880819366853</v>
      </c>
    </row>
    <row r="1642" spans="1:31" x14ac:dyDescent="0.35">
      <c r="A1642" s="6" t="s">
        <v>1663</v>
      </c>
      <c r="B1642" s="7">
        <v>8</v>
      </c>
      <c r="C1642" s="7">
        <v>8</v>
      </c>
      <c r="D1642" s="7">
        <v>1</v>
      </c>
      <c r="E1642" s="7">
        <v>1</v>
      </c>
      <c r="F1642">
        <v>108</v>
      </c>
      <c r="G1642">
        <v>2</v>
      </c>
      <c r="H1642">
        <v>2.21</v>
      </c>
      <c r="I1642">
        <v>0</v>
      </c>
      <c r="J1642">
        <v>0.44</v>
      </c>
      <c r="K1642">
        <v>363</v>
      </c>
      <c r="L1642">
        <v>124</v>
      </c>
      <c r="M1642">
        <v>240</v>
      </c>
      <c r="N1642">
        <v>194.06</v>
      </c>
      <c r="O1642">
        <v>0.37</v>
      </c>
      <c r="P1642">
        <v>730</v>
      </c>
      <c r="Q1642">
        <v>2.93</v>
      </c>
      <c r="R1642">
        <v>4.66</v>
      </c>
      <c r="S1642">
        <v>5</v>
      </c>
      <c r="T1642">
        <v>1244</v>
      </c>
      <c r="U1642">
        <v>783</v>
      </c>
      <c r="V1642">
        <v>9</v>
      </c>
      <c r="W1642">
        <v>80.44</v>
      </c>
      <c r="X1642" s="10">
        <v>0.61632243211261617</v>
      </c>
      <c r="Y1642" s="9">
        <v>5550</v>
      </c>
      <c r="Z1642" s="9">
        <v>2865</v>
      </c>
      <c r="AA1642" s="9">
        <v>4475</v>
      </c>
      <c r="AB1642">
        <v>0.5996275605214153</v>
      </c>
      <c r="AC1642" s="11">
        <v>34.918588496804666</v>
      </c>
      <c r="AD1642" s="9">
        <v>2680.3163841807909</v>
      </c>
      <c r="AE1642" s="8">
        <v>0.31617647058823528</v>
      </c>
    </row>
    <row r="1643" spans="1:31" x14ac:dyDescent="0.35">
      <c r="A1643" s="6" t="s">
        <v>1664</v>
      </c>
      <c r="B1643" s="7">
        <v>8</v>
      </c>
      <c r="C1643" s="7">
        <v>1</v>
      </c>
      <c r="D1643" s="7">
        <v>1</v>
      </c>
      <c r="E1643" s="7">
        <v>8</v>
      </c>
      <c r="F1643">
        <v>1209</v>
      </c>
      <c r="G1643">
        <v>50</v>
      </c>
      <c r="H1643">
        <v>4.1100000000000003</v>
      </c>
      <c r="I1643">
        <v>77</v>
      </c>
      <c r="J1643">
        <v>6.34</v>
      </c>
      <c r="K1643">
        <v>1572</v>
      </c>
      <c r="L1643">
        <v>802</v>
      </c>
      <c r="M1643">
        <v>770</v>
      </c>
      <c r="N1643">
        <v>1433.44</v>
      </c>
      <c r="O1643">
        <v>10.49</v>
      </c>
      <c r="P1643">
        <v>4.29</v>
      </c>
      <c r="Q1643">
        <v>0.43</v>
      </c>
      <c r="R1643">
        <v>0.27</v>
      </c>
      <c r="S1643">
        <v>765</v>
      </c>
      <c r="T1643">
        <v>7642</v>
      </c>
      <c r="U1643">
        <v>12046</v>
      </c>
      <c r="V1643">
        <v>60</v>
      </c>
      <c r="W1643">
        <v>15.25</v>
      </c>
      <c r="X1643" s="10">
        <v>0.50647607385675952</v>
      </c>
      <c r="Y1643" s="9">
        <v>3780</v>
      </c>
      <c r="Z1643" s="9">
        <v>3085</v>
      </c>
      <c r="AA1643" s="9">
        <v>3560</v>
      </c>
      <c r="AB1643">
        <v>0.68345323741007191</v>
      </c>
      <c r="AC1643" s="11">
        <v>9.3781606001667139</v>
      </c>
      <c r="AD1643" s="9">
        <v>3139.2994350282488</v>
      </c>
      <c r="AE1643" s="8">
        <v>8.5365853658536592E-2</v>
      </c>
    </row>
    <row r="1644" spans="1:31" x14ac:dyDescent="0.35">
      <c r="A1644" s="6" t="s">
        <v>1665</v>
      </c>
      <c r="B1644" s="7">
        <v>14</v>
      </c>
      <c r="C1644" s="7">
        <v>4</v>
      </c>
      <c r="D1644" s="7">
        <v>0</v>
      </c>
      <c r="E1644" s="7">
        <v>0</v>
      </c>
      <c r="F1644">
        <v>857</v>
      </c>
      <c r="G1644">
        <v>194</v>
      </c>
      <c r="H1644">
        <v>22.66</v>
      </c>
      <c r="I1644">
        <v>163</v>
      </c>
      <c r="J1644">
        <v>19</v>
      </c>
      <c r="K1644">
        <v>781</v>
      </c>
      <c r="L1644">
        <v>140</v>
      </c>
      <c r="M1644">
        <v>642</v>
      </c>
      <c r="N1644">
        <v>1510.88</v>
      </c>
      <c r="O1644">
        <v>27.1</v>
      </c>
      <c r="P1644">
        <v>13.63</v>
      </c>
      <c r="Q1644">
        <v>3.64</v>
      </c>
      <c r="R1644">
        <v>2.59</v>
      </c>
      <c r="S1644">
        <v>2165</v>
      </c>
      <c r="T1644">
        <v>8111</v>
      </c>
      <c r="U1644">
        <v>11393</v>
      </c>
      <c r="V1644">
        <v>209</v>
      </c>
      <c r="W1644">
        <v>10.64</v>
      </c>
      <c r="X1644" s="10">
        <v>0.22006388768803034</v>
      </c>
      <c r="Y1644" s="9">
        <v>31650</v>
      </c>
      <c r="Z1644" s="9">
        <v>27350</v>
      </c>
      <c r="AA1644" s="9">
        <v>29850</v>
      </c>
      <c r="AB1644">
        <v>0.58139534883720934</v>
      </c>
      <c r="AC1644" s="11">
        <v>25.545984995832175</v>
      </c>
      <c r="AD1644" s="9">
        <v>29280.847457627118</v>
      </c>
      <c r="AE1644" s="8">
        <v>1.5306122448979591E-2</v>
      </c>
    </row>
    <row r="1645" spans="1:31" x14ac:dyDescent="0.35">
      <c r="A1645" s="6" t="s">
        <v>1666</v>
      </c>
      <c r="B1645" s="7">
        <v>4</v>
      </c>
      <c r="C1645" s="7">
        <v>2</v>
      </c>
      <c r="D1645" s="7">
        <v>2</v>
      </c>
      <c r="E1645" s="7">
        <v>10</v>
      </c>
      <c r="F1645">
        <v>40</v>
      </c>
      <c r="G1645">
        <v>-15</v>
      </c>
      <c r="H1645">
        <v>-36.200000000000003</v>
      </c>
      <c r="I1645">
        <v>-11</v>
      </c>
      <c r="J1645">
        <v>-27.82</v>
      </c>
      <c r="K1645">
        <v>153</v>
      </c>
      <c r="L1645">
        <v>49</v>
      </c>
      <c r="M1645">
        <v>104</v>
      </c>
      <c r="N1645">
        <v>157.52000000000001</v>
      </c>
      <c r="O1645">
        <v>-10.29</v>
      </c>
      <c r="P1645">
        <v>0</v>
      </c>
      <c r="Q1645">
        <v>2.04</v>
      </c>
      <c r="R1645">
        <v>5.16</v>
      </c>
      <c r="S1645">
        <v>-134</v>
      </c>
      <c r="T1645">
        <v>1213</v>
      </c>
      <c r="U1645">
        <v>481</v>
      </c>
      <c r="V1645">
        <v>-11</v>
      </c>
      <c r="W1645">
        <v>-19.61</v>
      </c>
      <c r="X1645" s="10">
        <v>0.80072727948357836</v>
      </c>
      <c r="Y1645" s="9">
        <v>3620</v>
      </c>
      <c r="Z1645" s="9">
        <v>2460</v>
      </c>
      <c r="AA1645" s="9">
        <v>3275</v>
      </c>
      <c r="AB1645">
        <v>0.70258620689655171</v>
      </c>
      <c r="AC1645" s="11">
        <v>15.788830230619617</v>
      </c>
      <c r="AD1645" s="9">
        <v>2350.4406779661017</v>
      </c>
      <c r="AE1645" s="8">
        <v>0.33130081300813008</v>
      </c>
    </row>
    <row r="1646" spans="1:31" x14ac:dyDescent="0.35">
      <c r="A1646" s="6" t="s">
        <v>1667</v>
      </c>
      <c r="B1646" s="7">
        <v>3</v>
      </c>
      <c r="C1646" s="7">
        <v>9</v>
      </c>
      <c r="D1646" s="7">
        <v>2</v>
      </c>
      <c r="E1646" s="7">
        <v>4</v>
      </c>
      <c r="F1646">
        <v>210</v>
      </c>
      <c r="G1646">
        <v>12</v>
      </c>
      <c r="H1646">
        <v>5.81</v>
      </c>
      <c r="I1646">
        <v>12</v>
      </c>
      <c r="J1646">
        <v>5.77</v>
      </c>
      <c r="K1646">
        <v>290</v>
      </c>
      <c r="L1646">
        <v>56</v>
      </c>
      <c r="M1646">
        <v>233</v>
      </c>
      <c r="N1646">
        <v>564.87</v>
      </c>
      <c r="O1646">
        <v>5.37</v>
      </c>
      <c r="P1646">
        <v>16.54</v>
      </c>
      <c r="Q1646">
        <v>0.89</v>
      </c>
      <c r="R1646">
        <v>0.96</v>
      </c>
      <c r="S1646">
        <v>178</v>
      </c>
      <c r="T1646">
        <v>3303</v>
      </c>
      <c r="U1646">
        <v>3082</v>
      </c>
      <c r="V1646">
        <v>17</v>
      </c>
      <c r="W1646">
        <v>12.02</v>
      </c>
      <c r="X1646" s="10">
        <v>0.83430012424837741</v>
      </c>
      <c r="Y1646" s="9">
        <v>3625</v>
      </c>
      <c r="Z1646" s="9">
        <v>2870</v>
      </c>
      <c r="AA1646" s="9">
        <v>3625</v>
      </c>
      <c r="AB1646">
        <v>1</v>
      </c>
      <c r="AC1646" s="11">
        <v>10.310363989997221</v>
      </c>
      <c r="AD1646" s="9">
        <v>2873.5338983050847</v>
      </c>
      <c r="AE1646" s="8">
        <v>0.22466216216216217</v>
      </c>
    </row>
    <row r="1647" spans="1:31" x14ac:dyDescent="0.35">
      <c r="A1647" s="6" t="s">
        <v>1668</v>
      </c>
      <c r="B1647" s="7">
        <v>1</v>
      </c>
      <c r="C1647" s="7">
        <v>14</v>
      </c>
      <c r="D1647" s="7">
        <v>1</v>
      </c>
      <c r="E1647" s="7">
        <v>2</v>
      </c>
      <c r="F1647">
        <v>1802</v>
      </c>
      <c r="G1647">
        <v>164</v>
      </c>
      <c r="H1647">
        <v>9.1</v>
      </c>
      <c r="I1647">
        <v>102</v>
      </c>
      <c r="J1647">
        <v>5.66</v>
      </c>
      <c r="K1647">
        <v>1584</v>
      </c>
      <c r="L1647">
        <v>918</v>
      </c>
      <c r="M1647">
        <v>666</v>
      </c>
      <c r="N1647">
        <v>675.93</v>
      </c>
      <c r="O1647">
        <v>16.309999999999999</v>
      </c>
      <c r="P1647">
        <v>10.07</v>
      </c>
      <c r="Q1647">
        <v>1.72</v>
      </c>
      <c r="R1647">
        <v>0.56999999999999995</v>
      </c>
      <c r="S1647">
        <v>557</v>
      </c>
      <c r="T1647">
        <v>3262</v>
      </c>
      <c r="U1647">
        <v>9841</v>
      </c>
      <c r="V1647">
        <v>193</v>
      </c>
      <c r="W1647">
        <v>6.81</v>
      </c>
      <c r="X1647" s="10">
        <v>0.70828841893220329</v>
      </c>
      <c r="Y1647" s="9">
        <v>6900</v>
      </c>
      <c r="Z1647" s="9">
        <v>5240</v>
      </c>
      <c r="AA1647" s="9">
        <v>6570</v>
      </c>
      <c r="AB1647">
        <v>0.8012048192771084</v>
      </c>
      <c r="AC1647" s="11">
        <v>25.015837732703524</v>
      </c>
      <c r="AD1647" s="9">
        <v>5209.3502824858751</v>
      </c>
      <c r="AE1647" s="8">
        <v>0.15061295971978983</v>
      </c>
    </row>
    <row r="1648" spans="1:31" x14ac:dyDescent="0.35">
      <c r="A1648" s="6" t="s">
        <v>1669</v>
      </c>
      <c r="B1648" s="7">
        <v>4</v>
      </c>
      <c r="C1648" s="7">
        <v>10</v>
      </c>
      <c r="D1648" s="7">
        <v>3</v>
      </c>
      <c r="E1648" s="7">
        <v>1</v>
      </c>
      <c r="F1648">
        <v>272</v>
      </c>
      <c r="G1648">
        <v>30</v>
      </c>
      <c r="H1648">
        <v>11.1</v>
      </c>
      <c r="I1648">
        <v>28</v>
      </c>
      <c r="J1648">
        <v>10.39</v>
      </c>
      <c r="K1648">
        <v>367</v>
      </c>
      <c r="L1648">
        <v>49</v>
      </c>
      <c r="M1648">
        <v>319</v>
      </c>
      <c r="N1648">
        <v>390.32</v>
      </c>
      <c r="O1648">
        <v>8.9700000000000006</v>
      </c>
      <c r="P1648">
        <v>11.82</v>
      </c>
      <c r="Q1648">
        <v>1.08</v>
      </c>
      <c r="R1648">
        <v>1.22</v>
      </c>
      <c r="S1648">
        <v>217</v>
      </c>
      <c r="T1648">
        <v>2373</v>
      </c>
      <c r="U1648">
        <v>2095</v>
      </c>
      <c r="V1648">
        <v>34</v>
      </c>
      <c r="W1648">
        <v>9.6999999999999993</v>
      </c>
      <c r="X1648" s="10">
        <v>0.85400026874303292</v>
      </c>
      <c r="Y1648" s="9">
        <v>2810</v>
      </c>
      <c r="Z1648" s="9">
        <v>2510</v>
      </c>
      <c r="AA1648" s="9">
        <v>2785</v>
      </c>
      <c r="AB1648">
        <v>0.91666666666666663</v>
      </c>
      <c r="AC1648" s="11">
        <v>5.5534870797443725</v>
      </c>
      <c r="AD1648" s="9">
        <v>2493.4519774011301</v>
      </c>
      <c r="AE1648" s="8">
        <v>5.6925996204933584E-2</v>
      </c>
    </row>
    <row r="1649" spans="1:31" x14ac:dyDescent="0.35">
      <c r="A1649" s="6" t="s">
        <v>1670</v>
      </c>
      <c r="B1649" s="7">
        <v>10</v>
      </c>
      <c r="C1649" s="7">
        <v>4</v>
      </c>
      <c r="D1649" s="7">
        <v>4</v>
      </c>
      <c r="E1649" s="7">
        <v>0</v>
      </c>
      <c r="F1649">
        <v>452</v>
      </c>
      <c r="G1649">
        <v>61</v>
      </c>
      <c r="H1649">
        <v>13.54</v>
      </c>
      <c r="I1649">
        <v>40</v>
      </c>
      <c r="J1649">
        <v>8.8699999999999992</v>
      </c>
      <c r="K1649">
        <v>767</v>
      </c>
      <c r="L1649">
        <v>152</v>
      </c>
      <c r="M1649">
        <v>615</v>
      </c>
      <c r="N1649">
        <v>974.74</v>
      </c>
      <c r="O1649">
        <v>6.66</v>
      </c>
      <c r="P1649">
        <v>11.44</v>
      </c>
      <c r="Q1649">
        <v>0.82</v>
      </c>
      <c r="R1649">
        <v>1.01</v>
      </c>
      <c r="S1649">
        <v>355</v>
      </c>
      <c r="T1649">
        <v>4953</v>
      </c>
      <c r="U1649">
        <v>4001</v>
      </c>
      <c r="V1649">
        <v>71</v>
      </c>
      <c r="W1649">
        <v>6.88</v>
      </c>
      <c r="X1649" s="10">
        <v>0.63094248379227436</v>
      </c>
      <c r="Y1649" s="9">
        <v>5250</v>
      </c>
      <c r="Z1649" s="9">
        <v>4060</v>
      </c>
      <c r="AA1649" s="9">
        <v>5010</v>
      </c>
      <c r="AB1649">
        <v>0.79831932773109249</v>
      </c>
      <c r="AC1649" s="11">
        <v>13.41233676021117</v>
      </c>
      <c r="AD1649" s="9">
        <v>4007.5903954802261</v>
      </c>
      <c r="AE1649" s="8">
        <v>0.21160822249093109</v>
      </c>
    </row>
    <row r="1650" spans="1:31" x14ac:dyDescent="0.35">
      <c r="A1650" s="6" t="s">
        <v>1671</v>
      </c>
      <c r="B1650" s="7">
        <v>4</v>
      </c>
      <c r="C1650" s="7">
        <v>2</v>
      </c>
      <c r="D1650" s="7">
        <v>3</v>
      </c>
      <c r="E1650" s="7">
        <v>9</v>
      </c>
      <c r="F1650">
        <v>223</v>
      </c>
      <c r="G1650">
        <v>9</v>
      </c>
      <c r="H1650">
        <v>3.93</v>
      </c>
      <c r="I1650">
        <v>6</v>
      </c>
      <c r="J1650">
        <v>2.4700000000000002</v>
      </c>
      <c r="K1650">
        <v>220</v>
      </c>
      <c r="L1650">
        <v>63</v>
      </c>
      <c r="M1650">
        <v>157</v>
      </c>
      <c r="N1650">
        <v>214.94</v>
      </c>
      <c r="O1650">
        <v>3.42</v>
      </c>
      <c r="P1650">
        <v>43.36</v>
      </c>
      <c r="Q1650">
        <v>1.51</v>
      </c>
      <c r="R1650">
        <v>1.07</v>
      </c>
      <c r="S1650">
        <v>55</v>
      </c>
      <c r="T1650">
        <v>1575</v>
      </c>
      <c r="U1650">
        <v>2233</v>
      </c>
      <c r="V1650">
        <v>13</v>
      </c>
      <c r="W1650">
        <v>20.47</v>
      </c>
      <c r="X1650" s="10">
        <v>0.65361907096472494</v>
      </c>
      <c r="Y1650" s="9">
        <v>2600</v>
      </c>
      <c r="Z1650" s="9">
        <v>2060</v>
      </c>
      <c r="AA1650" s="9">
        <v>2485</v>
      </c>
      <c r="AB1650">
        <v>0.78703703703703709</v>
      </c>
      <c r="AC1650" s="11">
        <v>7.5436232286746314</v>
      </c>
      <c r="AD1650" s="9">
        <v>2124.3361581920904</v>
      </c>
      <c r="AE1650" s="8">
        <v>4.6315789473684213E-2</v>
      </c>
    </row>
    <row r="1651" spans="1:31" x14ac:dyDescent="0.35">
      <c r="A1651" s="6" t="s">
        <v>1672</v>
      </c>
      <c r="B1651" s="7">
        <v>9</v>
      </c>
      <c r="C1651" s="7">
        <v>3</v>
      </c>
      <c r="D1651" s="7">
        <v>6</v>
      </c>
      <c r="E1651" s="7">
        <v>0</v>
      </c>
      <c r="F1651">
        <v>122</v>
      </c>
      <c r="G1651">
        <v>90</v>
      </c>
      <c r="H1651">
        <v>73.62</v>
      </c>
      <c r="I1651">
        <v>104</v>
      </c>
      <c r="J1651">
        <v>84.76</v>
      </c>
      <c r="K1651">
        <v>1848</v>
      </c>
      <c r="L1651">
        <v>10</v>
      </c>
      <c r="M1651">
        <v>1838</v>
      </c>
      <c r="N1651">
        <v>563.85</v>
      </c>
      <c r="O1651">
        <v>5.69</v>
      </c>
      <c r="P1651">
        <v>21.75</v>
      </c>
      <c r="Q1651">
        <v>1.25</v>
      </c>
      <c r="R1651">
        <v>18.43</v>
      </c>
      <c r="S1651">
        <v>189</v>
      </c>
      <c r="T1651">
        <v>3278</v>
      </c>
      <c r="U1651">
        <v>223</v>
      </c>
      <c r="V1651">
        <v>90</v>
      </c>
      <c r="W1651">
        <v>25.47</v>
      </c>
      <c r="X1651" s="10">
        <v>1.7186891386710854E-2</v>
      </c>
      <c r="Y1651" s="9">
        <v>4480</v>
      </c>
      <c r="Z1651" s="9">
        <v>4000</v>
      </c>
      <c r="AA1651" s="9">
        <v>4225</v>
      </c>
      <c r="AB1651">
        <v>0.46875</v>
      </c>
      <c r="AC1651" s="11">
        <v>-0.90580716865796052</v>
      </c>
      <c r="AD1651" s="9">
        <v>4204.1271186440681</v>
      </c>
      <c r="AE1651" s="8">
        <v>2.9232643118148598E-2</v>
      </c>
    </row>
    <row r="1652" spans="1:31" x14ac:dyDescent="0.35">
      <c r="A1652" s="6" t="s">
        <v>1673</v>
      </c>
      <c r="B1652" s="7">
        <v>15</v>
      </c>
      <c r="C1652" s="7">
        <v>2</v>
      </c>
      <c r="D1652" s="7">
        <v>1</v>
      </c>
      <c r="E1652" s="7">
        <v>0</v>
      </c>
      <c r="F1652">
        <v>793</v>
      </c>
      <c r="G1652">
        <v>61</v>
      </c>
      <c r="H1652">
        <v>7.63</v>
      </c>
      <c r="I1652">
        <v>52</v>
      </c>
      <c r="J1652">
        <v>6.62</v>
      </c>
      <c r="K1652">
        <v>460</v>
      </c>
      <c r="L1652">
        <v>161</v>
      </c>
      <c r="M1652">
        <v>299</v>
      </c>
      <c r="N1652">
        <v>398.19</v>
      </c>
      <c r="O1652">
        <v>18.34</v>
      </c>
      <c r="P1652">
        <v>8.9499999999999993</v>
      </c>
      <c r="Q1652">
        <v>1.66</v>
      </c>
      <c r="R1652">
        <v>0.59</v>
      </c>
      <c r="S1652">
        <v>437</v>
      </c>
      <c r="T1652">
        <v>2354</v>
      </c>
      <c r="U1652">
        <v>6610</v>
      </c>
      <c r="V1652">
        <v>71</v>
      </c>
      <c r="W1652">
        <v>6.63</v>
      </c>
      <c r="X1652" s="10">
        <v>0.3792972945860999</v>
      </c>
      <c r="Y1652" s="9">
        <v>4455</v>
      </c>
      <c r="Z1652" s="9">
        <v>3855</v>
      </c>
      <c r="AA1652" s="9">
        <v>4270</v>
      </c>
      <c r="AB1652">
        <v>0.69166666666666665</v>
      </c>
      <c r="AC1652" s="11">
        <v>4.7101972770213951</v>
      </c>
      <c r="AD1652" s="9">
        <v>3964.1723163841807</v>
      </c>
      <c r="AE1652" s="8">
        <v>5.9553349875930521E-2</v>
      </c>
    </row>
    <row r="1653" spans="1:31" x14ac:dyDescent="0.35">
      <c r="A1653" s="6" t="s">
        <v>1674</v>
      </c>
      <c r="B1653" s="7">
        <v>3</v>
      </c>
      <c r="C1653" s="7">
        <v>5</v>
      </c>
      <c r="D1653" s="7">
        <v>7</v>
      </c>
      <c r="E1653" s="7">
        <v>3</v>
      </c>
      <c r="F1653">
        <v>202</v>
      </c>
      <c r="G1653">
        <v>-66</v>
      </c>
      <c r="H1653">
        <v>-32.520000000000003</v>
      </c>
      <c r="I1653">
        <v>-65</v>
      </c>
      <c r="J1653">
        <v>-32.200000000000003</v>
      </c>
      <c r="K1653">
        <v>502</v>
      </c>
      <c r="L1653">
        <v>68</v>
      </c>
      <c r="M1653">
        <v>434</v>
      </c>
      <c r="N1653">
        <v>193.45</v>
      </c>
      <c r="O1653">
        <v>-17.16</v>
      </c>
      <c r="P1653">
        <v>0</v>
      </c>
      <c r="Q1653">
        <v>3.22</v>
      </c>
      <c r="R1653">
        <v>5.33</v>
      </c>
      <c r="S1653">
        <v>-500</v>
      </c>
      <c r="T1653">
        <v>2565</v>
      </c>
      <c r="U1653">
        <v>1548</v>
      </c>
      <c r="V1653">
        <v>-64</v>
      </c>
      <c r="W1653">
        <v>-20.07</v>
      </c>
      <c r="X1653" s="10">
        <v>0.75278838569905138</v>
      </c>
      <c r="Y1653" s="9">
        <v>9606</v>
      </c>
      <c r="Z1653" s="9">
        <v>6130</v>
      </c>
      <c r="AA1653" s="9">
        <v>6570</v>
      </c>
      <c r="AB1653">
        <v>0.12658227848101267</v>
      </c>
      <c r="AC1653" s="11">
        <v>-47.552097804945817</v>
      </c>
      <c r="AD1653" s="9">
        <v>8983.6723163841798</v>
      </c>
      <c r="AE1653" s="8">
        <v>-0.21599045346062051</v>
      </c>
    </row>
    <row r="1654" spans="1:31" x14ac:dyDescent="0.35">
      <c r="A1654" s="6" t="s">
        <v>1675</v>
      </c>
      <c r="B1654" s="7">
        <v>10</v>
      </c>
      <c r="C1654" s="7">
        <v>3</v>
      </c>
      <c r="D1654" s="7">
        <v>3</v>
      </c>
      <c r="E1654" s="7">
        <v>2</v>
      </c>
      <c r="F1654">
        <v>6381</v>
      </c>
      <c r="G1654">
        <v>220</v>
      </c>
      <c r="H1654">
        <v>3.44</v>
      </c>
      <c r="I1654">
        <v>-176</v>
      </c>
      <c r="J1654">
        <v>-2.75</v>
      </c>
      <c r="K1654">
        <v>4421</v>
      </c>
      <c r="L1654">
        <v>3322</v>
      </c>
      <c r="M1654">
        <v>1099</v>
      </c>
      <c r="N1654">
        <v>76.41</v>
      </c>
      <c r="O1654">
        <v>-24.23</v>
      </c>
      <c r="P1654">
        <v>0</v>
      </c>
      <c r="Q1654">
        <v>1.91</v>
      </c>
      <c r="R1654">
        <v>0.25</v>
      </c>
      <c r="S1654">
        <v>-187</v>
      </c>
      <c r="T1654">
        <v>874</v>
      </c>
      <c r="U1654">
        <v>6683</v>
      </c>
      <c r="V1654">
        <v>223</v>
      </c>
      <c r="W1654">
        <v>8.59</v>
      </c>
      <c r="X1654" s="10">
        <v>0.68670813195548186</v>
      </c>
      <c r="Y1654" s="9">
        <v>2805</v>
      </c>
      <c r="Z1654" s="9">
        <v>1360</v>
      </c>
      <c r="AA1654" s="9">
        <v>2440</v>
      </c>
      <c r="AB1654">
        <v>0.74740484429065746</v>
      </c>
      <c r="AC1654" s="11">
        <v>19.530980828007781</v>
      </c>
      <c r="AD1654" s="9">
        <v>1194.8050847457625</v>
      </c>
      <c r="AE1654" s="8">
        <v>0.6827586206896552</v>
      </c>
    </row>
    <row r="1655" spans="1:31" x14ac:dyDescent="0.35">
      <c r="A1655" s="6" t="s">
        <v>1676</v>
      </c>
      <c r="B1655" s="7">
        <v>0</v>
      </c>
      <c r="C1655" s="7">
        <v>0</v>
      </c>
      <c r="D1655" s="7">
        <v>0</v>
      </c>
      <c r="E1655" s="7">
        <v>18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 s="10">
        <v>0.68572709020663114</v>
      </c>
      <c r="Y1655" s="9">
        <v>5190</v>
      </c>
      <c r="Z1655" s="9">
        <v>2195</v>
      </c>
      <c r="AA1655" s="9">
        <v>3710</v>
      </c>
      <c r="AB1655">
        <v>0.50584307178631049</v>
      </c>
      <c r="AC1655" s="11">
        <v>36.762989719366487</v>
      </c>
      <c r="AD1655" s="9">
        <v>1775.2288135593221</v>
      </c>
      <c r="AE1655" s="8">
        <v>0.45205479452054792</v>
      </c>
    </row>
    <row r="1656" spans="1:31" x14ac:dyDescent="0.35">
      <c r="A1656" s="6" t="s">
        <v>1677</v>
      </c>
      <c r="B1656" s="7">
        <v>0</v>
      </c>
      <c r="C1656" s="7">
        <v>0</v>
      </c>
      <c r="D1656" s="7">
        <v>0</v>
      </c>
      <c r="E1656" s="7">
        <v>18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 s="10">
        <v>0.7371272187456348</v>
      </c>
      <c r="Y1656" s="9">
        <v>2840</v>
      </c>
      <c r="Z1656" s="9">
        <v>1110</v>
      </c>
      <c r="AA1656" s="9">
        <v>2195</v>
      </c>
      <c r="AB1656">
        <v>0.62716763005780352</v>
      </c>
      <c r="AC1656" s="11">
        <v>23.740344540150041</v>
      </c>
      <c r="AD1656" s="9">
        <v>817.66949152542372</v>
      </c>
      <c r="AE1656" s="8">
        <v>0.82916666666666672</v>
      </c>
    </row>
    <row r="1657" spans="1:31" x14ac:dyDescent="0.35">
      <c r="A1657" s="6" t="s">
        <v>1678</v>
      </c>
      <c r="B1657" s="7">
        <v>0</v>
      </c>
      <c r="C1657" s="7">
        <v>15</v>
      </c>
      <c r="D1657" s="7">
        <v>0</v>
      </c>
      <c r="E1657" s="7">
        <v>3</v>
      </c>
      <c r="F1657">
        <v>241</v>
      </c>
      <c r="G1657">
        <v>-15</v>
      </c>
      <c r="H1657">
        <v>-6.32</v>
      </c>
      <c r="I1657">
        <v>2</v>
      </c>
      <c r="J1657">
        <v>0.88</v>
      </c>
      <c r="K1657">
        <v>930</v>
      </c>
      <c r="L1657">
        <v>134</v>
      </c>
      <c r="M1657">
        <v>795</v>
      </c>
      <c r="N1657">
        <v>743.78</v>
      </c>
      <c r="O1657">
        <v>0.36</v>
      </c>
      <c r="P1657">
        <v>203.67</v>
      </c>
      <c r="Q1657">
        <v>0.74</v>
      </c>
      <c r="R1657">
        <v>1.79</v>
      </c>
      <c r="S1657">
        <v>15</v>
      </c>
      <c r="T1657">
        <v>4126</v>
      </c>
      <c r="U1657">
        <v>1705</v>
      </c>
      <c r="V1657">
        <v>6</v>
      </c>
      <c r="W1657">
        <v>91.46</v>
      </c>
      <c r="X1657" s="10">
        <v>0.57630626486517444</v>
      </c>
      <c r="Y1657" s="9">
        <v>4830</v>
      </c>
      <c r="Z1657" s="9">
        <v>2840</v>
      </c>
      <c r="AA1657" s="9">
        <v>4255</v>
      </c>
      <c r="AB1657">
        <v>0.71105527638190957</v>
      </c>
      <c r="AC1657" s="11">
        <v>21.369824951375385</v>
      </c>
      <c r="AD1657" s="9">
        <v>2767.5536723163841</v>
      </c>
      <c r="AE1657" s="8">
        <v>0.4522184300341297</v>
      </c>
    </row>
    <row r="1658" spans="1:31" x14ac:dyDescent="0.35">
      <c r="A1658" s="6" t="s">
        <v>1679</v>
      </c>
      <c r="B1658" s="7">
        <v>2</v>
      </c>
      <c r="C1658" s="7">
        <v>3</v>
      </c>
      <c r="D1658" s="7">
        <v>10</v>
      </c>
      <c r="E1658" s="7">
        <v>3</v>
      </c>
      <c r="F1658">
        <v>104</v>
      </c>
      <c r="G1658">
        <v>-55</v>
      </c>
      <c r="H1658">
        <v>-53.36</v>
      </c>
      <c r="I1658">
        <v>33</v>
      </c>
      <c r="J1658">
        <v>31.98</v>
      </c>
      <c r="K1658">
        <v>2816</v>
      </c>
      <c r="L1658">
        <v>521</v>
      </c>
      <c r="M1658">
        <v>2295</v>
      </c>
      <c r="N1658">
        <v>835.81</v>
      </c>
      <c r="O1658">
        <v>1.64</v>
      </c>
      <c r="P1658">
        <v>156.49</v>
      </c>
      <c r="Q1658">
        <v>2.83</v>
      </c>
      <c r="R1658">
        <v>50</v>
      </c>
      <c r="S1658">
        <v>77</v>
      </c>
      <c r="T1658">
        <v>4258</v>
      </c>
      <c r="U1658">
        <v>241</v>
      </c>
      <c r="V1658">
        <v>-17</v>
      </c>
      <c r="W1658">
        <v>-358.88</v>
      </c>
      <c r="X1658" s="10">
        <v>0.61871121166740639</v>
      </c>
      <c r="Y1658" s="9">
        <v>16700</v>
      </c>
      <c r="Z1658" s="9">
        <v>12550</v>
      </c>
      <c r="AA1658" s="9">
        <v>15000</v>
      </c>
      <c r="AB1658">
        <v>0.59036144578313254</v>
      </c>
      <c r="AC1658" s="11">
        <v>45.714087246457339</v>
      </c>
      <c r="AD1658" s="9">
        <v>13324.887005649718</v>
      </c>
      <c r="AE1658" s="8">
        <v>0.19047619047619047</v>
      </c>
    </row>
    <row r="1659" spans="1:31" x14ac:dyDescent="0.35">
      <c r="A1659" s="6" t="s">
        <v>1680</v>
      </c>
      <c r="B1659" s="7">
        <v>0</v>
      </c>
      <c r="C1659" s="7">
        <v>0</v>
      </c>
      <c r="D1659" s="7">
        <v>0</v>
      </c>
      <c r="E1659" s="7">
        <v>18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 s="10">
        <v>0.30913170736474171</v>
      </c>
      <c r="Y1659" s="9">
        <v>3480</v>
      </c>
      <c r="Z1659" s="9">
        <v>2650</v>
      </c>
      <c r="AA1659" s="9">
        <v>2650</v>
      </c>
      <c r="AB1659">
        <v>0</v>
      </c>
      <c r="AC1659" s="11">
        <v>-5.6640733537093642</v>
      </c>
      <c r="AD1659" s="9">
        <v>3178.4209039548023</v>
      </c>
      <c r="AE1659" s="8">
        <v>-0.11222780569514237</v>
      </c>
    </row>
    <row r="1660" spans="1:31" x14ac:dyDescent="0.35">
      <c r="A1660" s="6" t="s">
        <v>1681</v>
      </c>
      <c r="B1660" s="7">
        <v>0</v>
      </c>
      <c r="C1660" s="7">
        <v>0</v>
      </c>
      <c r="D1660" s="7">
        <v>0</v>
      </c>
      <c r="E1660" s="7">
        <v>18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 s="10">
        <v>0.46743193394895155</v>
      </c>
      <c r="Y1660" s="9">
        <v>3255</v>
      </c>
      <c r="Z1660" s="9">
        <v>2400</v>
      </c>
      <c r="AA1660" s="9">
        <v>2870</v>
      </c>
      <c r="AB1660">
        <v>0.54970760233918126</v>
      </c>
      <c r="AC1660" s="11">
        <v>9.0686301750486233</v>
      </c>
      <c r="AD1660" s="9">
        <v>2438.7401129943505</v>
      </c>
      <c r="AE1660" s="8">
        <v>7.6923076923076927E-2</v>
      </c>
    </row>
    <row r="1661" spans="1:31" x14ac:dyDescent="0.35">
      <c r="A1661" s="6" t="s">
        <v>1682</v>
      </c>
      <c r="B1661" s="7">
        <v>0</v>
      </c>
      <c r="C1661" s="7">
        <v>2</v>
      </c>
      <c r="D1661" s="7">
        <v>14</v>
      </c>
      <c r="E1661" s="7">
        <v>2</v>
      </c>
      <c r="F1661">
        <v>371</v>
      </c>
      <c r="G1661">
        <v>-120</v>
      </c>
      <c r="H1661">
        <v>-32.28</v>
      </c>
      <c r="I1661">
        <v>-167</v>
      </c>
      <c r="J1661">
        <v>-44.94</v>
      </c>
      <c r="K1661">
        <v>1679</v>
      </c>
      <c r="L1661">
        <v>926</v>
      </c>
      <c r="M1661">
        <v>753</v>
      </c>
      <c r="N1661">
        <v>410.89</v>
      </c>
      <c r="O1661">
        <v>-26.75</v>
      </c>
      <c r="P1661">
        <v>0</v>
      </c>
      <c r="Q1661">
        <v>0.77</v>
      </c>
      <c r="R1661">
        <v>0.84</v>
      </c>
      <c r="S1661">
        <v>-768</v>
      </c>
      <c r="T1661">
        <v>1862</v>
      </c>
      <c r="U1661">
        <v>1708</v>
      </c>
      <c r="V1661">
        <v>-125</v>
      </c>
      <c r="W1661">
        <v>-8.9600000000000009</v>
      </c>
      <c r="X1661" s="10">
        <v>0.46743193394895155</v>
      </c>
      <c r="Y1661" s="9">
        <v>1430</v>
      </c>
      <c r="Z1661" s="9">
        <v>1430</v>
      </c>
      <c r="AA1661" s="9">
        <v>1430</v>
      </c>
      <c r="AC1661" s="11">
        <v>0</v>
      </c>
      <c r="AD1661" s="9">
        <v>1430</v>
      </c>
      <c r="AE1661" s="8">
        <v>0</v>
      </c>
    </row>
    <row r="1662" spans="1:31" x14ac:dyDescent="0.35">
      <c r="A1662" s="6" t="s">
        <v>1683</v>
      </c>
      <c r="B1662" s="7">
        <v>7</v>
      </c>
      <c r="C1662" s="7">
        <v>2</v>
      </c>
      <c r="D1662" s="7">
        <v>4</v>
      </c>
      <c r="E1662" s="7">
        <v>5</v>
      </c>
      <c r="F1662">
        <v>755</v>
      </c>
      <c r="G1662">
        <v>61</v>
      </c>
      <c r="H1662">
        <v>8.07</v>
      </c>
      <c r="I1662">
        <v>34</v>
      </c>
      <c r="J1662">
        <v>4.46</v>
      </c>
      <c r="K1662">
        <v>989</v>
      </c>
      <c r="L1662">
        <v>435</v>
      </c>
      <c r="M1662">
        <v>554</v>
      </c>
      <c r="N1662">
        <v>693.84</v>
      </c>
      <c r="O1662">
        <v>6.17</v>
      </c>
      <c r="P1662">
        <v>35.450000000000003</v>
      </c>
      <c r="Q1662">
        <v>2.27</v>
      </c>
      <c r="R1662">
        <v>1.58</v>
      </c>
      <c r="S1662">
        <v>242</v>
      </c>
      <c r="T1662">
        <v>3788</v>
      </c>
      <c r="U1662">
        <v>5419</v>
      </c>
      <c r="V1662">
        <v>67</v>
      </c>
      <c r="W1662">
        <v>18.899999999999999</v>
      </c>
      <c r="X1662" s="10">
        <v>0.33679634484367355</v>
      </c>
      <c r="Y1662" s="9">
        <v>9560</v>
      </c>
      <c r="Z1662" s="9">
        <v>8520</v>
      </c>
      <c r="AA1662" s="9">
        <v>9560</v>
      </c>
      <c r="AB1662">
        <v>1</v>
      </c>
      <c r="AC1662" s="11">
        <v>8.2050569602667416</v>
      </c>
      <c r="AD1662" s="9">
        <v>8726.7457627118638</v>
      </c>
      <c r="AE1662" s="8">
        <v>0.11162790697674418</v>
      </c>
    </row>
    <row r="1663" spans="1:31" x14ac:dyDescent="0.35">
      <c r="A1663" s="6" t="s">
        <v>1684</v>
      </c>
      <c r="B1663" s="7">
        <v>3</v>
      </c>
      <c r="C1663" s="7">
        <v>7</v>
      </c>
      <c r="D1663" s="7">
        <v>5</v>
      </c>
      <c r="E1663" s="7">
        <v>3</v>
      </c>
      <c r="F1663">
        <v>537</v>
      </c>
      <c r="G1663">
        <v>108</v>
      </c>
      <c r="H1663">
        <v>20.14</v>
      </c>
      <c r="I1663">
        <v>79</v>
      </c>
      <c r="J1663">
        <v>14.77</v>
      </c>
      <c r="K1663">
        <v>1071</v>
      </c>
      <c r="L1663">
        <v>198</v>
      </c>
      <c r="M1663">
        <v>873</v>
      </c>
      <c r="N1663">
        <v>2547.02</v>
      </c>
      <c r="O1663">
        <v>13.93</v>
      </c>
      <c r="P1663">
        <v>9.98</v>
      </c>
      <c r="Q1663">
        <v>1.39</v>
      </c>
      <c r="R1663">
        <v>0</v>
      </c>
      <c r="S1663">
        <v>1809</v>
      </c>
      <c r="T1663">
        <v>12996</v>
      </c>
      <c r="U1663">
        <v>0</v>
      </c>
      <c r="V1663">
        <v>144</v>
      </c>
      <c r="W1663">
        <v>8.26</v>
      </c>
      <c r="X1663" s="10">
        <v>0.96295965879741974</v>
      </c>
      <c r="Y1663" s="9">
        <v>33250</v>
      </c>
      <c r="Z1663" s="9">
        <v>15500</v>
      </c>
      <c r="AA1663" s="9">
        <v>32350</v>
      </c>
      <c r="AB1663">
        <v>0.94929577464788728</v>
      </c>
      <c r="AC1663" s="11">
        <v>303.88580161155875</v>
      </c>
      <c r="AD1663" s="9">
        <v>14903.983050847459</v>
      </c>
      <c r="AE1663" s="8">
        <v>0.88629737609329451</v>
      </c>
    </row>
    <row r="1664" spans="1:31" x14ac:dyDescent="0.35">
      <c r="A1664" s="6" t="s">
        <v>1685</v>
      </c>
      <c r="B1664" s="7">
        <v>6</v>
      </c>
      <c r="C1664" s="7">
        <v>0</v>
      </c>
      <c r="D1664" s="7">
        <v>7</v>
      </c>
      <c r="E1664" s="7">
        <v>5</v>
      </c>
      <c r="F1664">
        <v>263</v>
      </c>
      <c r="G1664">
        <v>10</v>
      </c>
      <c r="H1664">
        <v>3.9</v>
      </c>
      <c r="I1664">
        <v>7</v>
      </c>
      <c r="J1664">
        <v>2.62</v>
      </c>
      <c r="K1664">
        <v>592</v>
      </c>
      <c r="L1664">
        <v>198</v>
      </c>
      <c r="M1664">
        <v>394</v>
      </c>
      <c r="N1664">
        <v>1115</v>
      </c>
      <c r="O1664">
        <v>2.42</v>
      </c>
      <c r="P1664">
        <v>68.53</v>
      </c>
      <c r="Q1664">
        <v>1.75</v>
      </c>
      <c r="R1664">
        <v>1.79</v>
      </c>
      <c r="S1664">
        <v>143</v>
      </c>
      <c r="T1664">
        <v>5611</v>
      </c>
      <c r="U1664">
        <v>5464</v>
      </c>
      <c r="V1664">
        <v>16</v>
      </c>
      <c r="W1664">
        <v>43.16</v>
      </c>
      <c r="X1664" s="10">
        <v>0.33427064118201094</v>
      </c>
      <c r="Y1664" s="9">
        <v>7590</v>
      </c>
      <c r="Z1664" s="9">
        <v>5990</v>
      </c>
      <c r="AA1664" s="9">
        <v>6960</v>
      </c>
      <c r="AB1664">
        <v>0.60624999999999996</v>
      </c>
      <c r="AC1664" s="11">
        <v>14.775493192553487</v>
      </c>
      <c r="AD1664" s="9">
        <v>6209.1807909604513</v>
      </c>
      <c r="AE1664" s="8">
        <v>9.4339622641509441E-2</v>
      </c>
    </row>
    <row r="1665" spans="1:31" x14ac:dyDescent="0.35">
      <c r="A1665" s="6" t="s">
        <v>1686</v>
      </c>
      <c r="B1665" s="7">
        <v>11</v>
      </c>
      <c r="C1665" s="7">
        <v>3</v>
      </c>
      <c r="D1665" s="7">
        <v>4</v>
      </c>
      <c r="E1665" s="7">
        <v>0</v>
      </c>
      <c r="F1665">
        <v>602</v>
      </c>
      <c r="G1665">
        <v>26</v>
      </c>
      <c r="H1665">
        <v>4.37</v>
      </c>
      <c r="I1665">
        <v>48</v>
      </c>
      <c r="J1665">
        <v>8</v>
      </c>
      <c r="K1665">
        <v>623</v>
      </c>
      <c r="L1665">
        <v>160</v>
      </c>
      <c r="M1665">
        <v>463</v>
      </c>
      <c r="N1665">
        <v>548.36</v>
      </c>
      <c r="O1665">
        <v>10.59</v>
      </c>
      <c r="P1665">
        <v>15.22</v>
      </c>
      <c r="Q1665">
        <v>1.61</v>
      </c>
      <c r="R1665">
        <v>1.22</v>
      </c>
      <c r="S1665">
        <v>3370</v>
      </c>
      <c r="T1665">
        <v>31864</v>
      </c>
      <c r="U1665">
        <v>42152</v>
      </c>
      <c r="V1665">
        <v>51</v>
      </c>
      <c r="W1665">
        <v>14.28</v>
      </c>
      <c r="X1665" s="10">
        <v>0.57797354478148011</v>
      </c>
      <c r="Y1665" s="9">
        <v>66100</v>
      </c>
      <c r="Z1665" s="9">
        <v>49300</v>
      </c>
      <c r="AA1665" s="9">
        <v>58500</v>
      </c>
      <c r="AB1665">
        <v>0.54761904761904767</v>
      </c>
      <c r="AC1665" s="11">
        <v>213.61350375104192</v>
      </c>
      <c r="AD1665" s="9">
        <v>48788.954802259883</v>
      </c>
      <c r="AE1665" s="8">
        <v>0.15612648221343872</v>
      </c>
    </row>
    <row r="1666" spans="1:31" x14ac:dyDescent="0.35">
      <c r="A1666" s="6" t="s">
        <v>1687</v>
      </c>
      <c r="B1666" s="7">
        <v>1</v>
      </c>
      <c r="C1666" s="7">
        <v>1</v>
      </c>
      <c r="D1666" s="7">
        <v>8</v>
      </c>
      <c r="E1666" s="7">
        <v>8</v>
      </c>
      <c r="F1666">
        <v>802</v>
      </c>
      <c r="G1666">
        <v>54</v>
      </c>
      <c r="H1666">
        <v>6.77</v>
      </c>
      <c r="I1666">
        <v>20</v>
      </c>
      <c r="J1666">
        <v>2.54</v>
      </c>
      <c r="K1666">
        <v>1113</v>
      </c>
      <c r="L1666">
        <v>335</v>
      </c>
      <c r="M1666">
        <v>778</v>
      </c>
      <c r="N1666">
        <v>2837.77</v>
      </c>
      <c r="O1666">
        <v>2.57</v>
      </c>
      <c r="P1666">
        <v>29.17</v>
      </c>
      <c r="Q1666">
        <v>1.26</v>
      </c>
      <c r="R1666">
        <v>0.74</v>
      </c>
      <c r="S1666">
        <v>384</v>
      </c>
      <c r="T1666">
        <v>8878</v>
      </c>
      <c r="U1666">
        <v>15120</v>
      </c>
      <c r="V1666">
        <v>137</v>
      </c>
      <c r="W1666">
        <v>6.27</v>
      </c>
      <c r="X1666" s="10">
        <v>0.25885999716190528</v>
      </c>
      <c r="Y1666" s="9">
        <v>12200</v>
      </c>
      <c r="Z1666" s="9">
        <v>10900</v>
      </c>
      <c r="AA1666" s="9">
        <v>12100</v>
      </c>
      <c r="AB1666">
        <v>0.92307692307692313</v>
      </c>
      <c r="AC1666" s="11">
        <v>8.1981105862739643</v>
      </c>
      <c r="AD1666" s="9">
        <v>11152.457627118643</v>
      </c>
      <c r="AE1666" s="8">
        <v>7.5555555555555556E-2</v>
      </c>
    </row>
    <row r="1667" spans="1:31" x14ac:dyDescent="0.35">
      <c r="A1667" s="6" t="s">
        <v>1688</v>
      </c>
      <c r="B1667" s="7">
        <v>4</v>
      </c>
      <c r="C1667" s="7">
        <v>4</v>
      </c>
      <c r="D1667" s="7">
        <v>4</v>
      </c>
      <c r="E1667" s="7">
        <v>6</v>
      </c>
      <c r="F1667">
        <v>245</v>
      </c>
      <c r="G1667">
        <v>8</v>
      </c>
      <c r="H1667">
        <v>3.45</v>
      </c>
      <c r="I1667">
        <v>6</v>
      </c>
      <c r="J1667">
        <v>2.29</v>
      </c>
      <c r="K1667">
        <v>354</v>
      </c>
      <c r="L1667">
        <v>189</v>
      </c>
      <c r="M1667">
        <v>165</v>
      </c>
      <c r="N1667">
        <v>458.77</v>
      </c>
      <c r="O1667">
        <v>3.42</v>
      </c>
      <c r="P1667">
        <v>19.2</v>
      </c>
      <c r="Q1667">
        <v>0.71</v>
      </c>
      <c r="R1667">
        <v>0.44</v>
      </c>
      <c r="S1667">
        <v>100</v>
      </c>
      <c r="T1667">
        <v>2691</v>
      </c>
      <c r="U1667">
        <v>4361</v>
      </c>
      <c r="V1667">
        <v>31</v>
      </c>
      <c r="W1667">
        <v>7.14</v>
      </c>
      <c r="X1667" s="10">
        <v>0.52939924367855851</v>
      </c>
      <c r="Y1667" s="9">
        <v>3490</v>
      </c>
      <c r="Z1667" s="9">
        <v>1800</v>
      </c>
      <c r="AA1667" s="9">
        <v>2440</v>
      </c>
      <c r="AB1667">
        <v>0.378698224852071</v>
      </c>
      <c r="AC1667" s="11">
        <v>17.134898582939709</v>
      </c>
      <c r="AD1667" s="9">
        <v>1722.4689265536724</v>
      </c>
      <c r="AE1667" s="8">
        <v>0.31536388140161725</v>
      </c>
    </row>
    <row r="1668" spans="1:31" x14ac:dyDescent="0.35">
      <c r="A1668" s="6" t="s">
        <v>1689</v>
      </c>
      <c r="B1668" s="7">
        <v>1</v>
      </c>
      <c r="C1668" s="7">
        <v>7</v>
      </c>
      <c r="D1668" s="7">
        <v>1</v>
      </c>
      <c r="E1668" s="7">
        <v>9</v>
      </c>
      <c r="F1668">
        <v>394</v>
      </c>
      <c r="G1668">
        <v>-90</v>
      </c>
      <c r="H1668">
        <v>-22.79</v>
      </c>
      <c r="I1668">
        <v>-53</v>
      </c>
      <c r="J1668">
        <v>-13.57</v>
      </c>
      <c r="K1668">
        <v>853</v>
      </c>
      <c r="L1668">
        <v>489</v>
      </c>
      <c r="M1668">
        <v>364</v>
      </c>
      <c r="N1668">
        <v>42.46</v>
      </c>
      <c r="O1668">
        <v>-18.16</v>
      </c>
      <c r="P1668">
        <v>0</v>
      </c>
      <c r="Q1668">
        <v>0.56999999999999995</v>
      </c>
      <c r="R1668">
        <v>0.33</v>
      </c>
      <c r="S1668">
        <v>-1280</v>
      </c>
      <c r="T1668">
        <v>5471</v>
      </c>
      <c r="U1668">
        <v>9436</v>
      </c>
      <c r="V1668">
        <v>-99</v>
      </c>
      <c r="W1668">
        <v>-5.35</v>
      </c>
      <c r="X1668" s="10">
        <v>0.87003260222023704</v>
      </c>
      <c r="Y1668" s="9">
        <v>4800</v>
      </c>
      <c r="Z1668" s="9">
        <v>3025</v>
      </c>
      <c r="AA1668" s="9">
        <v>4385</v>
      </c>
      <c r="AB1668">
        <v>0.76619718309859153</v>
      </c>
      <c r="AC1668" s="11">
        <v>32.765490414003892</v>
      </c>
      <c r="AD1668" s="9">
        <v>2865.9858757062148</v>
      </c>
      <c r="AE1668" s="8">
        <v>0.4190938511326861</v>
      </c>
    </row>
    <row r="1669" spans="1:31" x14ac:dyDescent="0.35">
      <c r="A1669" s="6" t="s">
        <v>1690</v>
      </c>
      <c r="B1669" s="7">
        <v>2</v>
      </c>
      <c r="C1669" s="7">
        <v>6</v>
      </c>
      <c r="D1669" s="7">
        <v>1</v>
      </c>
      <c r="E1669" s="7">
        <v>9</v>
      </c>
      <c r="F1669">
        <v>298</v>
      </c>
      <c r="G1669">
        <v>-11</v>
      </c>
      <c r="H1669">
        <v>-3.82</v>
      </c>
      <c r="I1669">
        <v>-15</v>
      </c>
      <c r="J1669">
        <v>-5.1100000000000003</v>
      </c>
      <c r="K1669">
        <v>1077</v>
      </c>
      <c r="L1669">
        <v>751</v>
      </c>
      <c r="M1669">
        <v>325</v>
      </c>
      <c r="N1669">
        <v>292.39</v>
      </c>
      <c r="O1669">
        <v>-9.14</v>
      </c>
      <c r="P1669">
        <v>0</v>
      </c>
      <c r="Q1669">
        <v>0.44</v>
      </c>
      <c r="R1669">
        <v>0.23</v>
      </c>
      <c r="S1669">
        <v>-184</v>
      </c>
      <c r="T1669">
        <v>1871</v>
      </c>
      <c r="U1669">
        <v>3592</v>
      </c>
      <c r="V1669">
        <v>23</v>
      </c>
      <c r="W1669">
        <v>26.26</v>
      </c>
      <c r="X1669" s="10">
        <v>0.80857980726983869</v>
      </c>
      <c r="Y1669" s="9">
        <v>1515</v>
      </c>
      <c r="Z1669" s="9">
        <v>824</v>
      </c>
      <c r="AA1669" s="9">
        <v>1355</v>
      </c>
      <c r="AB1669">
        <v>0.76845151953690305</v>
      </c>
      <c r="AC1669" s="11">
        <v>10.525368157821619</v>
      </c>
      <c r="AD1669" s="9">
        <v>809.90960451977401</v>
      </c>
      <c r="AE1669" s="8">
        <v>0.64242424242424245</v>
      </c>
    </row>
    <row r="1670" spans="1:31" x14ac:dyDescent="0.35">
      <c r="A1670" s="6" t="s">
        <v>1691</v>
      </c>
      <c r="B1670" s="7">
        <v>1</v>
      </c>
      <c r="C1670" s="7">
        <v>10</v>
      </c>
      <c r="D1670" s="7">
        <v>0</v>
      </c>
      <c r="E1670" s="7">
        <v>7</v>
      </c>
      <c r="F1670">
        <v>255</v>
      </c>
      <c r="G1670">
        <v>-21</v>
      </c>
      <c r="H1670">
        <v>-8.34</v>
      </c>
      <c r="I1670">
        <v>-19</v>
      </c>
      <c r="J1670">
        <v>-7.53</v>
      </c>
      <c r="K1670">
        <v>268</v>
      </c>
      <c r="L1670">
        <v>53</v>
      </c>
      <c r="M1670">
        <v>215</v>
      </c>
      <c r="N1670">
        <v>68.02</v>
      </c>
      <c r="O1670">
        <v>-8.56</v>
      </c>
      <c r="P1670">
        <v>0</v>
      </c>
      <c r="Q1670">
        <v>3.72</v>
      </c>
      <c r="R1670">
        <v>2.4</v>
      </c>
      <c r="S1670">
        <v>-75</v>
      </c>
      <c r="T1670">
        <v>643</v>
      </c>
      <c r="U1670">
        <v>997</v>
      </c>
      <c r="V1670">
        <v>-21</v>
      </c>
      <c r="W1670">
        <v>-29.26</v>
      </c>
      <c r="X1670" s="10">
        <v>0.44578244931748423</v>
      </c>
      <c r="Y1670" s="9">
        <v>2925</v>
      </c>
      <c r="Z1670" s="9">
        <v>2050</v>
      </c>
      <c r="AA1670" s="9">
        <v>2860</v>
      </c>
      <c r="AB1670">
        <v>0.92571428571428571</v>
      </c>
      <c r="AC1670" s="11">
        <v>6.7931369824951382</v>
      </c>
      <c r="AD1670" s="9">
        <v>2120.7259887005648</v>
      </c>
      <c r="AE1670" s="8">
        <v>0.21443736730360935</v>
      </c>
    </row>
    <row r="1671" spans="1:31" x14ac:dyDescent="0.35">
      <c r="A1671" s="6" t="s">
        <v>1692</v>
      </c>
      <c r="B1671" s="7">
        <v>6</v>
      </c>
      <c r="C1671" s="7">
        <v>0</v>
      </c>
      <c r="D1671" s="7">
        <v>2</v>
      </c>
      <c r="E1671" s="7">
        <v>10</v>
      </c>
      <c r="F1671">
        <v>1193</v>
      </c>
      <c r="G1671">
        <v>-9</v>
      </c>
      <c r="H1671">
        <v>-0.75</v>
      </c>
      <c r="I1671">
        <v>-49</v>
      </c>
      <c r="J1671">
        <v>-4.13</v>
      </c>
      <c r="K1671">
        <v>1279</v>
      </c>
      <c r="L1671">
        <v>851</v>
      </c>
      <c r="M1671">
        <v>428</v>
      </c>
      <c r="N1671">
        <v>440.63</v>
      </c>
      <c r="O1671">
        <v>-11.18</v>
      </c>
      <c r="P1671">
        <v>0</v>
      </c>
      <c r="Q1671">
        <v>0.71</v>
      </c>
      <c r="R1671">
        <v>0.25</v>
      </c>
      <c r="S1671">
        <v>-314</v>
      </c>
      <c r="T1671">
        <v>2623</v>
      </c>
      <c r="U1671">
        <v>7596</v>
      </c>
      <c r="V1671">
        <v>2</v>
      </c>
      <c r="W1671">
        <v>342.62</v>
      </c>
      <c r="X1671" s="10">
        <v>0.24430177192722324</v>
      </c>
      <c r="Y1671" s="9">
        <v>1870</v>
      </c>
      <c r="Z1671" s="9">
        <v>1670</v>
      </c>
      <c r="AA1671" s="9">
        <v>1705</v>
      </c>
      <c r="AB1671">
        <v>0.17499999999999999</v>
      </c>
      <c r="AC1671" s="11">
        <v>-1.2716032231175329</v>
      </c>
      <c r="AD1671" s="9">
        <v>1894.3672316384179</v>
      </c>
      <c r="AE1671" s="8">
        <v>-8.0862533692722366E-2</v>
      </c>
    </row>
    <row r="1672" spans="1:31" x14ac:dyDescent="0.35">
      <c r="A1672" s="6" t="s">
        <v>1693</v>
      </c>
      <c r="B1672" s="7">
        <v>0</v>
      </c>
      <c r="C1672" s="7">
        <v>4</v>
      </c>
      <c r="D1672" s="7">
        <v>1</v>
      </c>
      <c r="E1672" s="7">
        <v>13</v>
      </c>
      <c r="F1672">
        <v>3268</v>
      </c>
      <c r="G1672">
        <v>-763</v>
      </c>
      <c r="H1672">
        <v>-23.34</v>
      </c>
      <c r="I1672">
        <v>-594</v>
      </c>
      <c r="J1672">
        <v>-18.16</v>
      </c>
      <c r="K1672">
        <v>5367</v>
      </c>
      <c r="L1672">
        <v>2374</v>
      </c>
      <c r="M1672">
        <v>2993</v>
      </c>
      <c r="N1672">
        <v>1396.26</v>
      </c>
      <c r="O1672">
        <v>-24.06</v>
      </c>
      <c r="P1672">
        <v>0</v>
      </c>
      <c r="Q1672">
        <v>0.43</v>
      </c>
      <c r="R1672">
        <v>0.28999999999999998</v>
      </c>
      <c r="S1672">
        <v>-1979</v>
      </c>
      <c r="T1672">
        <v>7437</v>
      </c>
      <c r="U1672">
        <v>10895</v>
      </c>
      <c r="V1672">
        <v>-1017</v>
      </c>
      <c r="W1672">
        <v>-2.3199999999999998</v>
      </c>
      <c r="X1672" s="10">
        <v>0.6864012348685391</v>
      </c>
      <c r="Y1672" s="9">
        <v>4300</v>
      </c>
      <c r="Z1672" s="9">
        <v>2675</v>
      </c>
      <c r="AA1672" s="9">
        <v>4100</v>
      </c>
      <c r="AB1672">
        <v>0.87692307692307692</v>
      </c>
      <c r="AC1672" s="11">
        <v>22.753264795776605</v>
      </c>
      <c r="AD1672" s="9">
        <v>2927.3587570621471</v>
      </c>
      <c r="AE1672" s="8">
        <v>0.42857142857142855</v>
      </c>
    </row>
    <row r="1673" spans="1:31" x14ac:dyDescent="0.35">
      <c r="A1673" s="6" t="s">
        <v>1694</v>
      </c>
      <c r="B1673" s="7">
        <v>3</v>
      </c>
      <c r="C1673" s="7">
        <v>9</v>
      </c>
      <c r="D1673" s="7">
        <v>2</v>
      </c>
      <c r="E1673" s="7">
        <v>4</v>
      </c>
      <c r="F1673">
        <v>1394</v>
      </c>
      <c r="G1673">
        <v>85</v>
      </c>
      <c r="H1673">
        <v>6.07</v>
      </c>
      <c r="I1673">
        <v>61</v>
      </c>
      <c r="J1673">
        <v>4.3899999999999997</v>
      </c>
      <c r="K1673">
        <v>1846</v>
      </c>
      <c r="L1673">
        <v>915</v>
      </c>
      <c r="M1673">
        <v>931</v>
      </c>
      <c r="N1673">
        <v>1426.67</v>
      </c>
      <c r="O1673">
        <v>7.32</v>
      </c>
      <c r="P1673">
        <v>12.22</v>
      </c>
      <c r="Q1673">
        <v>0.89</v>
      </c>
      <c r="R1673">
        <v>0.54</v>
      </c>
      <c r="S1673">
        <v>537</v>
      </c>
      <c r="T1673">
        <v>7405</v>
      </c>
      <c r="U1673">
        <v>12237</v>
      </c>
      <c r="V1673">
        <v>135</v>
      </c>
      <c r="W1673">
        <v>10.36</v>
      </c>
      <c r="X1673" s="10">
        <v>0.53382954390402937</v>
      </c>
      <c r="Y1673" s="9">
        <v>8280</v>
      </c>
      <c r="Z1673" s="9">
        <v>6560</v>
      </c>
      <c r="AA1673" s="9">
        <v>7510</v>
      </c>
      <c r="AB1673">
        <v>0.55232558139534882</v>
      </c>
      <c r="AC1673" s="11">
        <v>19.73575993331481</v>
      </c>
      <c r="AD1673" s="9">
        <v>6764.5593220338978</v>
      </c>
      <c r="AE1673" s="8">
        <v>0.13273001508295626</v>
      </c>
    </row>
    <row r="1674" spans="1:31" x14ac:dyDescent="0.35">
      <c r="A1674" s="6" t="s">
        <v>1695</v>
      </c>
      <c r="B1674" s="7">
        <v>8</v>
      </c>
      <c r="C1674" s="7">
        <v>7</v>
      </c>
      <c r="D1674" s="7">
        <v>2</v>
      </c>
      <c r="E1674" s="7">
        <v>1</v>
      </c>
      <c r="F1674">
        <v>217</v>
      </c>
      <c r="G1674">
        <v>11</v>
      </c>
      <c r="H1674">
        <v>5.23</v>
      </c>
      <c r="I1674">
        <v>12</v>
      </c>
      <c r="J1674">
        <v>5.6</v>
      </c>
      <c r="K1674">
        <v>334</v>
      </c>
      <c r="L1674">
        <v>36</v>
      </c>
      <c r="M1674">
        <v>298</v>
      </c>
      <c r="N1674">
        <v>-3.42</v>
      </c>
      <c r="O1674">
        <v>4.75</v>
      </c>
      <c r="P1674">
        <v>34.950000000000003</v>
      </c>
      <c r="Q1674">
        <v>2.7</v>
      </c>
      <c r="R1674">
        <v>2</v>
      </c>
      <c r="S1674">
        <v>21</v>
      </c>
      <c r="T1674">
        <v>272</v>
      </c>
      <c r="U1674">
        <v>367</v>
      </c>
      <c r="V1674">
        <v>22</v>
      </c>
      <c r="W1674">
        <v>20.2</v>
      </c>
      <c r="X1674" s="10">
        <v>0.61360194405188329</v>
      </c>
      <c r="Y1674" s="9">
        <v>883</v>
      </c>
      <c r="Z1674" s="9">
        <v>721</v>
      </c>
      <c r="AA1674" s="9">
        <v>861</v>
      </c>
      <c r="AB1674">
        <v>0.86419753086419748</v>
      </c>
      <c r="AC1674" s="11">
        <v>1.9923867741039178</v>
      </c>
      <c r="AD1674" s="9">
        <v>752.59887005649716</v>
      </c>
      <c r="AE1674" s="8">
        <v>0.1941747572815534</v>
      </c>
    </row>
    <row r="1675" spans="1:31" x14ac:dyDescent="0.35">
      <c r="A1675" s="6" t="s">
        <v>1696</v>
      </c>
      <c r="B1675" s="7">
        <v>1</v>
      </c>
      <c r="C1675" s="7">
        <v>1</v>
      </c>
      <c r="D1675" s="7">
        <v>15</v>
      </c>
      <c r="E1675" s="7">
        <v>1</v>
      </c>
      <c r="F1675">
        <v>2312</v>
      </c>
      <c r="G1675">
        <v>61</v>
      </c>
      <c r="H1675">
        <v>2.63</v>
      </c>
      <c r="I1675">
        <v>12</v>
      </c>
      <c r="J1675">
        <v>0.52</v>
      </c>
      <c r="K1675">
        <v>2192</v>
      </c>
      <c r="L1675">
        <v>1210</v>
      </c>
      <c r="M1675">
        <v>982</v>
      </c>
      <c r="N1675">
        <v>374.52</v>
      </c>
      <c r="O1675">
        <v>1.63</v>
      </c>
      <c r="P1675">
        <v>43.59</v>
      </c>
      <c r="Q1675">
        <v>0.76</v>
      </c>
      <c r="R1675">
        <v>0.23</v>
      </c>
      <c r="S1675">
        <v>39</v>
      </c>
      <c r="T1675">
        <v>2249</v>
      </c>
      <c r="U1675">
        <v>7419</v>
      </c>
      <c r="V1675">
        <v>97</v>
      </c>
      <c r="W1675">
        <v>14.05</v>
      </c>
      <c r="X1675" s="10">
        <v>0.3901864119511132</v>
      </c>
      <c r="Y1675" s="9">
        <v>2200</v>
      </c>
      <c r="Z1675" s="9">
        <v>1700</v>
      </c>
      <c r="AA1675" s="9">
        <v>2025</v>
      </c>
      <c r="AB1675">
        <v>0.65</v>
      </c>
      <c r="AC1675" s="11">
        <v>3.7158933036954718</v>
      </c>
      <c r="AD1675" s="9">
        <v>1895.5819209039548</v>
      </c>
      <c r="AE1675" s="8">
        <v>0.19117647058823528</v>
      </c>
    </row>
    <row r="1676" spans="1:31" x14ac:dyDescent="0.35">
      <c r="A1676" s="6" t="s">
        <v>1697</v>
      </c>
      <c r="B1676" s="7">
        <v>6</v>
      </c>
      <c r="C1676" s="7">
        <v>11</v>
      </c>
      <c r="D1676" s="7">
        <v>0</v>
      </c>
      <c r="E1676" s="7">
        <v>1</v>
      </c>
      <c r="F1676">
        <v>2052</v>
      </c>
      <c r="G1676">
        <v>999</v>
      </c>
      <c r="H1676">
        <v>48.69</v>
      </c>
      <c r="I1676">
        <v>779</v>
      </c>
      <c r="J1676">
        <v>37.979999999999997</v>
      </c>
      <c r="K1676">
        <v>2490</v>
      </c>
      <c r="L1676">
        <v>376</v>
      </c>
      <c r="M1676">
        <v>2114</v>
      </c>
      <c r="N1676">
        <v>4153.26</v>
      </c>
      <c r="O1676">
        <v>48.48</v>
      </c>
      <c r="P1676">
        <v>16.989999999999998</v>
      </c>
      <c r="Q1676">
        <v>6.54</v>
      </c>
      <c r="R1676">
        <v>6.45</v>
      </c>
      <c r="S1676">
        <v>7975</v>
      </c>
      <c r="T1676">
        <v>20709</v>
      </c>
      <c r="U1676">
        <v>20998</v>
      </c>
      <c r="V1676">
        <v>1026</v>
      </c>
      <c r="W1676">
        <v>13.33</v>
      </c>
      <c r="X1676" s="10">
        <v>0.48058565701356631</v>
      </c>
      <c r="Y1676" s="9">
        <v>202800</v>
      </c>
      <c r="Z1676" s="9">
        <v>135500</v>
      </c>
      <c r="AA1676" s="9">
        <v>185000</v>
      </c>
      <c r="AB1676">
        <v>0.73551263001485889</v>
      </c>
      <c r="AC1676" s="11">
        <v>592.72853570436234</v>
      </c>
      <c r="AD1676" s="9">
        <v>157206.77966101695</v>
      </c>
      <c r="AE1676" s="8">
        <v>0.36029411764705882</v>
      </c>
    </row>
    <row r="1677" spans="1:31" x14ac:dyDescent="0.35">
      <c r="A1677" s="6" t="s">
        <v>1698</v>
      </c>
      <c r="B1677" s="7">
        <v>3</v>
      </c>
      <c r="C1677" s="7">
        <v>7</v>
      </c>
      <c r="D1677" s="7">
        <v>2</v>
      </c>
      <c r="E1677" s="7">
        <v>6</v>
      </c>
      <c r="F1677">
        <v>178</v>
      </c>
      <c r="G1677">
        <v>3</v>
      </c>
      <c r="H1677">
        <v>1.83</v>
      </c>
      <c r="I1677">
        <v>-64</v>
      </c>
      <c r="J1677">
        <v>-35.72</v>
      </c>
      <c r="K1677">
        <v>249</v>
      </c>
      <c r="L1677">
        <v>98</v>
      </c>
      <c r="M1677">
        <v>152</v>
      </c>
      <c r="N1677">
        <v>107.76</v>
      </c>
      <c r="O1677">
        <v>-39.51</v>
      </c>
      <c r="P1677">
        <v>0</v>
      </c>
      <c r="Q1677">
        <v>1.18</v>
      </c>
      <c r="R1677">
        <v>0</v>
      </c>
      <c r="S1677">
        <v>-499</v>
      </c>
      <c r="T1677">
        <v>1001</v>
      </c>
      <c r="U1677">
        <v>0</v>
      </c>
      <c r="V1677">
        <v>13</v>
      </c>
      <c r="W1677">
        <v>16.16</v>
      </c>
      <c r="X1677" s="10">
        <v>0.52508784252636465</v>
      </c>
      <c r="Y1677" s="9">
        <v>2350</v>
      </c>
      <c r="Z1677" s="9">
        <v>1185</v>
      </c>
      <c r="AA1677" s="9">
        <v>2000</v>
      </c>
      <c r="AB1677">
        <v>0.69957081545064381</v>
      </c>
      <c r="AC1677" s="11">
        <v>11.599611003056403</v>
      </c>
      <c r="AD1677" s="9">
        <v>1135.5451977401131</v>
      </c>
      <c r="AE1677" s="8">
        <v>0.68776371308016881</v>
      </c>
    </row>
    <row r="1678" spans="1:31" x14ac:dyDescent="0.35">
      <c r="A1678" s="6" t="s">
        <v>1699</v>
      </c>
      <c r="B1678" s="7">
        <v>1</v>
      </c>
      <c r="C1678" s="7">
        <v>9</v>
      </c>
      <c r="D1678" s="7">
        <v>3</v>
      </c>
      <c r="E1678" s="7">
        <v>5</v>
      </c>
      <c r="F1678">
        <v>384</v>
      </c>
      <c r="G1678">
        <v>14</v>
      </c>
      <c r="H1678">
        <v>3.7</v>
      </c>
      <c r="I1678">
        <v>-9</v>
      </c>
      <c r="J1678">
        <v>-2.2400000000000002</v>
      </c>
      <c r="K1678">
        <v>279</v>
      </c>
      <c r="L1678">
        <v>194</v>
      </c>
      <c r="M1678">
        <v>85</v>
      </c>
      <c r="N1678">
        <v>-7.8</v>
      </c>
      <c r="O1678">
        <v>-9.94</v>
      </c>
      <c r="P1678">
        <v>0</v>
      </c>
      <c r="Q1678">
        <v>1.68</v>
      </c>
      <c r="R1678">
        <v>0.36</v>
      </c>
      <c r="S1678">
        <v>-46</v>
      </c>
      <c r="T1678">
        <v>440</v>
      </c>
      <c r="U1678">
        <v>2056</v>
      </c>
      <c r="V1678">
        <v>29</v>
      </c>
      <c r="W1678">
        <v>8.2899999999999991</v>
      </c>
      <c r="X1678" s="10">
        <v>0.8094987393696621</v>
      </c>
      <c r="Y1678" s="9">
        <v>2170</v>
      </c>
      <c r="Z1678" s="9">
        <v>734</v>
      </c>
      <c r="AA1678" s="9">
        <v>1560</v>
      </c>
      <c r="AB1678">
        <v>0.57520891364902504</v>
      </c>
      <c r="AC1678" s="11">
        <v>20.923923312031121</v>
      </c>
      <c r="AD1678" s="9">
        <v>564.82033898305076</v>
      </c>
      <c r="AE1678" s="8">
        <v>1.1253405994550409</v>
      </c>
    </row>
    <row r="1679" spans="1:31" x14ac:dyDescent="0.35">
      <c r="A1679" s="6" t="s">
        <v>1700</v>
      </c>
      <c r="B1679" s="7">
        <v>1</v>
      </c>
      <c r="C1679" s="7">
        <v>0</v>
      </c>
      <c r="D1679" s="7">
        <v>15</v>
      </c>
      <c r="E1679" s="7">
        <v>2</v>
      </c>
      <c r="F1679">
        <v>267</v>
      </c>
      <c r="G1679">
        <v>-55</v>
      </c>
      <c r="H1679">
        <v>-20.399999999999999</v>
      </c>
      <c r="I1679">
        <v>-42</v>
      </c>
      <c r="J1679">
        <v>-15.65</v>
      </c>
      <c r="K1679">
        <v>677</v>
      </c>
      <c r="L1679">
        <v>322</v>
      </c>
      <c r="M1679">
        <v>354</v>
      </c>
      <c r="N1679">
        <v>1122.07</v>
      </c>
      <c r="O1679">
        <v>-11.15</v>
      </c>
      <c r="P1679">
        <v>0</v>
      </c>
      <c r="Q1679">
        <v>1.68</v>
      </c>
      <c r="R1679">
        <v>1.27</v>
      </c>
      <c r="S1679">
        <v>-662</v>
      </c>
      <c r="T1679">
        <v>3194</v>
      </c>
      <c r="U1679">
        <v>4232</v>
      </c>
      <c r="V1679">
        <v>-26</v>
      </c>
      <c r="W1679">
        <v>-22.65</v>
      </c>
      <c r="X1679" s="10">
        <v>0.86697422902971932</v>
      </c>
      <c r="Y1679" s="9">
        <v>7000</v>
      </c>
      <c r="Z1679" s="9">
        <v>5250</v>
      </c>
      <c r="AA1679" s="9">
        <v>6670</v>
      </c>
      <c r="AB1679">
        <v>0.81142857142857139</v>
      </c>
      <c r="AC1679" s="11">
        <v>25.240066685190328</v>
      </c>
      <c r="AD1679" s="9">
        <v>5265.0112994350284</v>
      </c>
      <c r="AE1679" s="8">
        <v>0.23518518518518519</v>
      </c>
    </row>
    <row r="1680" spans="1:31" x14ac:dyDescent="0.35">
      <c r="A1680" s="6" t="s">
        <v>1701</v>
      </c>
      <c r="B1680" s="7">
        <v>0</v>
      </c>
      <c r="C1680" s="7">
        <v>9</v>
      </c>
      <c r="D1680" s="7">
        <v>0</v>
      </c>
      <c r="E1680" s="7">
        <v>9</v>
      </c>
      <c r="F1680">
        <v>0</v>
      </c>
      <c r="G1680">
        <v>-1</v>
      </c>
      <c r="H1680">
        <v>0</v>
      </c>
      <c r="I1680">
        <v>0</v>
      </c>
      <c r="J1680">
        <v>0</v>
      </c>
      <c r="K1680">
        <v>220</v>
      </c>
      <c r="L1680">
        <v>16</v>
      </c>
      <c r="M1680">
        <v>204</v>
      </c>
      <c r="N1680">
        <v>1838.35</v>
      </c>
      <c r="O1680">
        <v>0.17</v>
      </c>
      <c r="P1680">
        <v>335</v>
      </c>
      <c r="Q1680">
        <v>1.04</v>
      </c>
      <c r="R1680">
        <v>0</v>
      </c>
      <c r="S1680">
        <v>6</v>
      </c>
      <c r="T1680">
        <v>1938</v>
      </c>
      <c r="U1680">
        <v>0</v>
      </c>
      <c r="V1680">
        <v>-1</v>
      </c>
      <c r="W1680">
        <v>-343.05</v>
      </c>
      <c r="X1680" s="10">
        <v>0.90446890403750746</v>
      </c>
      <c r="Y1680" s="9">
        <v>2285</v>
      </c>
      <c r="Z1680" s="9">
        <v>2000</v>
      </c>
      <c r="AA1680" s="9">
        <v>2285</v>
      </c>
      <c r="AB1680">
        <v>1</v>
      </c>
      <c r="AC1680" s="11">
        <v>6.0361211447624337</v>
      </c>
      <c r="AD1680" s="9">
        <v>1975.5649717514123</v>
      </c>
      <c r="AE1680" s="8">
        <v>0.14249999999999999</v>
      </c>
    </row>
    <row r="1681" spans="1:31" x14ac:dyDescent="0.35">
      <c r="A1681" s="6" t="s">
        <v>1702</v>
      </c>
      <c r="B1681" s="7">
        <v>0</v>
      </c>
      <c r="C1681" s="7">
        <v>9</v>
      </c>
      <c r="D1681" s="7">
        <v>0</v>
      </c>
      <c r="E1681" s="7">
        <v>9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226</v>
      </c>
      <c r="L1681">
        <v>21</v>
      </c>
      <c r="M1681">
        <v>205</v>
      </c>
      <c r="N1681">
        <v>1846.68</v>
      </c>
      <c r="O1681">
        <v>0.06</v>
      </c>
      <c r="P1681">
        <v>1000</v>
      </c>
      <c r="Q1681">
        <v>1.03</v>
      </c>
      <c r="R1681">
        <v>0</v>
      </c>
      <c r="S1681">
        <v>2</v>
      </c>
      <c r="T1681">
        <v>1947</v>
      </c>
      <c r="U1681">
        <v>0</v>
      </c>
      <c r="V1681">
        <v>0</v>
      </c>
      <c r="W1681">
        <v>-579.23</v>
      </c>
      <c r="X1681" s="10">
        <v>0.92533127903297552</v>
      </c>
      <c r="Y1681" s="9">
        <v>2515</v>
      </c>
      <c r="Z1681" s="9">
        <v>2000</v>
      </c>
      <c r="AA1681" s="9">
        <v>2515</v>
      </c>
      <c r="AB1681">
        <v>1</v>
      </c>
      <c r="AC1681" s="11">
        <v>10.006251736593498</v>
      </c>
      <c r="AD1681" s="9">
        <v>1921.5593220338983</v>
      </c>
      <c r="AE1681" s="8">
        <v>0.25436408977556108</v>
      </c>
    </row>
    <row r="1682" spans="1:31" x14ac:dyDescent="0.35">
      <c r="A1682" s="6" t="s">
        <v>1703</v>
      </c>
      <c r="B1682" s="7">
        <v>0</v>
      </c>
      <c r="C1682" s="7">
        <v>6</v>
      </c>
      <c r="D1682" s="7">
        <v>0</v>
      </c>
      <c r="E1682" s="7">
        <v>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124</v>
      </c>
      <c r="L1682">
        <v>21</v>
      </c>
      <c r="M1682">
        <v>103</v>
      </c>
      <c r="N1682">
        <v>1877.93</v>
      </c>
      <c r="O1682">
        <v>-0.25</v>
      </c>
      <c r="P1682">
        <v>0</v>
      </c>
      <c r="Q1682">
        <v>1.01</v>
      </c>
      <c r="R1682">
        <v>0</v>
      </c>
      <c r="S1682">
        <v>-28</v>
      </c>
      <c r="T1682">
        <v>1978</v>
      </c>
      <c r="U1682">
        <v>0</v>
      </c>
      <c r="V1682">
        <v>0</v>
      </c>
      <c r="W1682">
        <v>-384.09</v>
      </c>
      <c r="X1682" s="10">
        <v>0.81607694270012698</v>
      </c>
      <c r="Y1682" s="9">
        <v>2485</v>
      </c>
      <c r="Z1682" s="9">
        <v>2000</v>
      </c>
      <c r="AA1682" s="9">
        <v>2295</v>
      </c>
      <c r="AB1682">
        <v>0.60824742268041232</v>
      </c>
      <c r="AC1682" s="11">
        <v>5.965962767435399</v>
      </c>
      <c r="AD1682" s="9">
        <v>1973.7881355932204</v>
      </c>
      <c r="AE1682" s="8">
        <v>0.14463840399002495</v>
      </c>
    </row>
    <row r="1683" spans="1:31" x14ac:dyDescent="0.35">
      <c r="A1683" s="6" t="s">
        <v>1704</v>
      </c>
      <c r="B1683" s="7">
        <v>0</v>
      </c>
      <c r="C1683" s="7">
        <v>6</v>
      </c>
      <c r="D1683" s="7">
        <v>0</v>
      </c>
      <c r="E1683" s="7">
        <v>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344</v>
      </c>
      <c r="L1683">
        <v>36</v>
      </c>
      <c r="M1683">
        <v>309</v>
      </c>
      <c r="N1683">
        <v>1829.16</v>
      </c>
      <c r="O1683">
        <v>-0.09</v>
      </c>
      <c r="P1683">
        <v>0</v>
      </c>
      <c r="Q1683">
        <v>1.0900000000000001</v>
      </c>
      <c r="R1683">
        <v>0</v>
      </c>
      <c r="S1683">
        <v>-9</v>
      </c>
      <c r="T1683">
        <v>1929</v>
      </c>
      <c r="U1683">
        <v>0</v>
      </c>
      <c r="V1683">
        <v>0</v>
      </c>
      <c r="W1683">
        <v>-1086.92</v>
      </c>
      <c r="X1683" s="10">
        <v>7.019321892989655E-2</v>
      </c>
      <c r="Y1683" s="9">
        <v>2850</v>
      </c>
      <c r="Z1683" s="9">
        <v>2100</v>
      </c>
      <c r="AA1683" s="9">
        <v>2210</v>
      </c>
      <c r="AB1683">
        <v>0.14666666666666667</v>
      </c>
      <c r="AC1683" s="11">
        <v>-3.2286746318421784</v>
      </c>
      <c r="AD1683" s="9">
        <v>2644.1412429378529</v>
      </c>
      <c r="AE1683" s="8">
        <v>4.9881235154394299E-2</v>
      </c>
    </row>
    <row r="1684" spans="1:31" x14ac:dyDescent="0.35">
      <c r="A1684" s="6" t="s">
        <v>1705</v>
      </c>
      <c r="B1684" s="7">
        <v>6</v>
      </c>
      <c r="C1684" s="7">
        <v>0</v>
      </c>
      <c r="D1684" s="7">
        <v>6</v>
      </c>
      <c r="E1684" s="7">
        <v>6</v>
      </c>
      <c r="F1684">
        <v>3367</v>
      </c>
      <c r="G1684">
        <v>432</v>
      </c>
      <c r="H1684">
        <v>12.82</v>
      </c>
      <c r="I1684">
        <v>326</v>
      </c>
      <c r="J1684">
        <v>9.69</v>
      </c>
      <c r="K1684">
        <v>40474</v>
      </c>
      <c r="L1684">
        <v>36197</v>
      </c>
      <c r="M1684">
        <v>4278</v>
      </c>
      <c r="N1684">
        <v>298.07</v>
      </c>
      <c r="O1684">
        <v>7.77</v>
      </c>
      <c r="P1684">
        <v>13.66</v>
      </c>
      <c r="Q1684">
        <v>1.1100000000000001</v>
      </c>
      <c r="R1684">
        <v>1.32</v>
      </c>
      <c r="S1684">
        <v>1519</v>
      </c>
      <c r="T1684">
        <v>18672</v>
      </c>
      <c r="U1684">
        <v>15665</v>
      </c>
      <c r="V1684">
        <v>0</v>
      </c>
      <c r="W1684">
        <v>0</v>
      </c>
      <c r="X1684" s="10">
        <v>0.2469827559934189</v>
      </c>
      <c r="Y1684" s="9">
        <v>22950</v>
      </c>
      <c r="Z1684" s="9">
        <v>19950</v>
      </c>
      <c r="AA1684" s="9">
        <v>20500</v>
      </c>
      <c r="AB1684">
        <v>0.18333333333333332</v>
      </c>
      <c r="AC1684" s="11">
        <v>20.002778549597114</v>
      </c>
      <c r="AD1684" s="9">
        <v>20561.581920903955</v>
      </c>
      <c r="AE1684" s="8">
        <v>-9.6618357487922701E-3</v>
      </c>
    </row>
    <row r="1685" spans="1:31" x14ac:dyDescent="0.35">
      <c r="A1685" s="6" t="s">
        <v>1706</v>
      </c>
      <c r="B1685" s="7">
        <v>3</v>
      </c>
      <c r="C1685" s="7">
        <v>3</v>
      </c>
      <c r="D1685" s="7">
        <v>0</v>
      </c>
      <c r="E1685" s="7">
        <v>12</v>
      </c>
      <c r="F1685">
        <v>0</v>
      </c>
      <c r="G1685">
        <v>-5</v>
      </c>
      <c r="H1685">
        <v>0</v>
      </c>
      <c r="I1685">
        <v>-3</v>
      </c>
      <c r="J1685">
        <v>0</v>
      </c>
      <c r="K1685">
        <v>164</v>
      </c>
      <c r="L1685">
        <v>17</v>
      </c>
      <c r="M1685">
        <v>148</v>
      </c>
      <c r="N1685">
        <v>1813.7</v>
      </c>
      <c r="O1685">
        <v>-5.43</v>
      </c>
      <c r="P1685">
        <v>0</v>
      </c>
      <c r="Q1685">
        <v>1.35</v>
      </c>
      <c r="R1685">
        <v>0</v>
      </c>
      <c r="S1685">
        <v>-88</v>
      </c>
      <c r="T1685">
        <v>1914</v>
      </c>
      <c r="U1685">
        <v>0</v>
      </c>
      <c r="V1685">
        <v>-7</v>
      </c>
      <c r="W1685">
        <v>-30.12</v>
      </c>
      <c r="X1685" s="10">
        <v>0.10138891692301881</v>
      </c>
      <c r="Y1685" s="9">
        <v>3070</v>
      </c>
      <c r="Z1685" s="9">
        <v>2355</v>
      </c>
      <c r="AA1685" s="9">
        <v>2445</v>
      </c>
      <c r="AB1685">
        <v>0.12587412587412589</v>
      </c>
      <c r="AC1685" s="11">
        <v>-2.8216171158655183</v>
      </c>
      <c r="AD1685" s="9">
        <v>2826.0593220338983</v>
      </c>
      <c r="AE1685" s="8">
        <v>3.8216560509554139E-2</v>
      </c>
    </row>
    <row r="1686" spans="1:31" x14ac:dyDescent="0.35">
      <c r="A1686" s="6" t="s">
        <v>1707</v>
      </c>
      <c r="B1686" s="7">
        <v>3</v>
      </c>
      <c r="C1686" s="7">
        <v>9</v>
      </c>
      <c r="D1686" s="7">
        <v>2</v>
      </c>
      <c r="E1686" s="7">
        <v>4</v>
      </c>
      <c r="F1686">
        <v>149</v>
      </c>
      <c r="G1686">
        <v>23</v>
      </c>
      <c r="H1686">
        <v>15.53</v>
      </c>
      <c r="I1686">
        <v>20</v>
      </c>
      <c r="J1686">
        <v>13.7</v>
      </c>
      <c r="K1686">
        <v>207</v>
      </c>
      <c r="L1686">
        <v>26</v>
      </c>
      <c r="M1686">
        <v>181</v>
      </c>
      <c r="N1686">
        <v>201.72</v>
      </c>
      <c r="O1686">
        <v>15.35</v>
      </c>
      <c r="P1686">
        <v>11.65</v>
      </c>
      <c r="Q1686">
        <v>1.77</v>
      </c>
      <c r="R1686">
        <v>1.6</v>
      </c>
      <c r="S1686">
        <v>227</v>
      </c>
      <c r="T1686">
        <v>1496</v>
      </c>
      <c r="U1686">
        <v>1656</v>
      </c>
      <c r="V1686">
        <v>31</v>
      </c>
      <c r="W1686">
        <v>10.09</v>
      </c>
      <c r="X1686" s="10">
        <v>0.68771419032972259</v>
      </c>
      <c r="Y1686" s="9">
        <v>3850</v>
      </c>
      <c r="Z1686" s="9">
        <v>2725</v>
      </c>
      <c r="AA1686" s="9">
        <v>3640</v>
      </c>
      <c r="AB1686">
        <v>0.81333333333333335</v>
      </c>
      <c r="AC1686" s="11">
        <v>14.41289247013059</v>
      </c>
      <c r="AD1686" s="9">
        <v>2827.0734463276835</v>
      </c>
      <c r="AE1686" s="8">
        <v>0.32846715328467152</v>
      </c>
    </row>
    <row r="1687" spans="1:31" x14ac:dyDescent="0.35">
      <c r="A1687" s="6" t="s">
        <v>1708</v>
      </c>
      <c r="B1687" s="7">
        <v>14</v>
      </c>
      <c r="C1687" s="7">
        <v>3</v>
      </c>
      <c r="D1687" s="7">
        <v>1</v>
      </c>
      <c r="E1687" s="7">
        <v>0</v>
      </c>
      <c r="F1687">
        <v>2316</v>
      </c>
      <c r="G1687">
        <v>315</v>
      </c>
      <c r="H1687">
        <v>13.61</v>
      </c>
      <c r="I1687">
        <v>239</v>
      </c>
      <c r="J1687">
        <v>10.32</v>
      </c>
      <c r="K1687">
        <v>2836</v>
      </c>
      <c r="L1687">
        <v>567</v>
      </c>
      <c r="M1687">
        <v>2269</v>
      </c>
      <c r="N1687">
        <v>1294.8399999999999</v>
      </c>
      <c r="O1687">
        <v>11.04</v>
      </c>
      <c r="P1687">
        <v>10.79</v>
      </c>
      <c r="Q1687">
        <v>1.22</v>
      </c>
      <c r="R1687">
        <v>1.1100000000000001</v>
      </c>
      <c r="S1687">
        <v>744</v>
      </c>
      <c r="T1687">
        <v>6569</v>
      </c>
      <c r="U1687">
        <v>7210</v>
      </c>
      <c r="V1687">
        <v>380</v>
      </c>
      <c r="W1687">
        <v>7.05</v>
      </c>
      <c r="X1687" s="10">
        <v>0.24647748461805452</v>
      </c>
      <c r="Y1687" s="9">
        <v>8290</v>
      </c>
      <c r="Z1687" s="9">
        <v>7290</v>
      </c>
      <c r="AA1687" s="9">
        <v>7290</v>
      </c>
      <c r="AB1687">
        <v>0</v>
      </c>
      <c r="AC1687" s="11">
        <v>-5.9347040844679073</v>
      </c>
      <c r="AD1687" s="9">
        <v>7964.8418079096045</v>
      </c>
      <c r="AE1687" s="8">
        <v>-0.12062726176115803</v>
      </c>
    </row>
    <row r="1688" spans="1:31" x14ac:dyDescent="0.35">
      <c r="A1688" s="6" t="s">
        <v>1709</v>
      </c>
      <c r="B1688" s="7">
        <v>5</v>
      </c>
      <c r="C1688" s="7">
        <v>3</v>
      </c>
      <c r="D1688" s="7">
        <v>2</v>
      </c>
      <c r="E1688" s="7">
        <v>8</v>
      </c>
      <c r="F1688">
        <v>264</v>
      </c>
      <c r="G1688">
        <v>13</v>
      </c>
      <c r="H1688">
        <v>4.76</v>
      </c>
      <c r="I1688">
        <v>24</v>
      </c>
      <c r="J1688">
        <v>9.15</v>
      </c>
      <c r="K1688">
        <v>460</v>
      </c>
      <c r="L1688">
        <v>66</v>
      </c>
      <c r="M1688">
        <v>395</v>
      </c>
      <c r="N1688">
        <v>360.29</v>
      </c>
      <c r="O1688">
        <v>8.18</v>
      </c>
      <c r="P1688">
        <v>13.35</v>
      </c>
      <c r="Q1688">
        <v>1.0900000000000001</v>
      </c>
      <c r="R1688">
        <v>1.22</v>
      </c>
      <c r="S1688">
        <v>188</v>
      </c>
      <c r="T1688">
        <v>2293</v>
      </c>
      <c r="U1688">
        <v>2049</v>
      </c>
      <c r="V1688">
        <v>23</v>
      </c>
      <c r="W1688">
        <v>18.91</v>
      </c>
      <c r="X1688" s="10">
        <v>0.16800054339559323</v>
      </c>
      <c r="Y1688" s="9">
        <v>2400</v>
      </c>
      <c r="Z1688" s="9">
        <v>2060</v>
      </c>
      <c r="AA1688" s="9">
        <v>2235</v>
      </c>
      <c r="AB1688">
        <v>0.51470588235294112</v>
      </c>
      <c r="AC1688" s="11">
        <v>2.1910252848013339</v>
      </c>
      <c r="AD1688" s="9">
        <v>2127.0903954802257</v>
      </c>
      <c r="AE1688" s="8">
        <v>-1.7582417582417582E-2</v>
      </c>
    </row>
    <row r="1689" spans="1:31" x14ac:dyDescent="0.35">
      <c r="A1689" s="6" t="s">
        <v>1710</v>
      </c>
      <c r="B1689" s="7">
        <v>0</v>
      </c>
      <c r="C1689" s="7">
        <v>3</v>
      </c>
      <c r="D1689" s="7">
        <v>7</v>
      </c>
      <c r="E1689" s="7">
        <v>8</v>
      </c>
      <c r="F1689">
        <v>896</v>
      </c>
      <c r="G1689">
        <v>26</v>
      </c>
      <c r="H1689">
        <v>2.94</v>
      </c>
      <c r="I1689">
        <v>-34</v>
      </c>
      <c r="J1689">
        <v>-3.84</v>
      </c>
      <c r="K1689">
        <v>1076</v>
      </c>
      <c r="L1689">
        <v>587</v>
      </c>
      <c r="M1689">
        <v>489</v>
      </c>
      <c r="N1689">
        <v>694.38</v>
      </c>
      <c r="O1689">
        <v>-6.76</v>
      </c>
      <c r="P1689">
        <v>0</v>
      </c>
      <c r="Q1689">
        <v>0.4</v>
      </c>
      <c r="R1689">
        <v>0.21</v>
      </c>
      <c r="S1689">
        <v>-285</v>
      </c>
      <c r="T1689">
        <v>3906</v>
      </c>
      <c r="U1689">
        <v>7434</v>
      </c>
      <c r="V1689">
        <v>34</v>
      </c>
      <c r="W1689">
        <v>10.63</v>
      </c>
      <c r="X1689" s="10">
        <v>0.74420581202287228</v>
      </c>
      <c r="Y1689" s="9">
        <v>2205</v>
      </c>
      <c r="Z1689" s="9">
        <v>1530</v>
      </c>
      <c r="AA1689" s="9">
        <v>2100</v>
      </c>
      <c r="AB1689">
        <v>0.84444444444444444</v>
      </c>
      <c r="AC1689" s="11">
        <v>7.9527646568491264</v>
      </c>
      <c r="AD1689" s="9">
        <v>1521.6073446327684</v>
      </c>
      <c r="AE1689" s="8">
        <v>0.37254901960784315</v>
      </c>
    </row>
    <row r="1690" spans="1:31" x14ac:dyDescent="0.35">
      <c r="A1690" s="6" t="s">
        <v>1711</v>
      </c>
      <c r="B1690" s="7">
        <v>8</v>
      </c>
      <c r="C1690" s="7">
        <v>4</v>
      </c>
      <c r="D1690" s="7">
        <v>5</v>
      </c>
      <c r="E1690" s="7">
        <v>1</v>
      </c>
      <c r="F1690">
        <v>242</v>
      </c>
      <c r="G1690">
        <v>33</v>
      </c>
      <c r="H1690">
        <v>13.47</v>
      </c>
      <c r="I1690">
        <v>31</v>
      </c>
      <c r="J1690">
        <v>12.82</v>
      </c>
      <c r="K1690">
        <v>428</v>
      </c>
      <c r="L1690">
        <v>27</v>
      </c>
      <c r="M1690">
        <v>402</v>
      </c>
      <c r="N1690">
        <v>1586.6</v>
      </c>
      <c r="O1690">
        <v>10.65</v>
      </c>
      <c r="P1690">
        <v>17.18</v>
      </c>
      <c r="Q1690">
        <v>1.98</v>
      </c>
      <c r="R1690">
        <v>2.2000000000000002</v>
      </c>
      <c r="S1690">
        <v>873</v>
      </c>
      <c r="T1690">
        <v>7591</v>
      </c>
      <c r="U1690">
        <v>6809</v>
      </c>
      <c r="V1690">
        <v>68</v>
      </c>
      <c r="W1690">
        <v>10.73</v>
      </c>
      <c r="X1690" s="10">
        <v>0.61080629631366623</v>
      </c>
      <c r="Y1690" s="9">
        <v>16600</v>
      </c>
      <c r="Z1690" s="9">
        <v>13700</v>
      </c>
      <c r="AA1690" s="9">
        <v>16300</v>
      </c>
      <c r="AB1690">
        <v>0.89655172413793105</v>
      </c>
      <c r="AC1690" s="11">
        <v>32.732703528757995</v>
      </c>
      <c r="AD1690" s="9">
        <v>14145.819209039548</v>
      </c>
      <c r="AE1690" s="8">
        <v>0.16428571428571428</v>
      </c>
    </row>
    <row r="1691" spans="1:31" x14ac:dyDescent="0.35">
      <c r="A1691" s="6" t="s">
        <v>1712</v>
      </c>
      <c r="B1691" s="7">
        <v>3</v>
      </c>
      <c r="C1691" s="7">
        <v>11</v>
      </c>
      <c r="D1691" s="7">
        <v>1</v>
      </c>
      <c r="E1691" s="7">
        <v>3</v>
      </c>
      <c r="F1691">
        <v>206</v>
      </c>
      <c r="G1691">
        <v>11</v>
      </c>
      <c r="H1691">
        <v>5.22</v>
      </c>
      <c r="I1691">
        <v>8</v>
      </c>
      <c r="J1691">
        <v>4.05</v>
      </c>
      <c r="K1691">
        <v>661</v>
      </c>
      <c r="L1691">
        <v>186</v>
      </c>
      <c r="M1691">
        <v>475</v>
      </c>
      <c r="N1691">
        <v>575.13</v>
      </c>
      <c r="O1691">
        <v>1.78</v>
      </c>
      <c r="P1691">
        <v>38.979999999999997</v>
      </c>
      <c r="Q1691">
        <v>0.69</v>
      </c>
      <c r="R1691">
        <v>1.57</v>
      </c>
      <c r="S1691">
        <v>59</v>
      </c>
      <c r="T1691">
        <v>3342</v>
      </c>
      <c r="U1691">
        <v>1463</v>
      </c>
      <c r="V1691">
        <v>18</v>
      </c>
      <c r="W1691">
        <v>22.08</v>
      </c>
      <c r="X1691" s="10">
        <v>0.9028735339021059</v>
      </c>
      <c r="Y1691" s="9">
        <v>4735</v>
      </c>
      <c r="Z1691" s="9">
        <v>2280</v>
      </c>
      <c r="AA1691" s="9">
        <v>4650</v>
      </c>
      <c r="AB1691">
        <v>0.96537678207739308</v>
      </c>
      <c r="AC1691" s="11">
        <v>46.72631286468463</v>
      </c>
      <c r="AD1691" s="9">
        <v>1904.6807909604522</v>
      </c>
      <c r="AE1691" s="8">
        <v>0.96617336152219868</v>
      </c>
    </row>
    <row r="1692" spans="1:31" x14ac:dyDescent="0.35">
      <c r="A1692" s="6" t="s">
        <v>1713</v>
      </c>
      <c r="B1692" s="7">
        <v>1</v>
      </c>
      <c r="C1692" s="7">
        <v>2</v>
      </c>
      <c r="D1692" s="7">
        <v>8</v>
      </c>
      <c r="E1692" s="7">
        <v>7</v>
      </c>
      <c r="F1692">
        <v>266</v>
      </c>
      <c r="G1692">
        <v>-13</v>
      </c>
      <c r="H1692">
        <v>-4.84</v>
      </c>
      <c r="I1692">
        <v>-15</v>
      </c>
      <c r="J1692">
        <v>-5.5</v>
      </c>
      <c r="K1692">
        <v>1074</v>
      </c>
      <c r="L1692">
        <v>386</v>
      </c>
      <c r="M1692">
        <v>688</v>
      </c>
      <c r="N1692">
        <v>1398.66</v>
      </c>
      <c r="O1692">
        <v>-2.8</v>
      </c>
      <c r="P1692">
        <v>0</v>
      </c>
      <c r="Q1692">
        <v>0.37</v>
      </c>
      <c r="R1692">
        <v>0.67</v>
      </c>
      <c r="S1692">
        <v>-207</v>
      </c>
      <c r="T1692">
        <v>6998</v>
      </c>
      <c r="U1692">
        <v>3931</v>
      </c>
      <c r="V1692">
        <v>5</v>
      </c>
      <c r="W1692">
        <v>94.81</v>
      </c>
      <c r="X1692" s="10">
        <v>0.85338505791439401</v>
      </c>
      <c r="Y1692" s="9">
        <v>2995</v>
      </c>
      <c r="Z1692" s="9">
        <v>2005</v>
      </c>
      <c r="AA1692" s="9">
        <v>2890</v>
      </c>
      <c r="AB1692">
        <v>0.89393939393939392</v>
      </c>
      <c r="AC1692" s="11">
        <v>16.940677966101699</v>
      </c>
      <c r="AD1692" s="9">
        <v>1974.8926553672318</v>
      </c>
      <c r="AE1692" s="8">
        <v>0.43069306930693069</v>
      </c>
    </row>
    <row r="1693" spans="1:31" x14ac:dyDescent="0.35">
      <c r="A1693" s="6" t="s">
        <v>1714</v>
      </c>
      <c r="B1693" s="7">
        <v>7</v>
      </c>
      <c r="C1693" s="7">
        <v>4</v>
      </c>
      <c r="D1693" s="7">
        <v>4</v>
      </c>
      <c r="E1693" s="7">
        <v>3</v>
      </c>
      <c r="F1693">
        <v>393</v>
      </c>
      <c r="G1693">
        <v>14</v>
      </c>
      <c r="H1693">
        <v>3.44</v>
      </c>
      <c r="I1693">
        <v>12</v>
      </c>
      <c r="J1693">
        <v>3.17</v>
      </c>
      <c r="K1693">
        <v>539</v>
      </c>
      <c r="L1693">
        <v>156</v>
      </c>
      <c r="M1693">
        <v>382</v>
      </c>
      <c r="N1693">
        <v>1280.98</v>
      </c>
      <c r="O1693">
        <v>3.53</v>
      </c>
      <c r="P1693">
        <v>22.01</v>
      </c>
      <c r="Q1693">
        <v>0.85</v>
      </c>
      <c r="R1693">
        <v>0.7</v>
      </c>
      <c r="S1693">
        <v>259</v>
      </c>
      <c r="T1693">
        <v>6715</v>
      </c>
      <c r="U1693">
        <v>8164</v>
      </c>
      <c r="V1693">
        <v>37</v>
      </c>
      <c r="W1693">
        <v>8.69</v>
      </c>
      <c r="X1693" s="10">
        <v>0.42871575039671206</v>
      </c>
      <c r="Y1693" s="9">
        <v>6650</v>
      </c>
      <c r="Z1693" s="9">
        <v>5200</v>
      </c>
      <c r="AA1693" s="9">
        <v>6410</v>
      </c>
      <c r="AB1693">
        <v>0.83448275862068966</v>
      </c>
      <c r="AC1693" s="11">
        <v>12.009169213670464</v>
      </c>
      <c r="AD1693" s="9">
        <v>5666.2203389830511</v>
      </c>
      <c r="AE1693" s="8">
        <v>9.5726495726495733E-2</v>
      </c>
    </row>
    <row r="1694" spans="1:31" x14ac:dyDescent="0.35">
      <c r="A1694" s="6" t="s">
        <v>1715</v>
      </c>
      <c r="B1694" s="7">
        <v>9</v>
      </c>
      <c r="C1694" s="7">
        <v>5</v>
      </c>
      <c r="D1694" s="7">
        <v>2</v>
      </c>
      <c r="E1694" s="7">
        <v>2</v>
      </c>
      <c r="F1694">
        <v>347</v>
      </c>
      <c r="G1694">
        <v>26</v>
      </c>
      <c r="H1694">
        <v>7.62</v>
      </c>
      <c r="I1694">
        <v>25</v>
      </c>
      <c r="J1694">
        <v>7.08</v>
      </c>
      <c r="K1694">
        <v>359</v>
      </c>
      <c r="L1694">
        <v>80</v>
      </c>
      <c r="M1694">
        <v>279</v>
      </c>
      <c r="N1694">
        <v>149.91</v>
      </c>
      <c r="O1694">
        <v>9.02</v>
      </c>
      <c r="P1694">
        <v>23.08</v>
      </c>
      <c r="Q1694">
        <v>2.25</v>
      </c>
      <c r="R1694">
        <v>1.64</v>
      </c>
      <c r="S1694">
        <v>107</v>
      </c>
      <c r="T1694">
        <v>1100</v>
      </c>
      <c r="U1694">
        <v>1506</v>
      </c>
      <c r="V1694">
        <v>50</v>
      </c>
      <c r="W1694">
        <v>12.03</v>
      </c>
      <c r="X1694" s="10">
        <v>6.6655737576497487E-3</v>
      </c>
      <c r="Y1694" s="9">
        <v>2985</v>
      </c>
      <c r="Z1694" s="9">
        <v>2385</v>
      </c>
      <c r="AA1694" s="9">
        <v>2695</v>
      </c>
      <c r="AB1694">
        <v>0.51666666666666672</v>
      </c>
      <c r="AC1694" s="11">
        <v>-0.57613225896082243</v>
      </c>
      <c r="AD1694" s="9">
        <v>2765.6553672316386</v>
      </c>
      <c r="AE1694" s="8">
        <v>0.12997903563941299</v>
      </c>
    </row>
    <row r="1695" spans="1:31" x14ac:dyDescent="0.35">
      <c r="A1695" s="6" t="s">
        <v>1716</v>
      </c>
      <c r="B1695" s="7">
        <v>3</v>
      </c>
      <c r="C1695" s="7">
        <v>0</v>
      </c>
      <c r="D1695" s="7">
        <v>13</v>
      </c>
      <c r="E1695" s="7">
        <v>2</v>
      </c>
      <c r="F1695">
        <v>149</v>
      </c>
      <c r="G1695">
        <v>-75</v>
      </c>
      <c r="H1695">
        <v>-50.39</v>
      </c>
      <c r="I1695">
        <v>-177</v>
      </c>
      <c r="J1695">
        <v>-118.9</v>
      </c>
      <c r="K1695">
        <v>508</v>
      </c>
      <c r="L1695">
        <v>411</v>
      </c>
      <c r="M1695">
        <v>97</v>
      </c>
      <c r="N1695">
        <v>-47.08</v>
      </c>
      <c r="O1695">
        <v>-144.59</v>
      </c>
      <c r="P1695">
        <v>0</v>
      </c>
      <c r="Q1695">
        <v>2.0299999999999998</v>
      </c>
      <c r="R1695">
        <v>0.87</v>
      </c>
      <c r="S1695">
        <v>-557</v>
      </c>
      <c r="T1695">
        <v>200</v>
      </c>
      <c r="U1695">
        <v>469</v>
      </c>
      <c r="V1695">
        <v>-63</v>
      </c>
      <c r="W1695">
        <v>-7.94</v>
      </c>
      <c r="X1695" s="10">
        <v>0.61490108395417642</v>
      </c>
      <c r="Y1695" s="9">
        <v>975</v>
      </c>
      <c r="Z1695" s="9">
        <v>241</v>
      </c>
      <c r="AA1695" s="9">
        <v>889</v>
      </c>
      <c r="AB1695">
        <v>0.8828337874659401</v>
      </c>
      <c r="AC1695" s="11">
        <v>9.7301472631286483</v>
      </c>
      <c r="AD1695" s="9">
        <v>222.86384180790958</v>
      </c>
      <c r="AE1695" s="8">
        <v>1.4027027027027028</v>
      </c>
    </row>
    <row r="1696" spans="1:31" x14ac:dyDescent="0.35">
      <c r="A1696" s="6" t="s">
        <v>1717</v>
      </c>
      <c r="B1696" s="7">
        <v>6</v>
      </c>
      <c r="C1696" s="7">
        <v>5</v>
      </c>
      <c r="D1696" s="7">
        <v>7</v>
      </c>
      <c r="E1696" s="7">
        <v>0</v>
      </c>
      <c r="F1696">
        <v>801</v>
      </c>
      <c r="G1696">
        <v>20</v>
      </c>
      <c r="H1696">
        <v>2.4500000000000002</v>
      </c>
      <c r="I1696">
        <v>19</v>
      </c>
      <c r="J1696">
        <v>2.3199999999999998</v>
      </c>
      <c r="K1696">
        <v>776</v>
      </c>
      <c r="L1696">
        <v>212</v>
      </c>
      <c r="M1696">
        <v>564</v>
      </c>
      <c r="N1696">
        <v>1111.73</v>
      </c>
      <c r="O1696">
        <v>3.33</v>
      </c>
      <c r="P1696">
        <v>17.2</v>
      </c>
      <c r="Q1696">
        <v>0.63</v>
      </c>
      <c r="R1696">
        <v>0.4</v>
      </c>
      <c r="S1696">
        <v>207</v>
      </c>
      <c r="T1696">
        <v>5682</v>
      </c>
      <c r="U1696">
        <v>8932</v>
      </c>
      <c r="V1696">
        <v>40</v>
      </c>
      <c r="W1696">
        <v>8.76</v>
      </c>
      <c r="X1696" s="10">
        <v>0.82115932965265059</v>
      </c>
      <c r="Y1696" s="9">
        <v>4550</v>
      </c>
      <c r="Z1696" s="9">
        <v>3560</v>
      </c>
      <c r="AA1696" s="9">
        <v>4200</v>
      </c>
      <c r="AB1696">
        <v>0.64646464646464652</v>
      </c>
      <c r="AC1696" s="11">
        <v>12.460127813281467</v>
      </c>
      <c r="AD1696" s="9">
        <v>3657.4661016949153</v>
      </c>
      <c r="AE1696" s="8">
        <v>0.16343490304709141</v>
      </c>
    </row>
    <row r="1697" spans="1:31" x14ac:dyDescent="0.35">
      <c r="A1697" s="6" t="s">
        <v>1718</v>
      </c>
      <c r="B1697" s="7">
        <v>1</v>
      </c>
      <c r="C1697" s="7">
        <v>3</v>
      </c>
      <c r="D1697" s="7">
        <v>7</v>
      </c>
      <c r="E1697" s="7">
        <v>7</v>
      </c>
      <c r="F1697">
        <v>2028</v>
      </c>
      <c r="G1697">
        <v>-160</v>
      </c>
      <c r="H1697">
        <v>-7.91</v>
      </c>
      <c r="I1697">
        <v>-130</v>
      </c>
      <c r="J1697">
        <v>-6.43</v>
      </c>
      <c r="K1697">
        <v>2439</v>
      </c>
      <c r="L1697">
        <v>1733</v>
      </c>
      <c r="M1697">
        <v>706</v>
      </c>
      <c r="N1697">
        <v>963.18</v>
      </c>
      <c r="O1697">
        <v>-17.600000000000001</v>
      </c>
      <c r="P1697">
        <v>0</v>
      </c>
      <c r="Q1697">
        <v>4.53</v>
      </c>
      <c r="R1697">
        <v>1.08</v>
      </c>
      <c r="S1697">
        <v>-931</v>
      </c>
      <c r="T1697">
        <v>3463</v>
      </c>
      <c r="U1697">
        <v>14480</v>
      </c>
      <c r="V1697">
        <v>-42</v>
      </c>
      <c r="W1697">
        <v>-88.1</v>
      </c>
      <c r="X1697" s="10">
        <v>0.20769611810729238</v>
      </c>
      <c r="Y1697" s="9">
        <v>18150</v>
      </c>
      <c r="Z1697" s="9">
        <v>14150</v>
      </c>
      <c r="AA1697" s="9">
        <v>14150</v>
      </c>
      <c r="AB1697">
        <v>0</v>
      </c>
      <c r="AC1697" s="11">
        <v>-24.861072520144486</v>
      </c>
      <c r="AD1697" s="9">
        <v>17169.096045197737</v>
      </c>
      <c r="AE1697" s="8">
        <v>-9.5846645367412137E-2</v>
      </c>
    </row>
    <row r="1698" spans="1:31" x14ac:dyDescent="0.35">
      <c r="A1698" s="6" t="s">
        <v>1719</v>
      </c>
      <c r="B1698" s="7">
        <v>1</v>
      </c>
      <c r="C1698" s="7">
        <v>12</v>
      </c>
      <c r="D1698" s="7">
        <v>2</v>
      </c>
      <c r="E1698" s="7">
        <v>3</v>
      </c>
      <c r="F1698">
        <v>35</v>
      </c>
      <c r="G1698">
        <v>-11</v>
      </c>
      <c r="H1698">
        <v>-30.43</v>
      </c>
      <c r="I1698">
        <v>19</v>
      </c>
      <c r="J1698">
        <v>55.25</v>
      </c>
      <c r="K1698">
        <v>130</v>
      </c>
      <c r="L1698">
        <v>53</v>
      </c>
      <c r="M1698">
        <v>77</v>
      </c>
      <c r="N1698">
        <v>33.71</v>
      </c>
      <c r="O1698">
        <v>25</v>
      </c>
      <c r="P1698">
        <v>2.58</v>
      </c>
      <c r="Q1698">
        <v>0.65</v>
      </c>
      <c r="R1698">
        <v>1.42</v>
      </c>
      <c r="S1698">
        <v>151</v>
      </c>
      <c r="T1698">
        <v>597</v>
      </c>
      <c r="U1698">
        <v>274</v>
      </c>
      <c r="V1698">
        <v>-10</v>
      </c>
      <c r="W1698">
        <v>-9.89</v>
      </c>
      <c r="X1698" s="10">
        <v>0.55559249220941609</v>
      </c>
      <c r="Y1698" s="9">
        <v>1660</v>
      </c>
      <c r="Z1698" s="9">
        <v>389</v>
      </c>
      <c r="AA1698" s="9">
        <v>1245</v>
      </c>
      <c r="AB1698">
        <v>0.67348544453186465</v>
      </c>
      <c r="AC1698" s="11">
        <v>11.198055015282021</v>
      </c>
      <c r="AD1698" s="9">
        <v>520.82598870056495</v>
      </c>
      <c r="AE1698" s="8">
        <v>2.2005141388174807</v>
      </c>
    </row>
    <row r="1699" spans="1:31" x14ac:dyDescent="0.35">
      <c r="A1699" s="6" t="s">
        <v>1720</v>
      </c>
      <c r="B1699" s="7">
        <v>9</v>
      </c>
      <c r="C1699" s="7">
        <v>2</v>
      </c>
      <c r="D1699" s="7">
        <v>5</v>
      </c>
      <c r="E1699" s="7">
        <v>2</v>
      </c>
      <c r="F1699">
        <v>95</v>
      </c>
      <c r="G1699">
        <v>67</v>
      </c>
      <c r="H1699">
        <v>70.680000000000007</v>
      </c>
      <c r="I1699">
        <v>37</v>
      </c>
      <c r="J1699">
        <v>39.24</v>
      </c>
      <c r="K1699">
        <v>1085</v>
      </c>
      <c r="L1699">
        <v>683</v>
      </c>
      <c r="M1699">
        <v>401</v>
      </c>
      <c r="N1699">
        <v>48.01</v>
      </c>
      <c r="O1699">
        <v>10.46</v>
      </c>
      <c r="P1699">
        <v>6.8</v>
      </c>
      <c r="Q1699">
        <v>0.64</v>
      </c>
      <c r="R1699">
        <v>0</v>
      </c>
      <c r="S1699">
        <v>689</v>
      </c>
      <c r="T1699">
        <v>7376</v>
      </c>
      <c r="U1699">
        <v>0</v>
      </c>
      <c r="V1699">
        <v>68</v>
      </c>
      <c r="W1699">
        <v>10.37</v>
      </c>
      <c r="X1699" s="10">
        <v>0.64972021549922598</v>
      </c>
      <c r="Y1699" s="9">
        <v>4955</v>
      </c>
      <c r="Z1699" s="9">
        <v>4500</v>
      </c>
      <c r="AA1699" s="9">
        <v>4910</v>
      </c>
      <c r="AB1699">
        <v>0.90109890109890112</v>
      </c>
      <c r="AC1699" s="11">
        <v>7.3155043067518752</v>
      </c>
      <c r="AD1699" s="9">
        <v>4528.4604519774011</v>
      </c>
      <c r="AE1699" s="8">
        <v>6.1621621621621624E-2</v>
      </c>
    </row>
    <row r="1700" spans="1:31" x14ac:dyDescent="0.35">
      <c r="A1700" s="6" t="s">
        <v>1721</v>
      </c>
      <c r="B1700" s="7">
        <v>0</v>
      </c>
      <c r="C1700" s="7">
        <v>9</v>
      </c>
      <c r="D1700" s="7">
        <v>5</v>
      </c>
      <c r="E1700" s="7">
        <v>4</v>
      </c>
      <c r="F1700">
        <v>201</v>
      </c>
      <c r="G1700">
        <v>7</v>
      </c>
      <c r="H1700">
        <v>3.33</v>
      </c>
      <c r="I1700">
        <v>5</v>
      </c>
      <c r="J1700">
        <v>2.6</v>
      </c>
      <c r="K1700">
        <v>347</v>
      </c>
      <c r="L1700">
        <v>168</v>
      </c>
      <c r="M1700">
        <v>179</v>
      </c>
      <c r="N1700">
        <v>942.1</v>
      </c>
      <c r="O1700">
        <v>2.88</v>
      </c>
      <c r="P1700">
        <v>26.25</v>
      </c>
      <c r="Q1700">
        <v>0.92</v>
      </c>
      <c r="R1700">
        <v>0.68</v>
      </c>
      <c r="S1700">
        <v>148</v>
      </c>
      <c r="T1700">
        <v>4213</v>
      </c>
      <c r="U1700">
        <v>5702</v>
      </c>
      <c r="V1700">
        <v>28</v>
      </c>
      <c r="W1700">
        <v>8.91</v>
      </c>
      <c r="X1700" s="10">
        <v>0.4384524787888282</v>
      </c>
      <c r="Y1700" s="9">
        <v>7000</v>
      </c>
      <c r="Z1700" s="9">
        <v>3885</v>
      </c>
      <c r="AA1700" s="9">
        <v>5060</v>
      </c>
      <c r="AB1700">
        <v>0.37720706260032105</v>
      </c>
      <c r="AC1700" s="11">
        <v>33.189497082522927</v>
      </c>
      <c r="AD1700" s="9">
        <v>3987.7203389830506</v>
      </c>
      <c r="AE1700" s="8">
        <v>0.29743589743589743</v>
      </c>
    </row>
    <row r="1701" spans="1:31" x14ac:dyDescent="0.35">
      <c r="A1701" s="6" t="s">
        <v>1722</v>
      </c>
      <c r="B1701" s="7">
        <v>0</v>
      </c>
      <c r="C1701" s="7">
        <v>0</v>
      </c>
      <c r="D1701" s="7">
        <v>0</v>
      </c>
      <c r="E1701" s="7">
        <v>18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 s="10">
        <v>0.58337876938612421</v>
      </c>
      <c r="Y1701" s="9">
        <v>2485</v>
      </c>
      <c r="Z1701" s="9">
        <v>2050</v>
      </c>
      <c r="AA1701" s="9">
        <v>2280</v>
      </c>
      <c r="AB1701">
        <v>0.52873563218390807</v>
      </c>
      <c r="AC1701" s="11">
        <v>5.0252848013337044</v>
      </c>
      <c r="AD1701" s="9">
        <v>2127.3954802259886</v>
      </c>
      <c r="AE1701" s="8">
        <v>0.10948905109489052</v>
      </c>
    </row>
    <row r="1702" spans="1:31" x14ac:dyDescent="0.35">
      <c r="A1702" s="6" t="s">
        <v>1723</v>
      </c>
      <c r="B1702" s="7">
        <v>3</v>
      </c>
      <c r="C1702" s="7">
        <v>2</v>
      </c>
      <c r="D1702" s="7">
        <v>6</v>
      </c>
      <c r="E1702" s="7">
        <v>7</v>
      </c>
      <c r="F1702">
        <v>4507</v>
      </c>
      <c r="G1702">
        <v>81</v>
      </c>
      <c r="H1702">
        <v>1.79</v>
      </c>
      <c r="I1702">
        <v>94</v>
      </c>
      <c r="J1702">
        <v>2.09</v>
      </c>
      <c r="K1702">
        <v>2162</v>
      </c>
      <c r="L1702">
        <v>683</v>
      </c>
      <c r="M1702">
        <v>1480</v>
      </c>
      <c r="N1702">
        <v>750.38</v>
      </c>
      <c r="O1702">
        <v>6.73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 s="10">
        <v>6.1661534306948597E-3</v>
      </c>
      <c r="Y1702" s="9">
        <v>3860</v>
      </c>
      <c r="Z1702" s="9">
        <v>3215</v>
      </c>
      <c r="AA1702" s="9">
        <v>3860</v>
      </c>
      <c r="AB1702">
        <v>1</v>
      </c>
      <c r="AC1702" s="11">
        <v>0.72409002500694641</v>
      </c>
      <c r="AD1702" s="9">
        <v>3500.9152542372881</v>
      </c>
      <c r="AE1702" s="8">
        <v>9.1937765205091934E-2</v>
      </c>
    </row>
    <row r="1703" spans="1:31" x14ac:dyDescent="0.35">
      <c r="A1703" s="6" t="s">
        <v>1724</v>
      </c>
      <c r="B1703" s="7">
        <v>0</v>
      </c>
      <c r="C1703" s="7">
        <v>0</v>
      </c>
      <c r="D1703" s="7">
        <v>6</v>
      </c>
      <c r="E1703" s="7">
        <v>12</v>
      </c>
      <c r="F1703">
        <v>2796</v>
      </c>
      <c r="G1703">
        <v>121</v>
      </c>
      <c r="H1703">
        <v>4.33</v>
      </c>
      <c r="I1703">
        <v>-150</v>
      </c>
      <c r="J1703">
        <v>-5.36</v>
      </c>
      <c r="K1703">
        <v>3331</v>
      </c>
      <c r="L1703">
        <v>1882</v>
      </c>
      <c r="M1703">
        <v>1449</v>
      </c>
      <c r="N1703">
        <v>1865.64</v>
      </c>
      <c r="O1703">
        <v>-9.77</v>
      </c>
      <c r="P1703">
        <v>0</v>
      </c>
      <c r="Q1703">
        <v>0.38</v>
      </c>
      <c r="R1703">
        <v>0.19</v>
      </c>
      <c r="S1703">
        <v>-1028</v>
      </c>
      <c r="T1703">
        <v>9572</v>
      </c>
      <c r="U1703">
        <v>19174</v>
      </c>
      <c r="V1703">
        <v>195</v>
      </c>
      <c r="W1703">
        <v>7.81</v>
      </c>
      <c r="X1703" s="10">
        <v>0.7139319165640643</v>
      </c>
      <c r="Y1703" s="9">
        <v>5200</v>
      </c>
      <c r="Z1703" s="9">
        <v>3535</v>
      </c>
      <c r="AA1703" s="9">
        <v>4765</v>
      </c>
      <c r="AB1703">
        <v>0.73873873873873874</v>
      </c>
      <c r="AC1703" s="11">
        <v>21.906640733537095</v>
      </c>
      <c r="AD1703" s="9">
        <v>3452.3474576271187</v>
      </c>
      <c r="AE1703" s="8">
        <v>0.34794908062234797</v>
      </c>
    </row>
    <row r="1704" spans="1:31" x14ac:dyDescent="0.35">
      <c r="A1704" s="6" t="s">
        <v>1725</v>
      </c>
      <c r="B1704" s="7">
        <v>5</v>
      </c>
      <c r="C1704" s="7">
        <v>12</v>
      </c>
      <c r="D1704" s="7">
        <v>1</v>
      </c>
      <c r="E1704" s="7">
        <v>0</v>
      </c>
      <c r="F1704">
        <v>400</v>
      </c>
      <c r="G1704">
        <v>29</v>
      </c>
      <c r="H1704">
        <v>7.2</v>
      </c>
      <c r="I1704">
        <v>38</v>
      </c>
      <c r="J1704">
        <v>9.57</v>
      </c>
      <c r="K1704">
        <v>502</v>
      </c>
      <c r="L1704">
        <v>432</v>
      </c>
      <c r="M1704">
        <v>70</v>
      </c>
      <c r="N1704">
        <v>75.84</v>
      </c>
      <c r="O1704">
        <v>80.319999999999993</v>
      </c>
      <c r="P1704">
        <v>3.69</v>
      </c>
      <c r="Q1704">
        <v>2.2999999999999998</v>
      </c>
      <c r="R1704">
        <v>0.35</v>
      </c>
      <c r="S1704">
        <v>521</v>
      </c>
      <c r="T1704">
        <v>833</v>
      </c>
      <c r="U1704">
        <v>5437</v>
      </c>
      <c r="V1704">
        <v>43</v>
      </c>
      <c r="W1704">
        <v>6.65</v>
      </c>
      <c r="X1704" s="10">
        <v>0.76129254429251814</v>
      </c>
      <c r="Y1704" s="9">
        <v>6490</v>
      </c>
      <c r="Z1704" s="9">
        <v>1810</v>
      </c>
      <c r="AA1704" s="9">
        <v>5750</v>
      </c>
      <c r="AB1704">
        <v>0.84188034188034189</v>
      </c>
      <c r="AC1704" s="11">
        <v>84.604612392331219</v>
      </c>
      <c r="AD1704" s="9">
        <v>593.89265536723133</v>
      </c>
      <c r="AE1704" s="8">
        <v>1.9487179487179487</v>
      </c>
    </row>
    <row r="1705" spans="1:31" x14ac:dyDescent="0.35">
      <c r="A1705" s="6" t="s">
        <v>1726</v>
      </c>
      <c r="B1705" s="7">
        <v>9</v>
      </c>
      <c r="C1705" s="7">
        <v>3</v>
      </c>
      <c r="D1705" s="7">
        <v>4</v>
      </c>
      <c r="E1705" s="7">
        <v>2</v>
      </c>
      <c r="F1705">
        <v>123</v>
      </c>
      <c r="G1705">
        <v>9</v>
      </c>
      <c r="H1705">
        <v>7.27</v>
      </c>
      <c r="I1705">
        <v>18</v>
      </c>
      <c r="J1705">
        <v>14.36</v>
      </c>
      <c r="K1705">
        <v>558</v>
      </c>
      <c r="L1705">
        <v>337</v>
      </c>
      <c r="M1705">
        <v>221</v>
      </c>
      <c r="N1705">
        <v>774.33</v>
      </c>
      <c r="O1705">
        <v>10.65</v>
      </c>
      <c r="P1705">
        <v>6.14</v>
      </c>
      <c r="Q1705">
        <v>0.65</v>
      </c>
      <c r="R1705">
        <v>0.88</v>
      </c>
      <c r="S1705">
        <v>464</v>
      </c>
      <c r="T1705">
        <v>4372</v>
      </c>
      <c r="U1705">
        <v>3229</v>
      </c>
      <c r="V1705">
        <v>17</v>
      </c>
      <c r="W1705">
        <v>22.1</v>
      </c>
      <c r="X1705" s="10">
        <v>0.55347937195964059</v>
      </c>
      <c r="Y1705" s="9">
        <v>5580</v>
      </c>
      <c r="Z1705" s="9">
        <v>2525</v>
      </c>
      <c r="AA1705" s="9">
        <v>5580</v>
      </c>
      <c r="AB1705">
        <v>1</v>
      </c>
      <c r="AC1705" s="11">
        <v>28.839955543206443</v>
      </c>
      <c r="AD1705" s="9">
        <v>3083.5480225988699</v>
      </c>
      <c r="AE1705" s="8">
        <v>1.1586073500967118</v>
      </c>
    </row>
    <row r="1706" spans="1:31" x14ac:dyDescent="0.35">
      <c r="A1706" s="6" t="s">
        <v>1727</v>
      </c>
      <c r="B1706" s="7">
        <v>3</v>
      </c>
      <c r="C1706" s="7">
        <v>0</v>
      </c>
      <c r="D1706" s="7">
        <v>15</v>
      </c>
      <c r="E1706" s="7">
        <v>0</v>
      </c>
      <c r="F1706">
        <v>1949</v>
      </c>
      <c r="G1706">
        <v>-4</v>
      </c>
      <c r="H1706">
        <v>-0.19</v>
      </c>
      <c r="I1706">
        <v>-11</v>
      </c>
      <c r="J1706">
        <v>-0.59</v>
      </c>
      <c r="K1706">
        <v>2177</v>
      </c>
      <c r="L1706">
        <v>1229</v>
      </c>
      <c r="M1706">
        <v>947</v>
      </c>
      <c r="N1706">
        <v>2176.84</v>
      </c>
      <c r="O1706">
        <v>-1.58</v>
      </c>
      <c r="P1706">
        <v>0</v>
      </c>
      <c r="Q1706">
        <v>0.85</v>
      </c>
      <c r="R1706">
        <v>0.28999999999999998</v>
      </c>
      <c r="S1706">
        <v>-181</v>
      </c>
      <c r="T1706">
        <v>10370</v>
      </c>
      <c r="U1706">
        <v>30733</v>
      </c>
      <c r="V1706">
        <v>108</v>
      </c>
      <c r="W1706">
        <v>15.54</v>
      </c>
      <c r="X1706" s="10">
        <v>0.66811354052882987</v>
      </c>
      <c r="Y1706" s="9">
        <v>13750</v>
      </c>
      <c r="Z1706" s="9">
        <v>9050</v>
      </c>
      <c r="AA1706" s="9">
        <v>11300</v>
      </c>
      <c r="AB1706">
        <v>0.47872340425531917</v>
      </c>
      <c r="AC1706" s="11">
        <v>65.366212836899123</v>
      </c>
      <c r="AD1706" s="9">
        <v>9533.4971751412431</v>
      </c>
      <c r="AE1706" s="8">
        <v>0.22559652928416485</v>
      </c>
    </row>
    <row r="1707" spans="1:31" x14ac:dyDescent="0.35">
      <c r="A1707" s="6" t="s">
        <v>1728</v>
      </c>
      <c r="B1707" s="7">
        <v>11</v>
      </c>
      <c r="C1707" s="7">
        <v>0</v>
      </c>
      <c r="D1707" s="7">
        <v>4</v>
      </c>
      <c r="E1707" s="7">
        <v>3</v>
      </c>
      <c r="F1707">
        <v>1487</v>
      </c>
      <c r="G1707">
        <v>206</v>
      </c>
      <c r="H1707">
        <v>13.83</v>
      </c>
      <c r="I1707">
        <v>174</v>
      </c>
      <c r="J1707">
        <v>11.69</v>
      </c>
      <c r="K1707">
        <v>2404</v>
      </c>
      <c r="L1707">
        <v>816</v>
      </c>
      <c r="M1707">
        <v>1587</v>
      </c>
      <c r="N1707">
        <v>2583.29</v>
      </c>
      <c r="O1707">
        <v>16.23</v>
      </c>
      <c r="P1707">
        <v>19.95</v>
      </c>
      <c r="Q1707">
        <v>3.44</v>
      </c>
      <c r="R1707">
        <v>2.33</v>
      </c>
      <c r="S1707">
        <v>1955</v>
      </c>
      <c r="T1707">
        <v>11348</v>
      </c>
      <c r="U1707">
        <v>16724</v>
      </c>
      <c r="V1707">
        <v>334</v>
      </c>
      <c r="W1707">
        <v>14.01</v>
      </c>
      <c r="X1707" s="10">
        <v>0.75722349126352695</v>
      </c>
      <c r="Y1707" s="9">
        <v>36650</v>
      </c>
      <c r="Z1707" s="9">
        <v>28450</v>
      </c>
      <c r="AA1707" s="9">
        <v>29950</v>
      </c>
      <c r="AB1707">
        <v>0.18292682926829268</v>
      </c>
      <c r="AC1707" s="11">
        <v>-120.30702973048066</v>
      </c>
      <c r="AD1707" s="9">
        <v>35948.531073446327</v>
      </c>
      <c r="AE1707" s="8">
        <v>-0.1006006006006006</v>
      </c>
    </row>
    <row r="1708" spans="1:31" x14ac:dyDescent="0.35">
      <c r="A1708" s="6" t="s">
        <v>1729</v>
      </c>
      <c r="B1708" s="7">
        <v>0</v>
      </c>
      <c r="C1708" s="7">
        <v>2</v>
      </c>
      <c r="D1708" s="7">
        <v>3</v>
      </c>
      <c r="E1708" s="7">
        <v>13</v>
      </c>
      <c r="F1708">
        <v>346</v>
      </c>
      <c r="G1708">
        <v>-58</v>
      </c>
      <c r="H1708">
        <v>-16.82</v>
      </c>
      <c r="I1708">
        <v>-182</v>
      </c>
      <c r="J1708">
        <v>-52.66</v>
      </c>
      <c r="K1708">
        <v>303</v>
      </c>
      <c r="L1708">
        <v>183</v>
      </c>
      <c r="M1708">
        <v>120</v>
      </c>
      <c r="N1708">
        <v>-39.950000000000003</v>
      </c>
      <c r="O1708">
        <v>-105.82</v>
      </c>
      <c r="P1708">
        <v>0</v>
      </c>
      <c r="Q1708">
        <v>3.3</v>
      </c>
      <c r="R1708">
        <v>0.42</v>
      </c>
      <c r="S1708">
        <v>-601</v>
      </c>
      <c r="T1708">
        <v>146</v>
      </c>
      <c r="U1708">
        <v>1142</v>
      </c>
      <c r="V1708">
        <v>-42</v>
      </c>
      <c r="W1708">
        <v>-4.59</v>
      </c>
      <c r="X1708" s="10">
        <v>0.5417528829102527</v>
      </c>
      <c r="Y1708" s="9">
        <v>644</v>
      </c>
      <c r="Z1708" s="9">
        <v>295</v>
      </c>
      <c r="AA1708" s="9">
        <v>308</v>
      </c>
      <c r="AB1708">
        <v>3.7249283667621778E-2</v>
      </c>
      <c r="AC1708" s="11">
        <v>-4.4661294804112242</v>
      </c>
      <c r="AD1708" s="9">
        <v>620.48361581920904</v>
      </c>
      <c r="AE1708" s="8">
        <v>-0.36231884057971014</v>
      </c>
    </row>
    <row r="1709" spans="1:31" x14ac:dyDescent="0.35">
      <c r="A1709" s="6" t="s">
        <v>1730</v>
      </c>
      <c r="B1709" s="7">
        <v>10</v>
      </c>
      <c r="C1709" s="7">
        <v>1</v>
      </c>
      <c r="D1709" s="7">
        <v>4</v>
      </c>
      <c r="E1709" s="7">
        <v>3</v>
      </c>
      <c r="F1709">
        <v>2344</v>
      </c>
      <c r="G1709">
        <v>161</v>
      </c>
      <c r="H1709">
        <v>6.87</v>
      </c>
      <c r="I1709">
        <v>51</v>
      </c>
      <c r="J1709">
        <v>2.1800000000000002</v>
      </c>
      <c r="K1709">
        <v>2654</v>
      </c>
      <c r="L1709">
        <v>1945</v>
      </c>
      <c r="M1709">
        <v>709</v>
      </c>
      <c r="N1709">
        <v>413.2</v>
      </c>
      <c r="O1709">
        <v>7.74</v>
      </c>
      <c r="P1709">
        <v>12.17</v>
      </c>
      <c r="Q1709">
        <v>0.94</v>
      </c>
      <c r="R1709">
        <v>0.27</v>
      </c>
      <c r="S1709">
        <v>187</v>
      </c>
      <c r="T1709">
        <v>2432</v>
      </c>
      <c r="U1709">
        <v>8567</v>
      </c>
      <c r="V1709">
        <v>342</v>
      </c>
      <c r="W1709">
        <v>6.29</v>
      </c>
      <c r="X1709" s="10">
        <v>0.33094717690151521</v>
      </c>
      <c r="Y1709" s="9">
        <v>2655</v>
      </c>
      <c r="Z1709" s="9">
        <v>2210</v>
      </c>
      <c r="AA1709" s="9">
        <v>2425</v>
      </c>
      <c r="AB1709">
        <v>0.48314606741573035</v>
      </c>
      <c r="AC1709" s="11">
        <v>3.6961656015559878</v>
      </c>
      <c r="AD1709" s="9">
        <v>2310.5169491525426</v>
      </c>
      <c r="AE1709" s="8">
        <v>7.0640176600441501E-2</v>
      </c>
    </row>
    <row r="1710" spans="1:31" x14ac:dyDescent="0.35">
      <c r="A1710" s="6" t="s">
        <v>1731</v>
      </c>
      <c r="B1710" s="7">
        <v>3</v>
      </c>
      <c r="C1710" s="7">
        <v>3</v>
      </c>
      <c r="D1710" s="7">
        <v>0</v>
      </c>
      <c r="E1710" s="7">
        <v>12</v>
      </c>
      <c r="F1710">
        <v>783</v>
      </c>
      <c r="G1710">
        <v>-115</v>
      </c>
      <c r="H1710">
        <v>-14.73</v>
      </c>
      <c r="I1710">
        <v>-124</v>
      </c>
      <c r="J1710">
        <v>-15.84</v>
      </c>
      <c r="K1710">
        <v>1164</v>
      </c>
      <c r="L1710">
        <v>919</v>
      </c>
      <c r="M1710">
        <v>245</v>
      </c>
      <c r="N1710">
        <v>-3.56</v>
      </c>
      <c r="O1710">
        <v>-53.93</v>
      </c>
      <c r="P1710">
        <v>0</v>
      </c>
      <c r="Q1710">
        <v>1.5</v>
      </c>
      <c r="R1710">
        <v>0.35</v>
      </c>
      <c r="S1710">
        <v>-325</v>
      </c>
      <c r="T1710">
        <v>478</v>
      </c>
      <c r="U1710">
        <v>2057</v>
      </c>
      <c r="V1710">
        <v>-115</v>
      </c>
      <c r="W1710">
        <v>-5.86</v>
      </c>
      <c r="X1710" s="10">
        <v>0.74945979329238821</v>
      </c>
      <c r="Y1710" s="9">
        <v>656</v>
      </c>
      <c r="Z1710" s="9">
        <v>509</v>
      </c>
      <c r="AA1710" s="9">
        <v>509</v>
      </c>
      <c r="AB1710">
        <v>0</v>
      </c>
      <c r="AC1710" s="11">
        <v>-2.1989163656571273</v>
      </c>
      <c r="AD1710" s="9">
        <v>620.38361581920913</v>
      </c>
      <c r="AE1710" s="8">
        <v>-0.22408536585365854</v>
      </c>
    </row>
    <row r="1711" spans="1:31" x14ac:dyDescent="0.35">
      <c r="A1711" s="6" t="s">
        <v>1732</v>
      </c>
      <c r="B1711" s="7">
        <v>4</v>
      </c>
      <c r="C1711" s="7">
        <v>0</v>
      </c>
      <c r="D1711" s="7">
        <v>14</v>
      </c>
      <c r="E1711" s="7">
        <v>0</v>
      </c>
      <c r="F1711">
        <v>132</v>
      </c>
      <c r="G1711">
        <v>2</v>
      </c>
      <c r="H1711">
        <v>1.38</v>
      </c>
      <c r="I1711">
        <v>-4</v>
      </c>
      <c r="J1711">
        <v>-2.88</v>
      </c>
      <c r="K1711">
        <v>498</v>
      </c>
      <c r="L1711">
        <v>145</v>
      </c>
      <c r="M1711">
        <v>352</v>
      </c>
      <c r="N1711">
        <v>519.71</v>
      </c>
      <c r="O1711">
        <v>-1.54</v>
      </c>
      <c r="P1711">
        <v>0</v>
      </c>
      <c r="Q1711">
        <v>1.43</v>
      </c>
      <c r="R1711">
        <v>2.46</v>
      </c>
      <c r="S1711">
        <v>-45</v>
      </c>
      <c r="T1711">
        <v>2688</v>
      </c>
      <c r="U1711">
        <v>1569</v>
      </c>
      <c r="V1711">
        <v>16</v>
      </c>
      <c r="W1711">
        <v>32.64</v>
      </c>
      <c r="X1711" s="10">
        <v>0.6560731112229008</v>
      </c>
      <c r="Y1711" s="9">
        <v>3620</v>
      </c>
      <c r="Z1711" s="9">
        <v>2895</v>
      </c>
      <c r="AA1711" s="9">
        <v>3465</v>
      </c>
      <c r="AB1711">
        <v>0.78620689655172415</v>
      </c>
      <c r="AC1711" s="11">
        <v>9.5545984995832196</v>
      </c>
      <c r="AD1711" s="9">
        <v>2929.9180790960454</v>
      </c>
      <c r="AE1711" s="8">
        <v>0.17457627118644067</v>
      </c>
    </row>
    <row r="1712" spans="1:31" x14ac:dyDescent="0.35">
      <c r="A1712" s="6" t="s">
        <v>1733</v>
      </c>
      <c r="B1712" s="7">
        <v>0</v>
      </c>
      <c r="C1712" s="7">
        <v>0</v>
      </c>
      <c r="D1712" s="7">
        <v>0</v>
      </c>
      <c r="E1712" s="7">
        <v>18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 s="10">
        <v>4.4735882951929453E-3</v>
      </c>
      <c r="Y1712" s="9">
        <v>19600</v>
      </c>
      <c r="Z1712" s="9">
        <v>15650</v>
      </c>
      <c r="AA1712" s="9">
        <v>16750</v>
      </c>
      <c r="AB1712">
        <v>0.27848101265822783</v>
      </c>
      <c r="AC1712" s="11">
        <v>-3.8093914976382335</v>
      </c>
      <c r="AD1712" s="9">
        <v>17259.5197740113</v>
      </c>
      <c r="AE1712" s="8">
        <v>-0.12303664921465969</v>
      </c>
    </row>
    <row r="1713" spans="1:31" x14ac:dyDescent="0.35">
      <c r="A1713" s="6" t="s">
        <v>1734</v>
      </c>
      <c r="B1713" s="7">
        <v>2</v>
      </c>
      <c r="C1713" s="7">
        <v>1</v>
      </c>
      <c r="D1713" s="7">
        <v>12</v>
      </c>
      <c r="E1713" s="7">
        <v>3</v>
      </c>
      <c r="F1713">
        <v>626</v>
      </c>
      <c r="G1713">
        <v>-29</v>
      </c>
      <c r="H1713">
        <v>-4.68</v>
      </c>
      <c r="I1713">
        <v>-37</v>
      </c>
      <c r="J1713">
        <v>-5.87</v>
      </c>
      <c r="K1713">
        <v>1298</v>
      </c>
      <c r="L1713">
        <v>889</v>
      </c>
      <c r="M1713">
        <v>409</v>
      </c>
      <c r="N1713">
        <v>849.33</v>
      </c>
      <c r="O1713">
        <v>-11.84</v>
      </c>
      <c r="P1713">
        <v>0</v>
      </c>
      <c r="Q1713">
        <v>0.96</v>
      </c>
      <c r="R1713">
        <v>0.39</v>
      </c>
      <c r="S1713">
        <v>-611</v>
      </c>
      <c r="T1713">
        <v>4181</v>
      </c>
      <c r="U1713">
        <v>10403</v>
      </c>
      <c r="V1713">
        <v>87</v>
      </c>
      <c r="W1713">
        <v>11.92</v>
      </c>
      <c r="X1713" s="10">
        <v>0.47116445791517364</v>
      </c>
      <c r="Y1713" s="9">
        <v>4925</v>
      </c>
      <c r="Z1713" s="9">
        <v>3100</v>
      </c>
      <c r="AA1713" s="9">
        <v>4400</v>
      </c>
      <c r="AB1713">
        <v>0.71232876712328763</v>
      </c>
      <c r="AC1713" s="11">
        <v>14.851347596554602</v>
      </c>
      <c r="AD1713" s="9">
        <v>3782.8672316384177</v>
      </c>
      <c r="AE1713" s="8">
        <v>0.41935483870967744</v>
      </c>
    </row>
    <row r="1714" spans="1:31" x14ac:dyDescent="0.35">
      <c r="A1714" s="6" t="s">
        <v>1735</v>
      </c>
      <c r="B1714" s="7">
        <v>7</v>
      </c>
      <c r="C1714" s="7">
        <v>1</v>
      </c>
      <c r="D1714" s="7">
        <v>7</v>
      </c>
      <c r="E1714" s="7">
        <v>3</v>
      </c>
      <c r="F1714">
        <v>251</v>
      </c>
      <c r="G1714">
        <v>2</v>
      </c>
      <c r="H1714">
        <v>0.69</v>
      </c>
      <c r="I1714">
        <v>-12</v>
      </c>
      <c r="J1714">
        <v>-4.97</v>
      </c>
      <c r="K1714">
        <v>709</v>
      </c>
      <c r="L1714">
        <v>219</v>
      </c>
      <c r="M1714">
        <v>489</v>
      </c>
      <c r="N1714">
        <v>1054.08</v>
      </c>
      <c r="O1714">
        <v>-2.66</v>
      </c>
      <c r="P1714">
        <v>0</v>
      </c>
      <c r="Q1714">
        <v>3.79</v>
      </c>
      <c r="R1714">
        <v>5.96</v>
      </c>
      <c r="S1714">
        <v>-151</v>
      </c>
      <c r="T1714">
        <v>4780</v>
      </c>
      <c r="U1714">
        <v>3037</v>
      </c>
      <c r="V1714">
        <v>35</v>
      </c>
      <c r="W1714">
        <v>43.91</v>
      </c>
      <c r="X1714" s="10">
        <v>0.38142022844782153</v>
      </c>
      <c r="Y1714" s="9">
        <v>19250</v>
      </c>
      <c r="Z1714" s="9">
        <v>16300</v>
      </c>
      <c r="AA1714" s="9">
        <v>16300</v>
      </c>
      <c r="AB1714">
        <v>0</v>
      </c>
      <c r="AC1714" s="11">
        <v>-23.530147263128647</v>
      </c>
      <c r="AD1714" s="9">
        <v>18688.502824858755</v>
      </c>
      <c r="AE1714" s="8">
        <v>-6.5902578796561598E-2</v>
      </c>
    </row>
    <row r="1715" spans="1:31" x14ac:dyDescent="0.35">
      <c r="A1715" s="6" t="s">
        <v>1736</v>
      </c>
      <c r="B1715" s="7">
        <v>3</v>
      </c>
      <c r="C1715" s="7">
        <v>5</v>
      </c>
      <c r="D1715" s="7">
        <v>0</v>
      </c>
      <c r="E1715" s="7">
        <v>10</v>
      </c>
      <c r="F1715">
        <v>7</v>
      </c>
      <c r="G1715">
        <v>6</v>
      </c>
      <c r="H1715">
        <v>93.38</v>
      </c>
      <c r="I1715">
        <v>6</v>
      </c>
      <c r="J1715">
        <v>93.38</v>
      </c>
      <c r="K1715">
        <v>122</v>
      </c>
      <c r="L1715">
        <v>20</v>
      </c>
      <c r="M1715">
        <v>103</v>
      </c>
      <c r="N1715">
        <v>-6.32</v>
      </c>
      <c r="O1715">
        <v>8.56</v>
      </c>
      <c r="P1715">
        <v>11.72</v>
      </c>
      <c r="Q1715">
        <v>0.98</v>
      </c>
      <c r="R1715">
        <v>10.94</v>
      </c>
      <c r="S1715">
        <v>393</v>
      </c>
      <c r="T1715">
        <v>4684</v>
      </c>
      <c r="U1715">
        <v>421</v>
      </c>
      <c r="V1715">
        <v>9</v>
      </c>
      <c r="W1715">
        <v>11.69</v>
      </c>
      <c r="X1715" s="10">
        <v>0.78937770118367823</v>
      </c>
      <c r="Y1715" s="9">
        <v>5400</v>
      </c>
      <c r="Z1715" s="9">
        <v>4560</v>
      </c>
      <c r="AA1715" s="9">
        <v>5190</v>
      </c>
      <c r="AB1715">
        <v>0.75</v>
      </c>
      <c r="AC1715" s="11">
        <v>11.077382606279524</v>
      </c>
      <c r="AD1715" s="9">
        <v>4586.7231638418079</v>
      </c>
      <c r="AE1715" s="8">
        <v>0.1282608695652174</v>
      </c>
    </row>
    <row r="1716" spans="1:31" x14ac:dyDescent="0.35">
      <c r="A1716" s="6" t="s">
        <v>1737</v>
      </c>
      <c r="B1716" s="7">
        <v>3</v>
      </c>
      <c r="C1716" s="7">
        <v>5</v>
      </c>
      <c r="D1716" s="7">
        <v>0</v>
      </c>
      <c r="E1716" s="7">
        <v>10</v>
      </c>
      <c r="F1716">
        <v>7</v>
      </c>
      <c r="G1716">
        <v>6</v>
      </c>
      <c r="H1716">
        <v>93.38</v>
      </c>
      <c r="I1716">
        <v>6</v>
      </c>
      <c r="J1716">
        <v>93.38</v>
      </c>
      <c r="K1716">
        <v>121</v>
      </c>
      <c r="L1716">
        <v>18</v>
      </c>
      <c r="M1716">
        <v>103</v>
      </c>
      <c r="N1716">
        <v>-5.88</v>
      </c>
      <c r="O1716">
        <v>8.51</v>
      </c>
      <c r="P1716">
        <v>12.47</v>
      </c>
      <c r="Q1716">
        <v>1.04</v>
      </c>
      <c r="R1716">
        <v>11.64</v>
      </c>
      <c r="S1716">
        <v>393</v>
      </c>
      <c r="T1716">
        <v>4706</v>
      </c>
      <c r="U1716">
        <v>421</v>
      </c>
      <c r="V1716">
        <v>9</v>
      </c>
      <c r="W1716">
        <v>12.44</v>
      </c>
      <c r="X1716" s="10">
        <v>0.73117157056675552</v>
      </c>
      <c r="Y1716" s="9">
        <v>5200</v>
      </c>
      <c r="Z1716" s="9">
        <v>4700</v>
      </c>
      <c r="AA1716" s="9">
        <v>5150</v>
      </c>
      <c r="AB1716">
        <v>0.9</v>
      </c>
      <c r="AC1716" s="11">
        <v>6.4038621839399834</v>
      </c>
      <c r="AD1716" s="9">
        <v>4732.9322033898306</v>
      </c>
      <c r="AE1716" s="8">
        <v>9.5744680851063829E-2</v>
      </c>
    </row>
    <row r="1717" spans="1:31" x14ac:dyDescent="0.35">
      <c r="A1717" s="6" t="s">
        <v>1738</v>
      </c>
      <c r="B1717" s="7">
        <v>3</v>
      </c>
      <c r="C1717" s="7">
        <v>4</v>
      </c>
      <c r="D1717" s="7">
        <v>1</v>
      </c>
      <c r="E1717" s="7">
        <v>10</v>
      </c>
      <c r="F1717">
        <v>7</v>
      </c>
      <c r="G1717">
        <v>6</v>
      </c>
      <c r="H1717">
        <v>93.38</v>
      </c>
      <c r="I1717">
        <v>6</v>
      </c>
      <c r="J1717">
        <v>93.38</v>
      </c>
      <c r="K1717">
        <v>121</v>
      </c>
      <c r="L1717">
        <v>17</v>
      </c>
      <c r="M1717">
        <v>103</v>
      </c>
      <c r="N1717">
        <v>-5.62</v>
      </c>
      <c r="O1717">
        <v>8.48</v>
      </c>
      <c r="P1717">
        <v>11.96</v>
      </c>
      <c r="Q1717">
        <v>1</v>
      </c>
      <c r="R1717">
        <v>11.16</v>
      </c>
      <c r="S1717">
        <v>393</v>
      </c>
      <c r="T1717">
        <v>4719</v>
      </c>
      <c r="U1717">
        <v>421</v>
      </c>
      <c r="V1717">
        <v>9</v>
      </c>
      <c r="W1717">
        <v>11.93</v>
      </c>
      <c r="X1717" s="10">
        <v>0.86560849377428239</v>
      </c>
      <c r="Y1717" s="9">
        <v>5190</v>
      </c>
      <c r="Z1717" s="9">
        <v>4650</v>
      </c>
      <c r="AA1717" s="9">
        <v>5150</v>
      </c>
      <c r="AB1717">
        <v>0.92592592592592593</v>
      </c>
      <c r="AC1717" s="11">
        <v>9.4326201722700738</v>
      </c>
      <c r="AD1717" s="9">
        <v>4649.9717514124295</v>
      </c>
      <c r="AE1717" s="8">
        <v>0.10278372591006424</v>
      </c>
    </row>
    <row r="1718" spans="1:31" x14ac:dyDescent="0.35">
      <c r="A1718" s="6" t="s">
        <v>1739</v>
      </c>
      <c r="B1718" s="7">
        <v>3</v>
      </c>
      <c r="C1718" s="7">
        <v>5</v>
      </c>
      <c r="D1718" s="7">
        <v>0</v>
      </c>
      <c r="E1718" s="7">
        <v>10</v>
      </c>
      <c r="F1718">
        <v>7</v>
      </c>
      <c r="G1718">
        <v>6</v>
      </c>
      <c r="H1718">
        <v>93.38</v>
      </c>
      <c r="I1718">
        <v>6</v>
      </c>
      <c r="J1718">
        <v>93.38</v>
      </c>
      <c r="K1718">
        <v>121</v>
      </c>
      <c r="L1718">
        <v>17</v>
      </c>
      <c r="M1718">
        <v>104</v>
      </c>
      <c r="N1718">
        <v>-5.03</v>
      </c>
      <c r="O1718">
        <v>8.42</v>
      </c>
      <c r="P1718">
        <v>11.81</v>
      </c>
      <c r="Q1718">
        <v>0.98</v>
      </c>
      <c r="R1718">
        <v>11.02</v>
      </c>
      <c r="S1718">
        <v>393</v>
      </c>
      <c r="T1718">
        <v>4749</v>
      </c>
      <c r="U1718">
        <v>421</v>
      </c>
      <c r="V1718">
        <v>9</v>
      </c>
      <c r="W1718">
        <v>11.78</v>
      </c>
      <c r="X1718" s="10">
        <v>0.79058121890441124</v>
      </c>
      <c r="Y1718" s="9">
        <v>5240</v>
      </c>
      <c r="Z1718" s="9">
        <v>4520</v>
      </c>
      <c r="AA1718" s="9">
        <v>5170</v>
      </c>
      <c r="AB1718">
        <v>0.90277777777777779</v>
      </c>
      <c r="AC1718" s="11">
        <v>9.6649069185884962</v>
      </c>
      <c r="AD1718" s="9">
        <v>4636.887005649718</v>
      </c>
      <c r="AE1718" s="8">
        <v>9.0717299578059074E-2</v>
      </c>
    </row>
    <row r="1719" spans="1:31" x14ac:dyDescent="0.35">
      <c r="A1719" s="6" t="s">
        <v>1740</v>
      </c>
      <c r="B1719" s="7">
        <v>2</v>
      </c>
      <c r="C1719" s="7">
        <v>4</v>
      </c>
      <c r="D1719" s="7">
        <v>5</v>
      </c>
      <c r="E1719" s="7">
        <v>7</v>
      </c>
      <c r="F1719">
        <v>959</v>
      </c>
      <c r="G1719">
        <v>-51</v>
      </c>
      <c r="H1719">
        <v>-5.28</v>
      </c>
      <c r="I1719">
        <v>-59</v>
      </c>
      <c r="J1719">
        <v>-6.2</v>
      </c>
      <c r="K1719">
        <v>1114</v>
      </c>
      <c r="L1719">
        <v>451</v>
      </c>
      <c r="M1719">
        <v>662</v>
      </c>
      <c r="N1719">
        <v>295.82</v>
      </c>
      <c r="O1719">
        <v>-8.52</v>
      </c>
      <c r="P1719">
        <v>0</v>
      </c>
      <c r="Q1719">
        <v>1.71</v>
      </c>
      <c r="R1719">
        <v>0.89</v>
      </c>
      <c r="S1719">
        <v>-190</v>
      </c>
      <c r="T1719">
        <v>1603</v>
      </c>
      <c r="U1719">
        <v>3073</v>
      </c>
      <c r="V1719">
        <v>-16</v>
      </c>
      <c r="W1719">
        <v>-79.56</v>
      </c>
      <c r="X1719" s="10">
        <v>0.58450599497415534</v>
      </c>
      <c r="Y1719" s="9">
        <v>4710</v>
      </c>
      <c r="Z1719" s="9">
        <v>2680</v>
      </c>
      <c r="AA1719" s="9">
        <v>4710</v>
      </c>
      <c r="AB1719">
        <v>1</v>
      </c>
      <c r="AC1719" s="11">
        <v>21.578771881078076</v>
      </c>
      <c r="AD1719" s="9">
        <v>2923.3474576271187</v>
      </c>
      <c r="AE1719" s="8">
        <v>0.7574626865671642</v>
      </c>
    </row>
    <row r="1720" spans="1:31" x14ac:dyDescent="0.35">
      <c r="A1720" s="6" t="s">
        <v>1741</v>
      </c>
      <c r="B1720" s="7">
        <v>0</v>
      </c>
      <c r="C1720" s="7">
        <v>0</v>
      </c>
      <c r="D1720" s="7">
        <v>0</v>
      </c>
      <c r="E1720" s="7">
        <v>18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 s="10">
        <v>0.84560996125882493</v>
      </c>
      <c r="Y1720" s="9">
        <v>5120</v>
      </c>
      <c r="Z1720" s="9">
        <v>4055</v>
      </c>
      <c r="AA1720" s="9">
        <v>5050</v>
      </c>
      <c r="AB1720">
        <v>0.93427230046948362</v>
      </c>
      <c r="AC1720" s="11">
        <v>18.759377604890247</v>
      </c>
      <c r="AD1720" s="9">
        <v>3964.8389830508477</v>
      </c>
      <c r="AE1720" s="8">
        <v>0.24537607891491986</v>
      </c>
    </row>
    <row r="1721" spans="1:31" x14ac:dyDescent="0.35">
      <c r="A1721" s="6" t="s">
        <v>1742</v>
      </c>
      <c r="B1721" s="7">
        <v>3</v>
      </c>
      <c r="C1721" s="7">
        <v>3</v>
      </c>
      <c r="D1721" s="7">
        <v>6</v>
      </c>
      <c r="E1721" s="7">
        <v>6</v>
      </c>
      <c r="F1721">
        <v>4466</v>
      </c>
      <c r="G1721">
        <v>224</v>
      </c>
      <c r="H1721">
        <v>5.0199999999999996</v>
      </c>
      <c r="I1721">
        <v>147</v>
      </c>
      <c r="J1721">
        <v>3.28</v>
      </c>
      <c r="K1721">
        <v>4353</v>
      </c>
      <c r="L1721">
        <v>1126</v>
      </c>
      <c r="M1721">
        <v>3227</v>
      </c>
      <c r="N1721">
        <v>2258.16</v>
      </c>
      <c r="O1721">
        <v>4.63</v>
      </c>
      <c r="P1721">
        <v>19.87</v>
      </c>
      <c r="Q1721">
        <v>1.02</v>
      </c>
      <c r="R1721">
        <v>0.74</v>
      </c>
      <c r="S1721">
        <v>604</v>
      </c>
      <c r="T1721">
        <v>11778</v>
      </c>
      <c r="U1721">
        <v>16319</v>
      </c>
      <c r="V1721">
        <v>597</v>
      </c>
      <c r="W1721">
        <v>5.01</v>
      </c>
      <c r="X1721" s="10">
        <v>0.53776956905101148</v>
      </c>
      <c r="Y1721" s="9">
        <v>14800</v>
      </c>
      <c r="Z1721" s="9">
        <v>11850</v>
      </c>
      <c r="AA1721" s="9">
        <v>14050</v>
      </c>
      <c r="AB1721">
        <v>0.74576271186440679</v>
      </c>
      <c r="AC1721" s="11">
        <v>34.323423173103642</v>
      </c>
      <c r="AD1721" s="9">
        <v>12181.468926553673</v>
      </c>
      <c r="AE1721" s="8">
        <v>0.18565400843881857</v>
      </c>
    </row>
    <row r="1722" spans="1:31" x14ac:dyDescent="0.35">
      <c r="A1722" s="6" t="s">
        <v>1743</v>
      </c>
      <c r="B1722" s="7">
        <v>0</v>
      </c>
      <c r="C1722" s="7">
        <v>0</v>
      </c>
      <c r="D1722" s="7">
        <v>0</v>
      </c>
      <c r="E1722" s="7">
        <v>18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 s="10">
        <v>0.79584378239107678</v>
      </c>
      <c r="Y1722" s="9">
        <v>5300</v>
      </c>
      <c r="Z1722" s="9">
        <v>3930</v>
      </c>
      <c r="AA1722" s="9">
        <v>5080</v>
      </c>
      <c r="AB1722">
        <v>0.83941605839416056</v>
      </c>
      <c r="AC1722" s="11">
        <v>16.585996110030564</v>
      </c>
      <c r="AD1722" s="9">
        <v>4075.1271186440677</v>
      </c>
      <c r="AE1722" s="8">
        <v>0.29262086513994912</v>
      </c>
    </row>
    <row r="1723" spans="1:31" x14ac:dyDescent="0.35">
      <c r="A1723" s="6" t="s">
        <v>1744</v>
      </c>
      <c r="B1723" s="7">
        <v>2</v>
      </c>
      <c r="C1723" s="7">
        <v>1</v>
      </c>
      <c r="D1723" s="7">
        <v>10</v>
      </c>
      <c r="E1723" s="7">
        <v>5</v>
      </c>
      <c r="F1723">
        <v>101</v>
      </c>
      <c r="G1723">
        <v>-3</v>
      </c>
      <c r="H1723">
        <v>-3.01</v>
      </c>
      <c r="I1723">
        <v>5</v>
      </c>
      <c r="J1723">
        <v>4.6399999999999997</v>
      </c>
      <c r="K1723">
        <v>323</v>
      </c>
      <c r="L1723">
        <v>27</v>
      </c>
      <c r="M1723">
        <v>296</v>
      </c>
      <c r="N1723">
        <v>736.96</v>
      </c>
      <c r="O1723">
        <v>1.57</v>
      </c>
      <c r="P1723">
        <v>30.97</v>
      </c>
      <c r="Q1723">
        <v>0.54</v>
      </c>
      <c r="R1723">
        <v>1.44</v>
      </c>
      <c r="S1723">
        <v>67</v>
      </c>
      <c r="T1723">
        <v>3857</v>
      </c>
      <c r="U1723">
        <v>1437</v>
      </c>
      <c r="V1723">
        <v>4</v>
      </c>
      <c r="W1723">
        <v>35.94</v>
      </c>
      <c r="X1723" s="10">
        <v>0.79344925710450265</v>
      </c>
      <c r="Y1723" s="9">
        <v>2975</v>
      </c>
      <c r="Z1723" s="9">
        <v>1975</v>
      </c>
      <c r="AA1723" s="9">
        <v>2840</v>
      </c>
      <c r="AB1723">
        <v>0.86499999999999999</v>
      </c>
      <c r="AC1723" s="11">
        <v>18.07196443456516</v>
      </c>
      <c r="AD1723" s="9">
        <v>1782.638418079096</v>
      </c>
      <c r="AE1723" s="8">
        <v>0.37864077669902912</v>
      </c>
    </row>
    <row r="1724" spans="1:31" x14ac:dyDescent="0.35">
      <c r="A1724" s="6" t="s">
        <v>1745</v>
      </c>
      <c r="B1724" s="7">
        <v>11</v>
      </c>
      <c r="C1724" s="7">
        <v>2</v>
      </c>
      <c r="D1724" s="7">
        <v>5</v>
      </c>
      <c r="E1724" s="7">
        <v>0</v>
      </c>
      <c r="F1724">
        <v>1170</v>
      </c>
      <c r="G1724">
        <v>56</v>
      </c>
      <c r="H1724">
        <v>4.8099999999999996</v>
      </c>
      <c r="I1724">
        <v>108</v>
      </c>
      <c r="J1724">
        <v>9.23</v>
      </c>
      <c r="K1724">
        <v>1489</v>
      </c>
      <c r="L1724">
        <v>704</v>
      </c>
      <c r="M1724">
        <v>785</v>
      </c>
      <c r="N1724">
        <v>2721.24</v>
      </c>
      <c r="O1724">
        <v>19.71</v>
      </c>
      <c r="P1724">
        <v>13.8</v>
      </c>
      <c r="Q1724">
        <v>2.85</v>
      </c>
      <c r="R1724">
        <v>1.27</v>
      </c>
      <c r="S1724">
        <v>527</v>
      </c>
      <c r="T1724">
        <v>2547</v>
      </c>
      <c r="U1724">
        <v>5705</v>
      </c>
      <c r="V1724">
        <v>75</v>
      </c>
      <c r="W1724">
        <v>30.01</v>
      </c>
      <c r="X1724" s="10">
        <v>2.2342256555927063E-2</v>
      </c>
      <c r="Y1724" s="9">
        <v>6600</v>
      </c>
      <c r="Z1724" s="9">
        <v>4945</v>
      </c>
      <c r="AA1724" s="9">
        <v>5620</v>
      </c>
      <c r="AB1724">
        <v>0.40785498489425981</v>
      </c>
      <c r="AC1724" s="11">
        <v>-3.119060850236179</v>
      </c>
      <c r="AD1724" s="9">
        <v>5833.7146892655364</v>
      </c>
      <c r="AE1724" s="8">
        <v>-0.1484848484848485</v>
      </c>
    </row>
    <row r="1725" spans="1:31" x14ac:dyDescent="0.35">
      <c r="A1725" s="6" t="s">
        <v>1746</v>
      </c>
      <c r="B1725" s="7">
        <v>6</v>
      </c>
      <c r="C1725" s="7">
        <v>2</v>
      </c>
      <c r="D1725" s="7">
        <v>3</v>
      </c>
      <c r="E1725" s="7">
        <v>7</v>
      </c>
      <c r="F1725">
        <v>79549</v>
      </c>
      <c r="G1725">
        <v>1569</v>
      </c>
      <c r="H1725">
        <v>1.97</v>
      </c>
      <c r="I1725">
        <v>1163</v>
      </c>
      <c r="J1725">
        <v>1.46</v>
      </c>
      <c r="K1725">
        <v>85548</v>
      </c>
      <c r="L1725">
        <v>67161</v>
      </c>
      <c r="M1725">
        <v>18387</v>
      </c>
      <c r="N1725">
        <v>3013.77</v>
      </c>
      <c r="O1725">
        <v>7.07</v>
      </c>
      <c r="P1725">
        <v>10.66</v>
      </c>
      <c r="Q1725">
        <v>0.72</v>
      </c>
      <c r="R1725">
        <v>0.16</v>
      </c>
      <c r="S1725">
        <v>1013</v>
      </c>
      <c r="T1725">
        <v>14976</v>
      </c>
      <c r="U1725">
        <v>69252</v>
      </c>
      <c r="V1725">
        <v>0</v>
      </c>
      <c r="W1725">
        <v>0</v>
      </c>
      <c r="X1725" s="10">
        <v>0.3550681870967573</v>
      </c>
      <c r="Y1725" s="9">
        <v>10800</v>
      </c>
      <c r="Z1725" s="9">
        <v>10050</v>
      </c>
      <c r="AA1725" s="9">
        <v>10100</v>
      </c>
      <c r="AB1725">
        <v>6.6666666666666666E-2</v>
      </c>
      <c r="AC1725" s="11">
        <v>-6.3434287302028345</v>
      </c>
      <c r="AD1725" s="9">
        <v>10580.141242937852</v>
      </c>
      <c r="AE1725" s="8">
        <v>-4.716981132075472E-2</v>
      </c>
    </row>
    <row r="1726" spans="1:31" x14ac:dyDescent="0.35">
      <c r="A1726" s="6" t="s">
        <v>1747</v>
      </c>
      <c r="B1726" s="7">
        <v>6</v>
      </c>
      <c r="C1726" s="7">
        <v>5</v>
      </c>
      <c r="D1726" s="7">
        <v>3</v>
      </c>
      <c r="E1726" s="7">
        <v>4</v>
      </c>
      <c r="F1726">
        <v>1085</v>
      </c>
      <c r="G1726">
        <v>66</v>
      </c>
      <c r="H1726">
        <v>6.07</v>
      </c>
      <c r="I1726">
        <v>36</v>
      </c>
      <c r="J1726">
        <v>3.3</v>
      </c>
      <c r="K1726">
        <v>879</v>
      </c>
      <c r="L1726">
        <v>431</v>
      </c>
      <c r="M1726">
        <v>447</v>
      </c>
      <c r="N1726">
        <v>597.02</v>
      </c>
      <c r="O1726">
        <v>8.2200000000000006</v>
      </c>
      <c r="P1726">
        <v>20.22</v>
      </c>
      <c r="Q1726">
        <v>1.8</v>
      </c>
      <c r="R1726">
        <v>0.67</v>
      </c>
      <c r="S1726">
        <v>276</v>
      </c>
      <c r="T1726">
        <v>3107</v>
      </c>
      <c r="U1726">
        <v>8348</v>
      </c>
      <c r="V1726">
        <v>77</v>
      </c>
      <c r="W1726">
        <v>11.1</v>
      </c>
      <c r="X1726" s="10">
        <v>2.3100766996622451E-3</v>
      </c>
      <c r="Y1726" s="9">
        <v>7210</v>
      </c>
      <c r="Z1726" s="9">
        <v>4855</v>
      </c>
      <c r="AA1726" s="9">
        <v>5810</v>
      </c>
      <c r="AB1726">
        <v>0.40552016985138006</v>
      </c>
      <c r="AC1726" s="11">
        <v>1.1232286746318421</v>
      </c>
      <c r="AD1726" s="9">
        <v>6145.8248587570615</v>
      </c>
      <c r="AE1726" s="8">
        <v>0.19670442842430483</v>
      </c>
    </row>
    <row r="1727" spans="1:31" x14ac:dyDescent="0.35">
      <c r="A1727" s="6" t="s">
        <v>1748</v>
      </c>
      <c r="B1727" s="7">
        <v>9</v>
      </c>
      <c r="C1727" s="7">
        <v>9</v>
      </c>
      <c r="D1727" s="7">
        <v>0</v>
      </c>
      <c r="E1727" s="7">
        <v>0</v>
      </c>
      <c r="F1727">
        <v>492</v>
      </c>
      <c r="G1727">
        <v>80</v>
      </c>
      <c r="H1727">
        <v>16.29</v>
      </c>
      <c r="I1727">
        <v>69</v>
      </c>
      <c r="J1727">
        <v>13.92</v>
      </c>
      <c r="K1727">
        <v>970</v>
      </c>
      <c r="L1727">
        <v>149</v>
      </c>
      <c r="M1727">
        <v>821</v>
      </c>
      <c r="N1727">
        <v>1724.89</v>
      </c>
      <c r="O1727">
        <v>8.6199999999999992</v>
      </c>
      <c r="P1727">
        <v>7.6</v>
      </c>
      <c r="Q1727">
        <v>0.65</v>
      </c>
      <c r="R1727">
        <v>1.06</v>
      </c>
      <c r="S1727">
        <v>770</v>
      </c>
      <c r="T1727">
        <v>8978</v>
      </c>
      <c r="U1727">
        <v>5531</v>
      </c>
      <c r="V1727">
        <v>93</v>
      </c>
      <c r="W1727">
        <v>5.68</v>
      </c>
      <c r="X1727" s="10">
        <v>1.6728021230019149E-2</v>
      </c>
      <c r="Y1727" s="9">
        <v>7050</v>
      </c>
      <c r="Z1727" s="9">
        <v>5750</v>
      </c>
      <c r="AA1727" s="9">
        <v>5940</v>
      </c>
      <c r="AB1727">
        <v>0.14615384615384616</v>
      </c>
      <c r="AC1727" s="11">
        <v>2.4184495693248134</v>
      </c>
      <c r="AD1727" s="9">
        <v>6260.9039548022602</v>
      </c>
      <c r="AE1727" s="8">
        <v>3.125E-2</v>
      </c>
    </row>
    <row r="1728" spans="1:31" x14ac:dyDescent="0.35">
      <c r="A1728" s="6" t="s">
        <v>1749</v>
      </c>
      <c r="B1728" s="7">
        <v>7</v>
      </c>
      <c r="C1728" s="7">
        <v>2</v>
      </c>
      <c r="D1728" s="7">
        <v>5</v>
      </c>
      <c r="E1728" s="7">
        <v>4</v>
      </c>
      <c r="F1728">
        <v>345</v>
      </c>
      <c r="G1728">
        <v>1</v>
      </c>
      <c r="H1728">
        <v>0.31</v>
      </c>
      <c r="I1728">
        <v>-22</v>
      </c>
      <c r="J1728">
        <v>-6.46</v>
      </c>
      <c r="K1728">
        <v>1238</v>
      </c>
      <c r="L1728">
        <v>711</v>
      </c>
      <c r="M1728">
        <v>528</v>
      </c>
      <c r="N1728">
        <v>954.34</v>
      </c>
      <c r="O1728">
        <v>-4.58</v>
      </c>
      <c r="P1728">
        <v>0</v>
      </c>
      <c r="Q1728">
        <v>10.86</v>
      </c>
      <c r="R1728">
        <v>12.61</v>
      </c>
      <c r="S1728">
        <v>-45</v>
      </c>
      <c r="T1728">
        <v>810</v>
      </c>
      <c r="U1728">
        <v>698</v>
      </c>
      <c r="V1728">
        <v>21</v>
      </c>
      <c r="W1728">
        <v>243.79</v>
      </c>
      <c r="X1728" s="10">
        <v>0.76053443551862698</v>
      </c>
      <c r="Y1728" s="9">
        <v>11450</v>
      </c>
      <c r="Z1728" s="9">
        <v>8500</v>
      </c>
      <c r="AA1728" s="9">
        <v>11000</v>
      </c>
      <c r="AB1728">
        <v>0.84745762711864403</v>
      </c>
      <c r="AC1728" s="11">
        <v>38.323423173103642</v>
      </c>
      <c r="AD1728" s="9">
        <v>8320.1355932203387</v>
      </c>
      <c r="AE1728" s="8">
        <v>0.28354725787631274</v>
      </c>
    </row>
    <row r="1729" spans="1:31" x14ac:dyDescent="0.35">
      <c r="A1729" s="6" t="s">
        <v>1750</v>
      </c>
      <c r="B1729" s="7">
        <v>11</v>
      </c>
      <c r="C1729" s="7">
        <v>2</v>
      </c>
      <c r="D1729" s="7">
        <v>4</v>
      </c>
      <c r="E1729" s="7">
        <v>1</v>
      </c>
      <c r="F1729">
        <v>440</v>
      </c>
      <c r="G1729">
        <v>2</v>
      </c>
      <c r="H1729">
        <v>0.35</v>
      </c>
      <c r="I1729">
        <v>13</v>
      </c>
      <c r="J1729">
        <v>2.9</v>
      </c>
      <c r="K1729">
        <v>627</v>
      </c>
      <c r="L1729">
        <v>398</v>
      </c>
      <c r="M1729">
        <v>229</v>
      </c>
      <c r="N1729">
        <v>37.83</v>
      </c>
      <c r="O1729">
        <v>8.16</v>
      </c>
      <c r="P1729">
        <v>29.62</v>
      </c>
      <c r="Q1729">
        <v>2.2799999999999998</v>
      </c>
      <c r="R1729">
        <v>0.87</v>
      </c>
      <c r="S1729">
        <v>53</v>
      </c>
      <c r="T1729">
        <v>689</v>
      </c>
      <c r="U1729">
        <v>1812</v>
      </c>
      <c r="V1729">
        <v>13</v>
      </c>
      <c r="W1729">
        <v>52.94</v>
      </c>
      <c r="X1729" s="10">
        <v>0.64485594289011927</v>
      </c>
      <c r="Y1729" s="9">
        <v>1800</v>
      </c>
      <c r="Z1729" s="9">
        <v>1055</v>
      </c>
      <c r="AA1729" s="9">
        <v>1800</v>
      </c>
      <c r="AB1729">
        <v>1</v>
      </c>
      <c r="AC1729" s="11">
        <v>6.9377604890247291</v>
      </c>
      <c r="AD1729" s="9">
        <v>1076.3983050847457</v>
      </c>
      <c r="AE1729" s="8">
        <v>0.70616113744075826</v>
      </c>
    </row>
    <row r="1730" spans="1:31" x14ac:dyDescent="0.35">
      <c r="A1730" s="6" t="s">
        <v>1751</v>
      </c>
      <c r="B1730" s="7">
        <v>0</v>
      </c>
      <c r="C1730" s="7">
        <v>16</v>
      </c>
      <c r="D1730" s="7">
        <v>0</v>
      </c>
      <c r="E1730" s="7">
        <v>2</v>
      </c>
      <c r="F1730">
        <v>2468</v>
      </c>
      <c r="G1730">
        <v>146</v>
      </c>
      <c r="H1730">
        <v>5.9</v>
      </c>
      <c r="I1730">
        <v>155</v>
      </c>
      <c r="J1730">
        <v>6.26</v>
      </c>
      <c r="K1730">
        <v>2099</v>
      </c>
      <c r="L1730">
        <v>1425</v>
      </c>
      <c r="M1730">
        <v>674</v>
      </c>
      <c r="N1730">
        <v>1403.81</v>
      </c>
      <c r="O1730">
        <v>22.93</v>
      </c>
      <c r="P1730">
        <v>58.03</v>
      </c>
      <c r="Q1730">
        <v>13.69</v>
      </c>
      <c r="R1730">
        <v>3.63</v>
      </c>
      <c r="S1730">
        <v>1718</v>
      </c>
      <c r="T1730">
        <v>7283</v>
      </c>
      <c r="U1730">
        <v>27436</v>
      </c>
      <c r="V1730">
        <v>183</v>
      </c>
      <c r="W1730">
        <v>52.64</v>
      </c>
      <c r="X1730" s="10">
        <v>0.86874718023021047</v>
      </c>
      <c r="Y1730" s="9">
        <v>135500</v>
      </c>
      <c r="Z1730" s="9">
        <v>99300</v>
      </c>
      <c r="AA1730" s="9">
        <v>129000</v>
      </c>
      <c r="AB1730">
        <v>0.8204419889502762</v>
      </c>
      <c r="AC1730" s="11">
        <v>622.69797165879413</v>
      </c>
      <c r="AD1730" s="9">
        <v>98002.711864406781</v>
      </c>
      <c r="AE1730" s="8">
        <v>0.29648241206030151</v>
      </c>
    </row>
    <row r="1731" spans="1:31" x14ac:dyDescent="0.35">
      <c r="A1731" s="6" t="s">
        <v>1752</v>
      </c>
      <c r="B1731" s="7">
        <v>4</v>
      </c>
      <c r="C1731" s="7">
        <v>4</v>
      </c>
      <c r="D1731" s="7">
        <v>7</v>
      </c>
      <c r="E1731" s="7">
        <v>3</v>
      </c>
      <c r="F1731">
        <v>46</v>
      </c>
      <c r="G1731">
        <v>2</v>
      </c>
      <c r="H1731">
        <v>3.53</v>
      </c>
      <c r="I1731">
        <v>90</v>
      </c>
      <c r="J1731">
        <v>194.06</v>
      </c>
      <c r="K1731">
        <v>2643</v>
      </c>
      <c r="L1731">
        <v>153</v>
      </c>
      <c r="M1731">
        <v>2490</v>
      </c>
      <c r="N1731">
        <v>5093.63</v>
      </c>
      <c r="O1731">
        <v>5.49</v>
      </c>
      <c r="P1731">
        <v>39.58</v>
      </c>
      <c r="Q1731">
        <v>1.75</v>
      </c>
      <c r="R1731">
        <v>76.819999999999993</v>
      </c>
      <c r="S1731">
        <v>1147</v>
      </c>
      <c r="T1731">
        <v>25873</v>
      </c>
      <c r="U1731">
        <v>591</v>
      </c>
      <c r="V1731">
        <v>10</v>
      </c>
      <c r="W1731">
        <v>461.67</v>
      </c>
      <c r="X1731" s="10">
        <v>0.40233556005251531</v>
      </c>
      <c r="Y1731" s="9">
        <v>56900</v>
      </c>
      <c r="Z1731" s="9">
        <v>44150</v>
      </c>
      <c r="AA1731" s="9">
        <v>56100</v>
      </c>
      <c r="AB1731">
        <v>0.93725490196078431</v>
      </c>
      <c r="AC1731" s="11">
        <v>105.46679633231453</v>
      </c>
      <c r="AD1731" s="9">
        <v>45305.762711864409</v>
      </c>
      <c r="AE1731" s="8">
        <v>0.27066817667044168</v>
      </c>
    </row>
    <row r="1732" spans="1:31" x14ac:dyDescent="0.35">
      <c r="A1732" s="6" t="s">
        <v>1753</v>
      </c>
      <c r="B1732" s="7">
        <v>1</v>
      </c>
      <c r="C1732" s="7">
        <v>0</v>
      </c>
      <c r="D1732" s="7">
        <v>14</v>
      </c>
      <c r="E1732" s="7">
        <v>3</v>
      </c>
      <c r="F1732">
        <v>1493</v>
      </c>
      <c r="G1732">
        <v>-132</v>
      </c>
      <c r="H1732">
        <v>-8.85</v>
      </c>
      <c r="I1732">
        <v>-233</v>
      </c>
      <c r="J1732">
        <v>-15.61</v>
      </c>
      <c r="K1732">
        <v>2652</v>
      </c>
      <c r="L1732">
        <v>1899</v>
      </c>
      <c r="M1732">
        <v>753</v>
      </c>
      <c r="N1732">
        <v>0.47</v>
      </c>
      <c r="O1732">
        <v>-26.65</v>
      </c>
      <c r="P1732">
        <v>0</v>
      </c>
      <c r="Q1732">
        <v>0.56999999999999995</v>
      </c>
      <c r="R1732">
        <v>0.28000000000000003</v>
      </c>
      <c r="S1732">
        <v>-1556</v>
      </c>
      <c r="T1732">
        <v>4904</v>
      </c>
      <c r="U1732">
        <v>9964</v>
      </c>
      <c r="V1732">
        <v>-47</v>
      </c>
      <c r="W1732">
        <v>-38.299999999999997</v>
      </c>
      <c r="X1732" s="10">
        <v>0.33477389885886227</v>
      </c>
      <c r="Y1732" s="9">
        <v>3650</v>
      </c>
      <c r="Z1732" s="9">
        <v>2745</v>
      </c>
      <c r="AA1732" s="9">
        <v>3250</v>
      </c>
      <c r="AB1732">
        <v>0.55801104972375692</v>
      </c>
      <c r="AC1732" s="11">
        <v>8.281328146707418</v>
      </c>
      <c r="AD1732" s="9">
        <v>2928.6694915254238</v>
      </c>
      <c r="AE1732" s="8">
        <v>0.1524822695035461</v>
      </c>
    </row>
    <row r="1733" spans="1:31" x14ac:dyDescent="0.35">
      <c r="A1733" s="6" t="s">
        <v>1754</v>
      </c>
      <c r="B1733" s="7">
        <v>2</v>
      </c>
      <c r="C1733" s="7">
        <v>1</v>
      </c>
      <c r="D1733" s="7">
        <v>5</v>
      </c>
      <c r="E1733" s="7">
        <v>10</v>
      </c>
      <c r="F1733">
        <v>1009</v>
      </c>
      <c r="G1733">
        <v>-122</v>
      </c>
      <c r="H1733">
        <v>-12.11</v>
      </c>
      <c r="I1733">
        <v>-257</v>
      </c>
      <c r="J1733">
        <v>-25.45</v>
      </c>
      <c r="K1733">
        <v>5162</v>
      </c>
      <c r="L1733">
        <v>3188</v>
      </c>
      <c r="M1733">
        <v>1975</v>
      </c>
      <c r="N1733">
        <v>201.69</v>
      </c>
      <c r="O1733">
        <v>-16.23</v>
      </c>
      <c r="P1733">
        <v>0</v>
      </c>
      <c r="Q1733">
        <v>0.36</v>
      </c>
      <c r="R1733">
        <v>0.52</v>
      </c>
      <c r="S1733">
        <v>-2619</v>
      </c>
      <c r="T1733">
        <v>14835</v>
      </c>
      <c r="U1733">
        <v>10287</v>
      </c>
      <c r="V1733">
        <v>23</v>
      </c>
      <c r="W1733">
        <v>115.31</v>
      </c>
      <c r="X1733" s="10">
        <v>0.62898487768748379</v>
      </c>
      <c r="Y1733" s="9">
        <v>5500</v>
      </c>
      <c r="Z1733" s="9">
        <v>4590</v>
      </c>
      <c r="AA1733" s="9">
        <v>5200</v>
      </c>
      <c r="AB1733">
        <v>0.67032967032967028</v>
      </c>
      <c r="AC1733" s="11">
        <v>11.483189774937482</v>
      </c>
      <c r="AD1733" s="9">
        <v>4616.2627118644068</v>
      </c>
      <c r="AE1733" s="8">
        <v>7.7720207253886009E-2</v>
      </c>
    </row>
    <row r="1734" spans="1:31" x14ac:dyDescent="0.35">
      <c r="A1734" s="6" t="s">
        <v>1755</v>
      </c>
      <c r="B1734" s="7">
        <v>5</v>
      </c>
      <c r="C1734" s="7">
        <v>12</v>
      </c>
      <c r="D1734" s="7">
        <v>1</v>
      </c>
      <c r="E1734" s="7">
        <v>0</v>
      </c>
      <c r="F1734">
        <v>265</v>
      </c>
      <c r="G1734">
        <v>22</v>
      </c>
      <c r="H1734">
        <v>8.2200000000000006</v>
      </c>
      <c r="I1734">
        <v>5</v>
      </c>
      <c r="J1734">
        <v>2.02</v>
      </c>
      <c r="K1734">
        <v>405</v>
      </c>
      <c r="L1734">
        <v>170</v>
      </c>
      <c r="M1734">
        <v>236</v>
      </c>
      <c r="N1734">
        <v>195.37</v>
      </c>
      <c r="O1734">
        <v>3.17</v>
      </c>
      <c r="P1734">
        <v>332.43</v>
      </c>
      <c r="Q1734">
        <v>8.41</v>
      </c>
      <c r="R1734">
        <v>6.75</v>
      </c>
      <c r="S1734">
        <v>37</v>
      </c>
      <c r="T1734">
        <v>1463</v>
      </c>
      <c r="U1734">
        <v>1823</v>
      </c>
      <c r="V1734">
        <v>30</v>
      </c>
      <c r="W1734">
        <v>65.59</v>
      </c>
      <c r="X1734" s="10">
        <v>0.81863384690012575</v>
      </c>
      <c r="Y1734" s="9">
        <v>26850</v>
      </c>
      <c r="Z1734" s="9">
        <v>11350</v>
      </c>
      <c r="AA1734" s="9">
        <v>26850</v>
      </c>
      <c r="AB1734">
        <v>1</v>
      </c>
      <c r="AC1734" s="11">
        <v>175.73770491803279</v>
      </c>
      <c r="AD1734" s="9">
        <v>12345</v>
      </c>
      <c r="AE1734" s="8">
        <v>1.3656387665198237</v>
      </c>
    </row>
    <row r="1735" spans="1:31" x14ac:dyDescent="0.35">
      <c r="A1735" s="6" t="s">
        <v>1756</v>
      </c>
      <c r="B1735" s="7">
        <v>0</v>
      </c>
      <c r="C1735" s="7">
        <v>11</v>
      </c>
      <c r="D1735" s="7">
        <v>0</v>
      </c>
      <c r="E1735" s="7">
        <v>7</v>
      </c>
      <c r="F1735">
        <v>297</v>
      </c>
      <c r="G1735">
        <v>-41</v>
      </c>
      <c r="H1735">
        <v>-13.71</v>
      </c>
      <c r="I1735">
        <v>-177</v>
      </c>
      <c r="J1735">
        <v>-59.69</v>
      </c>
      <c r="K1735">
        <v>773</v>
      </c>
      <c r="L1735">
        <v>510</v>
      </c>
      <c r="M1735">
        <v>263</v>
      </c>
      <c r="N1735">
        <v>375.78</v>
      </c>
      <c r="O1735">
        <v>-51.28</v>
      </c>
      <c r="P1735">
        <v>0</v>
      </c>
      <c r="Q1735">
        <v>1.88</v>
      </c>
      <c r="R1735">
        <v>0.62</v>
      </c>
      <c r="S1735">
        <v>-1190</v>
      </c>
      <c r="T1735">
        <v>663</v>
      </c>
      <c r="U1735">
        <v>1994</v>
      </c>
      <c r="V1735">
        <v>5</v>
      </c>
      <c r="W1735">
        <v>93.99</v>
      </c>
      <c r="X1735" s="10">
        <v>0.17583482084169469</v>
      </c>
      <c r="Y1735" s="9">
        <v>1610</v>
      </c>
      <c r="Z1735" s="9">
        <v>1195</v>
      </c>
      <c r="AA1735" s="9">
        <v>1405</v>
      </c>
      <c r="AB1735">
        <v>0.50602409638554213</v>
      </c>
      <c r="AC1735" s="11">
        <v>2.3353709363712141</v>
      </c>
      <c r="AD1735" s="9">
        <v>1330.7711864406779</v>
      </c>
      <c r="AE1735" s="8">
        <v>0.17573221757322174</v>
      </c>
    </row>
    <row r="1736" spans="1:31" x14ac:dyDescent="0.35">
      <c r="A1736" s="6" t="s">
        <v>1757</v>
      </c>
      <c r="B1736" s="7">
        <v>3</v>
      </c>
      <c r="C1736" s="7">
        <v>10</v>
      </c>
      <c r="D1736" s="7">
        <v>2</v>
      </c>
      <c r="E1736" s="7">
        <v>3</v>
      </c>
      <c r="F1736">
        <v>965</v>
      </c>
      <c r="G1736">
        <v>21</v>
      </c>
      <c r="H1736">
        <v>2.13</v>
      </c>
      <c r="I1736">
        <v>6</v>
      </c>
      <c r="J1736">
        <v>0.61</v>
      </c>
      <c r="K1736">
        <v>1001</v>
      </c>
      <c r="L1736">
        <v>595</v>
      </c>
      <c r="M1736">
        <v>406</v>
      </c>
      <c r="N1736">
        <v>183.92</v>
      </c>
      <c r="O1736">
        <v>1.49</v>
      </c>
      <c r="P1736">
        <v>90.71</v>
      </c>
      <c r="Q1736">
        <v>1.38</v>
      </c>
      <c r="R1736">
        <v>0.56000000000000005</v>
      </c>
      <c r="S1736">
        <v>21</v>
      </c>
      <c r="T1736">
        <v>1378</v>
      </c>
      <c r="U1736">
        <v>3423</v>
      </c>
      <c r="V1736">
        <v>37</v>
      </c>
      <c r="W1736">
        <v>18.95</v>
      </c>
      <c r="X1736" s="10">
        <v>0.13674636276064286</v>
      </c>
      <c r="Y1736" s="9">
        <v>3320</v>
      </c>
      <c r="Z1736" s="9">
        <v>1805</v>
      </c>
      <c r="AA1736" s="9">
        <v>2565</v>
      </c>
      <c r="AB1736">
        <v>0.50165016501650161</v>
      </c>
      <c r="AC1736" s="11">
        <v>6.9574881911642104</v>
      </c>
      <c r="AD1736" s="9">
        <v>2275.129943502825</v>
      </c>
      <c r="AE1736" s="8">
        <v>0.42105263157894735</v>
      </c>
    </row>
    <row r="1737" spans="1:31" x14ac:dyDescent="0.35">
      <c r="A1737" s="6" t="s">
        <v>1758</v>
      </c>
      <c r="B1737" s="7">
        <v>4</v>
      </c>
      <c r="C1737" s="7">
        <v>4</v>
      </c>
      <c r="D1737" s="7">
        <v>0</v>
      </c>
      <c r="E1737" s="7">
        <v>10</v>
      </c>
      <c r="F1737">
        <v>38</v>
      </c>
      <c r="G1737">
        <v>-47</v>
      </c>
      <c r="H1737">
        <v>-121.4</v>
      </c>
      <c r="I1737">
        <v>-52</v>
      </c>
      <c r="J1737">
        <v>-136.55000000000001</v>
      </c>
      <c r="K1737">
        <v>320</v>
      </c>
      <c r="L1737">
        <v>183</v>
      </c>
      <c r="M1737">
        <v>137</v>
      </c>
      <c r="N1737">
        <v>0.93</v>
      </c>
      <c r="O1737">
        <v>-45.43</v>
      </c>
      <c r="P1737">
        <v>0</v>
      </c>
      <c r="Q1737">
        <v>1.66</v>
      </c>
      <c r="R1737">
        <v>3.47</v>
      </c>
      <c r="S1737">
        <v>-264</v>
      </c>
      <c r="T1737">
        <v>404</v>
      </c>
      <c r="U1737">
        <v>193</v>
      </c>
      <c r="V1737">
        <v>-38</v>
      </c>
      <c r="W1737">
        <v>-7.44</v>
      </c>
      <c r="X1737" s="10">
        <v>0.46451844154539446</v>
      </c>
      <c r="Y1737" s="9">
        <v>1770</v>
      </c>
      <c r="Z1737" s="9">
        <v>1145</v>
      </c>
      <c r="AA1737" s="9">
        <v>1460</v>
      </c>
      <c r="AB1737">
        <v>0.504</v>
      </c>
      <c r="AC1737" s="11">
        <v>6.0922478466240637</v>
      </c>
      <c r="AD1737" s="9">
        <v>1226.3531073446329</v>
      </c>
      <c r="AE1737" s="8">
        <v>0.25321888412017168</v>
      </c>
    </row>
    <row r="1738" spans="1:31" x14ac:dyDescent="0.35">
      <c r="A1738" s="6" t="s">
        <v>1759</v>
      </c>
      <c r="B1738" s="7">
        <v>8</v>
      </c>
      <c r="C1738" s="7">
        <v>10</v>
      </c>
      <c r="D1738" s="7">
        <v>0</v>
      </c>
      <c r="E1738" s="7">
        <v>0</v>
      </c>
      <c r="F1738">
        <v>345</v>
      </c>
      <c r="G1738">
        <v>95</v>
      </c>
      <c r="H1738">
        <v>27.64</v>
      </c>
      <c r="I1738">
        <v>87</v>
      </c>
      <c r="J1738">
        <v>25.09</v>
      </c>
      <c r="K1738">
        <v>962</v>
      </c>
      <c r="L1738">
        <v>137</v>
      </c>
      <c r="M1738">
        <v>825</v>
      </c>
      <c r="N1738">
        <v>230.46</v>
      </c>
      <c r="O1738">
        <v>10.96</v>
      </c>
      <c r="P1738">
        <v>15.69</v>
      </c>
      <c r="Q1738">
        <v>1.66</v>
      </c>
      <c r="R1738">
        <v>3.94</v>
      </c>
      <c r="S1738">
        <v>174</v>
      </c>
      <c r="T1738">
        <v>1646</v>
      </c>
      <c r="U1738">
        <v>693</v>
      </c>
      <c r="V1738">
        <v>144</v>
      </c>
      <c r="W1738">
        <v>9.4499999999999993</v>
      </c>
      <c r="X1738" s="10">
        <v>0.39004315595406308</v>
      </c>
      <c r="Y1738" s="9">
        <v>3195</v>
      </c>
      <c r="Z1738" s="9">
        <v>2645</v>
      </c>
      <c r="AA1738" s="9">
        <v>2940</v>
      </c>
      <c r="AB1738">
        <v>0.53636363636363638</v>
      </c>
      <c r="AC1738" s="11">
        <v>4.4694359544317868</v>
      </c>
      <c r="AD1738" s="9">
        <v>2675.0988700564972</v>
      </c>
      <c r="AE1738" s="8">
        <v>8.8888888888888892E-2</v>
      </c>
    </row>
    <row r="1739" spans="1:31" x14ac:dyDescent="0.35">
      <c r="A1739" s="6" t="s">
        <v>1760</v>
      </c>
      <c r="B1739" s="7">
        <v>2</v>
      </c>
      <c r="C1739" s="7">
        <v>2</v>
      </c>
      <c r="D1739" s="7">
        <v>13</v>
      </c>
      <c r="E1739" s="7">
        <v>1</v>
      </c>
      <c r="F1739">
        <v>592</v>
      </c>
      <c r="G1739">
        <v>294</v>
      </c>
      <c r="H1739">
        <v>49.64</v>
      </c>
      <c r="I1739">
        <v>-999</v>
      </c>
      <c r="J1739">
        <v>-168.89</v>
      </c>
      <c r="K1739">
        <v>10665</v>
      </c>
      <c r="L1739">
        <v>5505</v>
      </c>
      <c r="M1739">
        <v>5160</v>
      </c>
      <c r="N1739">
        <v>685.57</v>
      </c>
      <c r="O1739">
        <v>-17.5</v>
      </c>
      <c r="P1739">
        <v>0</v>
      </c>
      <c r="Q1739">
        <v>0.56000000000000005</v>
      </c>
      <c r="R1739">
        <v>4.7300000000000004</v>
      </c>
      <c r="S1739">
        <v>-8332</v>
      </c>
      <c r="T1739">
        <v>38001</v>
      </c>
      <c r="U1739">
        <v>4503</v>
      </c>
      <c r="V1739">
        <v>328</v>
      </c>
      <c r="W1739">
        <v>22.69</v>
      </c>
      <c r="X1739" s="10">
        <v>0.70763859624885128</v>
      </c>
      <c r="Y1739" s="9">
        <v>33150</v>
      </c>
      <c r="Z1739" s="9">
        <v>21300</v>
      </c>
      <c r="AA1739" s="9">
        <v>32650</v>
      </c>
      <c r="AB1739">
        <v>0.95780590717299574</v>
      </c>
      <c r="AC1739" s="11">
        <v>136.04751319811061</v>
      </c>
      <c r="AD1739" s="9">
        <v>21539.717514124295</v>
      </c>
      <c r="AE1739" s="8">
        <v>0.4908675799086758</v>
      </c>
    </row>
    <row r="1740" spans="1:31" x14ac:dyDescent="0.35">
      <c r="A1740" s="6" t="s">
        <v>1761</v>
      </c>
      <c r="B1740" s="7">
        <v>1</v>
      </c>
      <c r="C1740" s="7">
        <v>8</v>
      </c>
      <c r="D1740" s="7">
        <v>5</v>
      </c>
      <c r="E1740" s="7">
        <v>4</v>
      </c>
      <c r="F1740">
        <v>28068</v>
      </c>
      <c r="G1740">
        <v>31</v>
      </c>
      <c r="H1740">
        <v>0.11</v>
      </c>
      <c r="I1740">
        <v>50</v>
      </c>
      <c r="J1740">
        <v>0.18</v>
      </c>
      <c r="K1740">
        <v>20804</v>
      </c>
      <c r="L1740">
        <v>15942</v>
      </c>
      <c r="M1740">
        <v>4862</v>
      </c>
      <c r="N1740">
        <v>359.85</v>
      </c>
      <c r="O1740">
        <v>1.1299999999999999</v>
      </c>
      <c r="P1740">
        <v>0</v>
      </c>
      <c r="Q1740">
        <v>0.36</v>
      </c>
      <c r="R1740">
        <v>0.05</v>
      </c>
      <c r="S1740">
        <v>-627</v>
      </c>
      <c r="T1740">
        <v>18410</v>
      </c>
      <c r="U1740">
        <v>143443</v>
      </c>
      <c r="V1740">
        <v>121</v>
      </c>
      <c r="W1740">
        <v>69.510000000000005</v>
      </c>
      <c r="X1740" s="10">
        <v>0.93362215054993858</v>
      </c>
      <c r="Y1740" s="9">
        <v>14550</v>
      </c>
      <c r="Z1740" s="9">
        <v>6620</v>
      </c>
      <c r="AA1740" s="9">
        <v>13900</v>
      </c>
      <c r="AB1740">
        <v>0.91803278688524592</v>
      </c>
      <c r="AC1740" s="11">
        <v>128.14281744929147</v>
      </c>
      <c r="AD1740" s="9">
        <v>5382.6440677966102</v>
      </c>
      <c r="AE1740" s="8">
        <v>1.0746268656716418</v>
      </c>
    </row>
    <row r="1741" spans="1:31" x14ac:dyDescent="0.35">
      <c r="A1741" s="6" t="s">
        <v>1762</v>
      </c>
      <c r="B1741" s="7">
        <v>0</v>
      </c>
      <c r="C1741" s="7">
        <v>0</v>
      </c>
      <c r="D1741" s="7">
        <v>0</v>
      </c>
      <c r="E1741" s="7">
        <v>18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 s="10">
        <v>0.71813908287335526</v>
      </c>
      <c r="Y1741" s="9">
        <v>9610</v>
      </c>
      <c r="Z1741" s="9">
        <v>6020</v>
      </c>
      <c r="AA1741" s="9">
        <v>8070</v>
      </c>
      <c r="AB1741">
        <v>0.57103064066852371</v>
      </c>
      <c r="AC1741" s="11">
        <v>39.163100861350365</v>
      </c>
      <c r="AD1741" s="9">
        <v>5845.8587570621467</v>
      </c>
      <c r="AE1741" s="8">
        <v>0.26093749999999999</v>
      </c>
    </row>
    <row r="1742" spans="1:31" x14ac:dyDescent="0.35">
      <c r="A1742" s="6" t="s">
        <v>1763</v>
      </c>
      <c r="B1742" s="7">
        <v>1</v>
      </c>
      <c r="C1742" s="7">
        <v>0</v>
      </c>
      <c r="D1742" s="7">
        <v>14</v>
      </c>
      <c r="E1742" s="7">
        <v>3</v>
      </c>
      <c r="F1742">
        <v>4797</v>
      </c>
      <c r="G1742">
        <v>-68</v>
      </c>
      <c r="H1742">
        <v>-1.41</v>
      </c>
      <c r="I1742">
        <v>-100</v>
      </c>
      <c r="J1742">
        <v>-2.08</v>
      </c>
      <c r="K1742">
        <v>2947</v>
      </c>
      <c r="L1742">
        <v>1014</v>
      </c>
      <c r="M1742">
        <v>1932</v>
      </c>
      <c r="N1742">
        <v>329.39</v>
      </c>
      <c r="O1742">
        <v>-5.01</v>
      </c>
      <c r="P1742">
        <v>0</v>
      </c>
      <c r="Q1742">
        <v>0.46</v>
      </c>
      <c r="R1742">
        <v>0.17</v>
      </c>
      <c r="S1742">
        <v>-1108</v>
      </c>
      <c r="T1742">
        <v>19705</v>
      </c>
      <c r="U1742">
        <v>53299</v>
      </c>
      <c r="V1742">
        <v>-11</v>
      </c>
      <c r="W1742">
        <v>-104.41</v>
      </c>
      <c r="X1742" s="10">
        <v>0.669667103798117</v>
      </c>
      <c r="Y1742" s="9">
        <v>10050</v>
      </c>
      <c r="Z1742" s="9">
        <v>8780</v>
      </c>
      <c r="AA1742" s="9">
        <v>9690</v>
      </c>
      <c r="AB1742">
        <v>0.71653543307086609</v>
      </c>
      <c r="AC1742" s="11">
        <v>15.282300639066408</v>
      </c>
      <c r="AD1742" s="9">
        <v>9041.056497175141</v>
      </c>
      <c r="AE1742" s="8">
        <v>4.9837486457204767E-2</v>
      </c>
    </row>
    <row r="1743" spans="1:31" x14ac:dyDescent="0.35">
      <c r="A1743" s="6" t="s">
        <v>1764</v>
      </c>
      <c r="B1743" s="7">
        <v>2</v>
      </c>
      <c r="C1743" s="7">
        <v>3</v>
      </c>
      <c r="D1743" s="7">
        <v>2</v>
      </c>
      <c r="E1743" s="7">
        <v>11</v>
      </c>
      <c r="F1743">
        <v>1306</v>
      </c>
      <c r="G1743">
        <v>94</v>
      </c>
      <c r="H1743">
        <v>7.19</v>
      </c>
      <c r="I1743">
        <v>59</v>
      </c>
      <c r="J1743">
        <v>4.4800000000000004</v>
      </c>
      <c r="K1743">
        <v>2089</v>
      </c>
      <c r="L1743">
        <v>727</v>
      </c>
      <c r="M1743">
        <v>1362</v>
      </c>
      <c r="N1743">
        <v>3980.95</v>
      </c>
      <c r="O1743">
        <v>4.51</v>
      </c>
      <c r="P1743">
        <v>54.77</v>
      </c>
      <c r="Q1743">
        <v>2.63</v>
      </c>
      <c r="R1743">
        <v>2.4500000000000002</v>
      </c>
      <c r="S1743">
        <v>901</v>
      </c>
      <c r="T1743">
        <v>18739</v>
      </c>
      <c r="U1743">
        <v>20108</v>
      </c>
      <c r="V1743">
        <v>188</v>
      </c>
      <c r="W1743">
        <v>20.32</v>
      </c>
      <c r="X1743" s="10">
        <v>0.38177440562412795</v>
      </c>
      <c r="Y1743" s="9">
        <v>57000</v>
      </c>
      <c r="Z1743" s="9">
        <v>41950</v>
      </c>
      <c r="AA1743" s="9">
        <v>54400</v>
      </c>
      <c r="AB1743">
        <v>0.8272425249169435</v>
      </c>
      <c r="AC1743" s="11">
        <v>130.96832453459291</v>
      </c>
      <c r="AD1743" s="9">
        <v>44186.299435028253</v>
      </c>
      <c r="AE1743" s="8">
        <v>0.10456852791878173</v>
      </c>
    </row>
    <row r="1744" spans="1:31" x14ac:dyDescent="0.35">
      <c r="A1744" s="6" t="s">
        <v>1765</v>
      </c>
      <c r="B1744" s="7">
        <v>0</v>
      </c>
      <c r="C1744" s="7">
        <v>0</v>
      </c>
      <c r="D1744" s="7">
        <v>0</v>
      </c>
      <c r="E1744" s="7">
        <v>18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 s="10">
        <v>0.69985077160834142</v>
      </c>
      <c r="Y1744" s="9">
        <v>14350</v>
      </c>
      <c r="Z1744" s="9">
        <v>10950</v>
      </c>
      <c r="AA1744" s="9">
        <v>13800</v>
      </c>
      <c r="AB1744">
        <v>0.83823529411764708</v>
      </c>
      <c r="AC1744" s="11">
        <v>45.436232286746311</v>
      </c>
      <c r="AD1744" s="9">
        <v>10548.361581920904</v>
      </c>
      <c r="AE1744" s="8">
        <v>0.22666666666666666</v>
      </c>
    </row>
    <row r="1745" spans="1:31" x14ac:dyDescent="0.35">
      <c r="A1745" s="6" t="s">
        <v>1766</v>
      </c>
      <c r="B1745" s="7">
        <v>4</v>
      </c>
      <c r="C1745" s="7">
        <v>0</v>
      </c>
      <c r="D1745" s="7">
        <v>2</v>
      </c>
      <c r="E1745" s="7">
        <v>12</v>
      </c>
      <c r="F1745">
        <v>39056</v>
      </c>
      <c r="G1745">
        <v>1507</v>
      </c>
      <c r="H1745">
        <v>3.86</v>
      </c>
      <c r="I1745">
        <v>449</v>
      </c>
      <c r="J1745">
        <v>1.1499999999999999</v>
      </c>
      <c r="K1745">
        <v>35370</v>
      </c>
      <c r="L1745">
        <v>19122</v>
      </c>
      <c r="M1745">
        <v>16248</v>
      </c>
      <c r="N1745">
        <v>1065.93</v>
      </c>
      <c r="O1745">
        <v>2.83</v>
      </c>
      <c r="P1745">
        <v>27.3</v>
      </c>
      <c r="Q1745">
        <v>0.9</v>
      </c>
      <c r="R1745">
        <v>0.34</v>
      </c>
      <c r="S1745">
        <v>1771</v>
      </c>
      <c r="T1745">
        <v>53928</v>
      </c>
      <c r="U1745">
        <v>143136</v>
      </c>
      <c r="V1745">
        <v>2899</v>
      </c>
      <c r="W1745">
        <v>8.9499999999999993</v>
      </c>
      <c r="X1745" s="10">
        <v>6.3152238820423798E-2</v>
      </c>
      <c r="Y1745" s="9">
        <v>52800</v>
      </c>
      <c r="Z1745" s="9">
        <v>45450</v>
      </c>
      <c r="AA1745" s="9">
        <v>50600</v>
      </c>
      <c r="AB1745">
        <v>0.70068027210884354</v>
      </c>
      <c r="AC1745" s="11">
        <v>26.790775215337593</v>
      </c>
      <c r="AD1745" s="9">
        <v>48322.881355932201</v>
      </c>
      <c r="AE1745" s="8">
        <v>5.1975051975051978E-2</v>
      </c>
    </row>
    <row r="1746" spans="1:31" x14ac:dyDescent="0.35">
      <c r="A1746" s="6" t="s">
        <v>1767</v>
      </c>
      <c r="B1746" s="7">
        <v>0</v>
      </c>
      <c r="C1746" s="7">
        <v>0</v>
      </c>
      <c r="D1746" s="7">
        <v>0</v>
      </c>
      <c r="E1746" s="7">
        <v>18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 s="10">
        <v>0.69644059747424647</v>
      </c>
      <c r="Y1746" s="9">
        <v>21650</v>
      </c>
      <c r="Z1746" s="9">
        <v>18300</v>
      </c>
      <c r="AA1746" s="9">
        <v>21650</v>
      </c>
      <c r="AB1746">
        <v>1</v>
      </c>
      <c r="AC1746" s="11">
        <v>50.00277854959711</v>
      </c>
      <c r="AD1746" s="9">
        <v>18069.915254237287</v>
      </c>
      <c r="AE1746" s="8">
        <v>0.17027027027027028</v>
      </c>
    </row>
    <row r="1747" spans="1:31" x14ac:dyDescent="0.35">
      <c r="A1747" s="6" t="s">
        <v>1768</v>
      </c>
      <c r="B1747" s="7">
        <v>0</v>
      </c>
      <c r="C1747" s="7">
        <v>9</v>
      </c>
      <c r="D1747" s="7">
        <v>3</v>
      </c>
      <c r="E1747" s="7">
        <v>6</v>
      </c>
      <c r="F1747">
        <v>1841</v>
      </c>
      <c r="G1747">
        <v>23</v>
      </c>
      <c r="H1747">
        <v>1.24</v>
      </c>
      <c r="I1747">
        <v>-2</v>
      </c>
      <c r="J1747">
        <v>-0.12</v>
      </c>
      <c r="K1747">
        <v>2113</v>
      </c>
      <c r="L1747">
        <v>1225</v>
      </c>
      <c r="M1747">
        <v>888</v>
      </c>
      <c r="N1747">
        <v>206.26</v>
      </c>
      <c r="O1747">
        <v>-0.34</v>
      </c>
      <c r="P1747">
        <v>0</v>
      </c>
      <c r="Q1747">
        <v>1.54</v>
      </c>
      <c r="R1747">
        <v>0.54</v>
      </c>
      <c r="S1747">
        <v>-11</v>
      </c>
      <c r="T1747">
        <v>2948</v>
      </c>
      <c r="U1747">
        <v>8464</v>
      </c>
      <c r="V1747">
        <v>122</v>
      </c>
      <c r="W1747">
        <v>16.91</v>
      </c>
      <c r="X1747" s="10">
        <v>0.63442593316695917</v>
      </c>
      <c r="Y1747" s="9">
        <v>5900</v>
      </c>
      <c r="Z1747" s="9">
        <v>4675</v>
      </c>
      <c r="AA1747" s="9">
        <v>5580</v>
      </c>
      <c r="AB1747">
        <v>0.73877551020408161</v>
      </c>
      <c r="AC1747" s="11">
        <v>14.446929702695192</v>
      </c>
      <c r="AD1747" s="9">
        <v>5003.7853107344636</v>
      </c>
      <c r="AE1747" s="8">
        <v>0.19358288770053475</v>
      </c>
    </row>
    <row r="1748" spans="1:31" x14ac:dyDescent="0.35">
      <c r="A1748" s="6" t="s">
        <v>1769</v>
      </c>
      <c r="B1748" s="7">
        <v>8</v>
      </c>
      <c r="C1748" s="7">
        <v>4</v>
      </c>
      <c r="D1748" s="7">
        <v>1</v>
      </c>
      <c r="E1748" s="7">
        <v>5</v>
      </c>
      <c r="F1748">
        <v>238</v>
      </c>
      <c r="G1748">
        <v>8</v>
      </c>
      <c r="H1748">
        <v>3.3</v>
      </c>
      <c r="I1748">
        <v>-9</v>
      </c>
      <c r="J1748">
        <v>-3.58</v>
      </c>
      <c r="K1748">
        <v>564</v>
      </c>
      <c r="L1748">
        <v>243</v>
      </c>
      <c r="M1748">
        <v>322</v>
      </c>
      <c r="N1748">
        <v>539.85</v>
      </c>
      <c r="O1748">
        <v>-2.61</v>
      </c>
      <c r="P1748">
        <v>0</v>
      </c>
      <c r="Q1748">
        <v>0.41</v>
      </c>
      <c r="R1748">
        <v>0.52</v>
      </c>
      <c r="S1748">
        <v>-84</v>
      </c>
      <c r="T1748">
        <v>2953</v>
      </c>
      <c r="U1748">
        <v>2343</v>
      </c>
      <c r="V1748">
        <v>24</v>
      </c>
      <c r="W1748">
        <v>11.02</v>
      </c>
      <c r="X1748" s="10">
        <v>0.68206972764095208</v>
      </c>
      <c r="Y1748" s="9">
        <v>1880</v>
      </c>
      <c r="Z1748" s="9">
        <v>1205</v>
      </c>
      <c r="AA1748" s="9">
        <v>1490</v>
      </c>
      <c r="AB1748">
        <v>0.42222222222222222</v>
      </c>
      <c r="AC1748" s="11">
        <v>7.5498749652681285</v>
      </c>
      <c r="AD1748" s="9">
        <v>1146.0621468926554</v>
      </c>
      <c r="AE1748" s="8">
        <v>0.21632653061224491</v>
      </c>
    </row>
    <row r="1749" spans="1:31" x14ac:dyDescent="0.35">
      <c r="A1749" s="6" t="s">
        <v>1770</v>
      </c>
      <c r="B1749" s="7">
        <v>11</v>
      </c>
      <c r="C1749" s="7">
        <v>1</v>
      </c>
      <c r="D1749" s="7">
        <v>4</v>
      </c>
      <c r="E1749" s="7">
        <v>2</v>
      </c>
      <c r="F1749">
        <v>20136</v>
      </c>
      <c r="G1749">
        <v>3775</v>
      </c>
      <c r="H1749">
        <v>18.75</v>
      </c>
      <c r="I1749">
        <v>2429</v>
      </c>
      <c r="J1749">
        <v>12.06</v>
      </c>
      <c r="K1749">
        <v>15760</v>
      </c>
      <c r="L1749">
        <v>5170</v>
      </c>
      <c r="M1749">
        <v>10590</v>
      </c>
      <c r="N1749">
        <v>2823.21</v>
      </c>
      <c r="O1749">
        <v>23.98</v>
      </c>
      <c r="P1749">
        <v>25.75</v>
      </c>
      <c r="Q1749">
        <v>7.12</v>
      </c>
      <c r="R1749">
        <v>3.11</v>
      </c>
      <c r="S1749">
        <v>3270</v>
      </c>
      <c r="T1749">
        <v>11823</v>
      </c>
      <c r="U1749">
        <v>27105</v>
      </c>
      <c r="V1749">
        <v>5770</v>
      </c>
      <c r="W1749">
        <v>11.35</v>
      </c>
      <c r="X1749" s="10">
        <v>0.46645611730310432</v>
      </c>
      <c r="Y1749" s="9">
        <v>92500</v>
      </c>
      <c r="Z1749" s="9">
        <v>78900</v>
      </c>
      <c r="AA1749" s="9">
        <v>92200</v>
      </c>
      <c r="AB1749">
        <v>0.9779411764705882</v>
      </c>
      <c r="AC1749" s="11">
        <v>118.67185329258128</v>
      </c>
      <c r="AD1749" s="9">
        <v>82600.508474576272</v>
      </c>
      <c r="AE1749" s="8">
        <v>6.9605568445475635E-2</v>
      </c>
    </row>
    <row r="1750" spans="1:31" x14ac:dyDescent="0.35">
      <c r="A1750" s="6" t="s">
        <v>1771</v>
      </c>
      <c r="B1750" s="7">
        <v>11</v>
      </c>
      <c r="C1750" s="7">
        <v>4</v>
      </c>
      <c r="D1750" s="7">
        <v>3</v>
      </c>
      <c r="E1750" s="7">
        <v>0</v>
      </c>
      <c r="F1750">
        <v>585</v>
      </c>
      <c r="G1750">
        <v>74</v>
      </c>
      <c r="H1750">
        <v>12.58</v>
      </c>
      <c r="I1750">
        <v>71</v>
      </c>
      <c r="J1750">
        <v>12.14</v>
      </c>
      <c r="K1750">
        <v>817</v>
      </c>
      <c r="L1750">
        <v>120</v>
      </c>
      <c r="M1750">
        <v>697</v>
      </c>
      <c r="N1750">
        <v>1380.55</v>
      </c>
      <c r="O1750">
        <v>10.64</v>
      </c>
      <c r="P1750">
        <v>6.11</v>
      </c>
      <c r="Q1750">
        <v>0.73</v>
      </c>
      <c r="R1750">
        <v>0.74</v>
      </c>
      <c r="S1750">
        <v>802</v>
      </c>
      <c r="T1750">
        <v>6671</v>
      </c>
      <c r="U1750">
        <v>6613</v>
      </c>
      <c r="V1750">
        <v>88</v>
      </c>
      <c r="W1750">
        <v>5.47</v>
      </c>
      <c r="X1750" s="10">
        <v>0.80613923465555304</v>
      </c>
      <c r="Y1750" s="9">
        <v>6520</v>
      </c>
      <c r="Z1750" s="9">
        <v>4480</v>
      </c>
      <c r="AA1750" s="9">
        <v>6290</v>
      </c>
      <c r="AB1750">
        <v>0.88725490196078427</v>
      </c>
      <c r="AC1750" s="11">
        <v>29.095026396221172</v>
      </c>
      <c r="AD1750" s="9">
        <v>4384.6016949152545</v>
      </c>
      <c r="AE1750" s="8">
        <v>0.29423868312757201</v>
      </c>
    </row>
    <row r="1751" spans="1:31" x14ac:dyDescent="0.35">
      <c r="A1751" s="6" t="s">
        <v>1772</v>
      </c>
      <c r="B1751" s="7">
        <v>1</v>
      </c>
      <c r="C1751" s="7">
        <v>9</v>
      </c>
      <c r="D1751" s="7">
        <v>3</v>
      </c>
      <c r="E1751" s="7">
        <v>5</v>
      </c>
      <c r="F1751">
        <v>277</v>
      </c>
      <c r="G1751">
        <v>4</v>
      </c>
      <c r="H1751">
        <v>1.32</v>
      </c>
      <c r="I1751">
        <v>3</v>
      </c>
      <c r="J1751">
        <v>0.98</v>
      </c>
      <c r="K1751">
        <v>585</v>
      </c>
      <c r="L1751">
        <v>260</v>
      </c>
      <c r="M1751">
        <v>325</v>
      </c>
      <c r="N1751">
        <v>952.18</v>
      </c>
      <c r="O1751">
        <v>0.84</v>
      </c>
      <c r="P1751">
        <v>70.569999999999993</v>
      </c>
      <c r="Q1751">
        <v>0.67</v>
      </c>
      <c r="R1751">
        <v>0.69</v>
      </c>
      <c r="S1751">
        <v>44</v>
      </c>
      <c r="T1751">
        <v>4651</v>
      </c>
      <c r="U1751">
        <v>4523</v>
      </c>
      <c r="V1751">
        <v>28</v>
      </c>
      <c r="W1751">
        <v>10.45</v>
      </c>
      <c r="X1751" s="10">
        <v>0.57404277468526899</v>
      </c>
      <c r="Y1751" s="9">
        <v>4515</v>
      </c>
      <c r="Z1751" s="9">
        <v>3050</v>
      </c>
      <c r="AA1751" s="9">
        <v>4190</v>
      </c>
      <c r="AB1751">
        <v>0.77815699658703075</v>
      </c>
      <c r="AC1751" s="11">
        <v>14.995554320644628</v>
      </c>
      <c r="AD1751" s="9">
        <v>3215.9689265536722</v>
      </c>
      <c r="AE1751" s="8">
        <v>0.3737704918032787</v>
      </c>
    </row>
    <row r="1752" spans="1:31" x14ac:dyDescent="0.35">
      <c r="A1752" s="6" t="s">
        <v>1773</v>
      </c>
      <c r="B1752" s="7">
        <v>7</v>
      </c>
      <c r="C1752" s="7">
        <v>9</v>
      </c>
      <c r="D1752" s="7">
        <v>2</v>
      </c>
      <c r="E1752" s="7">
        <v>0</v>
      </c>
      <c r="F1752">
        <v>1035</v>
      </c>
      <c r="G1752">
        <v>97</v>
      </c>
      <c r="H1752">
        <v>9.3699999999999992</v>
      </c>
      <c r="I1752">
        <v>57</v>
      </c>
      <c r="J1752">
        <v>5.52</v>
      </c>
      <c r="K1752">
        <v>1057</v>
      </c>
      <c r="L1752">
        <v>303</v>
      </c>
      <c r="M1752">
        <v>754</v>
      </c>
      <c r="N1752">
        <v>817.66</v>
      </c>
      <c r="O1752">
        <v>7.83</v>
      </c>
      <c r="P1752">
        <v>26.61</v>
      </c>
      <c r="Q1752">
        <v>2.27</v>
      </c>
      <c r="R1752">
        <v>1.47</v>
      </c>
      <c r="S1752">
        <v>357</v>
      </c>
      <c r="T1752">
        <v>4190</v>
      </c>
      <c r="U1752">
        <v>6472</v>
      </c>
      <c r="V1752">
        <v>111</v>
      </c>
      <c r="W1752">
        <v>15.72</v>
      </c>
      <c r="X1752" s="10">
        <v>0.6475169100966498</v>
      </c>
      <c r="Y1752" s="9">
        <v>21750</v>
      </c>
      <c r="Z1752" s="9">
        <v>9160</v>
      </c>
      <c r="AA1752" s="9">
        <v>14650</v>
      </c>
      <c r="AB1752">
        <v>0.43606036536934073</v>
      </c>
      <c r="AC1752" s="11">
        <v>154.94248402333983</v>
      </c>
      <c r="AD1752" s="9">
        <v>9561.9209039548005</v>
      </c>
      <c r="AE1752" s="8">
        <v>0.45771144278606968</v>
      </c>
    </row>
    <row r="1753" spans="1:31" x14ac:dyDescent="0.35">
      <c r="A1753" s="6" t="s">
        <v>1774</v>
      </c>
      <c r="B1753" s="7">
        <v>1</v>
      </c>
      <c r="C1753" s="7">
        <v>4</v>
      </c>
      <c r="D1753" s="7">
        <v>6</v>
      </c>
      <c r="E1753" s="7">
        <v>7</v>
      </c>
      <c r="F1753">
        <v>1</v>
      </c>
      <c r="G1753">
        <v>-37</v>
      </c>
      <c r="H1753">
        <v>-2649.22</v>
      </c>
      <c r="I1753">
        <v>-61</v>
      </c>
      <c r="J1753">
        <v>-4291.46</v>
      </c>
      <c r="K1753">
        <v>1179</v>
      </c>
      <c r="L1753">
        <v>750</v>
      </c>
      <c r="M1753">
        <v>429</v>
      </c>
      <c r="N1753">
        <v>-26.6</v>
      </c>
      <c r="O1753">
        <v>-25.67</v>
      </c>
      <c r="P1753">
        <v>0</v>
      </c>
      <c r="Q1753">
        <v>1.05</v>
      </c>
      <c r="R1753">
        <v>165</v>
      </c>
      <c r="S1753">
        <v>-986</v>
      </c>
      <c r="T1753">
        <v>3458</v>
      </c>
      <c r="U1753">
        <v>22</v>
      </c>
      <c r="V1753">
        <v>-11</v>
      </c>
      <c r="W1753">
        <v>-102.95</v>
      </c>
      <c r="X1753" s="10">
        <v>0.43583789304744713</v>
      </c>
      <c r="Y1753" s="9">
        <v>3995</v>
      </c>
      <c r="Z1753" s="9">
        <v>3530</v>
      </c>
      <c r="AA1753" s="9">
        <v>3815</v>
      </c>
      <c r="AB1753">
        <v>0.61290322580645162</v>
      </c>
      <c r="AC1753" s="11">
        <v>4.1969991664351207</v>
      </c>
      <c r="AD1753" s="9">
        <v>3536.4915254237289</v>
      </c>
      <c r="AE1753" s="8">
        <v>7.7683615819209045E-2</v>
      </c>
    </row>
    <row r="1754" spans="1:31" x14ac:dyDescent="0.35">
      <c r="A1754" s="6" t="s">
        <v>1775</v>
      </c>
      <c r="B1754" s="7">
        <v>3</v>
      </c>
      <c r="C1754" s="7">
        <v>0</v>
      </c>
      <c r="D1754" s="7">
        <v>8</v>
      </c>
      <c r="E1754" s="7">
        <v>7</v>
      </c>
      <c r="F1754">
        <v>1036</v>
      </c>
      <c r="G1754">
        <v>35</v>
      </c>
      <c r="H1754">
        <v>3.35</v>
      </c>
      <c r="I1754">
        <v>38</v>
      </c>
      <c r="J1754">
        <v>3.71</v>
      </c>
      <c r="K1754">
        <v>1814</v>
      </c>
      <c r="L1754">
        <v>186</v>
      </c>
      <c r="M1754">
        <v>1628</v>
      </c>
      <c r="N1754">
        <v>2447.08</v>
      </c>
      <c r="O1754">
        <v>3.14</v>
      </c>
      <c r="P1754">
        <v>28.46</v>
      </c>
      <c r="Q1754">
        <v>0.93</v>
      </c>
      <c r="R1754">
        <v>1.06</v>
      </c>
      <c r="S1754">
        <v>397</v>
      </c>
      <c r="T1754">
        <v>12137</v>
      </c>
      <c r="U1754">
        <v>10695</v>
      </c>
      <c r="V1754">
        <v>68</v>
      </c>
      <c r="W1754">
        <v>21.42</v>
      </c>
      <c r="X1754" s="10">
        <v>0.37561775109307394</v>
      </c>
      <c r="Y1754" s="9">
        <v>13300</v>
      </c>
      <c r="Z1754" s="9">
        <v>9980</v>
      </c>
      <c r="AA1754" s="9">
        <v>13300</v>
      </c>
      <c r="AB1754">
        <v>1</v>
      </c>
      <c r="AC1754" s="11">
        <v>22.402889691580995</v>
      </c>
      <c r="AD1754" s="9">
        <v>11416.378531073446</v>
      </c>
      <c r="AE1754" s="8">
        <v>0.33266533066132264</v>
      </c>
    </row>
    <row r="1755" spans="1:31" x14ac:dyDescent="0.35">
      <c r="A1755" s="6" t="s">
        <v>1776</v>
      </c>
      <c r="B1755" s="7">
        <v>17</v>
      </c>
      <c r="C1755" s="7">
        <v>1</v>
      </c>
      <c r="D1755" s="7">
        <v>0</v>
      </c>
      <c r="E1755" s="7">
        <v>0</v>
      </c>
      <c r="F1755">
        <v>1064</v>
      </c>
      <c r="G1755">
        <v>114</v>
      </c>
      <c r="H1755">
        <v>10.74</v>
      </c>
      <c r="I1755">
        <v>103</v>
      </c>
      <c r="J1755">
        <v>9.69</v>
      </c>
      <c r="K1755">
        <v>773</v>
      </c>
      <c r="L1755">
        <v>203</v>
      </c>
      <c r="M1755">
        <v>570</v>
      </c>
      <c r="N1755">
        <v>1187.92</v>
      </c>
      <c r="O1755">
        <v>19.96</v>
      </c>
      <c r="P1755">
        <v>9.7100000000000009</v>
      </c>
      <c r="Q1755">
        <v>1.8</v>
      </c>
      <c r="R1755">
        <v>0.94</v>
      </c>
      <c r="S1755">
        <v>1179</v>
      </c>
      <c r="T1755">
        <v>6371</v>
      </c>
      <c r="U1755">
        <v>12160</v>
      </c>
      <c r="V1755">
        <v>127</v>
      </c>
      <c r="W1755">
        <v>7.99</v>
      </c>
      <c r="X1755" s="10">
        <v>0.88151575308989993</v>
      </c>
      <c r="Y1755" s="9">
        <v>14050</v>
      </c>
      <c r="Z1755" s="9">
        <v>10850</v>
      </c>
      <c r="AA1755" s="9">
        <v>14050</v>
      </c>
      <c r="AB1755">
        <v>1</v>
      </c>
      <c r="AC1755" s="11">
        <v>48.321756043345381</v>
      </c>
      <c r="AD1755" s="9">
        <v>10834.5197740113</v>
      </c>
      <c r="AE1755" s="8">
        <v>0.24336283185840707</v>
      </c>
    </row>
    <row r="1756" spans="1:31" x14ac:dyDescent="0.35">
      <c r="A1756" s="6" t="s">
        <v>1777</v>
      </c>
      <c r="B1756" s="7">
        <v>0</v>
      </c>
      <c r="C1756" s="7">
        <v>6</v>
      </c>
      <c r="D1756" s="7">
        <v>0</v>
      </c>
      <c r="E1756" s="7">
        <v>12</v>
      </c>
      <c r="F1756">
        <v>0</v>
      </c>
      <c r="G1756">
        <v>-7</v>
      </c>
      <c r="H1756">
        <v>0</v>
      </c>
      <c r="I1756">
        <v>-7</v>
      </c>
      <c r="J1756">
        <v>0</v>
      </c>
      <c r="K1756">
        <v>145</v>
      </c>
      <c r="L1756">
        <v>18</v>
      </c>
      <c r="M1756">
        <v>127</v>
      </c>
      <c r="N1756">
        <v>1714.47</v>
      </c>
      <c r="O1756">
        <v>-5.13</v>
      </c>
      <c r="P1756">
        <v>0</v>
      </c>
      <c r="Q1756">
        <v>6.42</v>
      </c>
      <c r="R1756">
        <v>0</v>
      </c>
      <c r="S1756">
        <v>-137</v>
      </c>
      <c r="T1756">
        <v>1814</v>
      </c>
      <c r="U1756">
        <v>0</v>
      </c>
      <c r="V1756">
        <v>-7</v>
      </c>
      <c r="W1756">
        <v>-120</v>
      </c>
      <c r="X1756" s="10">
        <v>0.61200117269572074</v>
      </c>
      <c r="Y1756" s="9">
        <v>17850</v>
      </c>
      <c r="Z1756" s="9">
        <v>11200</v>
      </c>
      <c r="AA1756" s="9">
        <v>15900</v>
      </c>
      <c r="AB1756">
        <v>0.70676691729323304</v>
      </c>
      <c r="AC1756" s="11">
        <v>70.626562934148382</v>
      </c>
      <c r="AD1756" s="9">
        <v>12183.389830508475</v>
      </c>
      <c r="AE1756" s="8">
        <v>0.36480686695278969</v>
      </c>
    </row>
    <row r="1757" spans="1:31" x14ac:dyDescent="0.35">
      <c r="A1757" s="6" t="s">
        <v>1778</v>
      </c>
      <c r="B1757" s="7">
        <v>4</v>
      </c>
      <c r="C1757" s="7">
        <v>2</v>
      </c>
      <c r="D1757" s="7">
        <v>7</v>
      </c>
      <c r="E1757" s="7">
        <v>5</v>
      </c>
      <c r="F1757">
        <v>1849</v>
      </c>
      <c r="G1757">
        <v>-50</v>
      </c>
      <c r="H1757">
        <v>-2.72</v>
      </c>
      <c r="I1757">
        <v>-55</v>
      </c>
      <c r="J1757">
        <v>-2.97</v>
      </c>
      <c r="K1757">
        <v>1089</v>
      </c>
      <c r="L1757">
        <v>655</v>
      </c>
      <c r="M1757">
        <v>434</v>
      </c>
      <c r="N1757">
        <v>172.63</v>
      </c>
      <c r="O1757">
        <v>-11.78</v>
      </c>
      <c r="P1757">
        <v>0</v>
      </c>
      <c r="Q1757">
        <v>1.0900000000000001</v>
      </c>
      <c r="R1757">
        <v>0.24</v>
      </c>
      <c r="S1757">
        <v>-172</v>
      </c>
      <c r="T1757">
        <v>1301</v>
      </c>
      <c r="U1757">
        <v>5806</v>
      </c>
      <c r="V1757">
        <v>-41</v>
      </c>
      <c r="W1757">
        <v>-11.05</v>
      </c>
      <c r="X1757" s="10">
        <v>1.0407492595514252E-2</v>
      </c>
      <c r="Y1757" s="9">
        <v>1585</v>
      </c>
      <c r="Z1757" s="9">
        <v>1295</v>
      </c>
      <c r="AA1757" s="9">
        <v>1585</v>
      </c>
      <c r="AB1757">
        <v>1</v>
      </c>
      <c r="AC1757" s="11">
        <v>0.3674631842178383</v>
      </c>
      <c r="AD1757" s="9">
        <v>1413.542372881356</v>
      </c>
      <c r="AE1757" s="8">
        <v>0.14028776978417265</v>
      </c>
    </row>
    <row r="1758" spans="1:31" x14ac:dyDescent="0.35">
      <c r="A1758" s="6" t="s">
        <v>1779</v>
      </c>
      <c r="B1758" s="7">
        <v>12</v>
      </c>
      <c r="C1758" s="7">
        <v>5</v>
      </c>
      <c r="D1758" s="7">
        <v>1</v>
      </c>
      <c r="E1758" s="7">
        <v>0</v>
      </c>
      <c r="F1758">
        <v>5544</v>
      </c>
      <c r="G1758">
        <v>762</v>
      </c>
      <c r="H1758">
        <v>13.74</v>
      </c>
      <c r="I1758">
        <v>750</v>
      </c>
      <c r="J1758">
        <v>13.52</v>
      </c>
      <c r="K1758">
        <v>5210</v>
      </c>
      <c r="L1758">
        <v>982</v>
      </c>
      <c r="M1758">
        <v>4228</v>
      </c>
      <c r="N1758">
        <v>9828.1299999999992</v>
      </c>
      <c r="O1758">
        <v>19.239999999999998</v>
      </c>
      <c r="P1758">
        <v>19.399999999999999</v>
      </c>
      <c r="Q1758">
        <v>4.16</v>
      </c>
      <c r="R1758">
        <v>2.62</v>
      </c>
      <c r="S1758">
        <v>9176</v>
      </c>
      <c r="T1758">
        <v>42741</v>
      </c>
      <c r="U1758">
        <v>67851</v>
      </c>
      <c r="V1758">
        <v>1041</v>
      </c>
      <c r="W1758">
        <v>16.77</v>
      </c>
      <c r="X1758" s="10">
        <v>0.49600184530529273</v>
      </c>
      <c r="Y1758" s="9">
        <v>200000</v>
      </c>
      <c r="Z1758" s="9">
        <v>163000</v>
      </c>
      <c r="AA1758" s="9">
        <v>181000</v>
      </c>
      <c r="AB1758">
        <v>0.48648648648648651</v>
      </c>
      <c r="AC1758" s="11">
        <v>336.28785773826064</v>
      </c>
      <c r="AD1758" s="9">
        <v>173143.22033898305</v>
      </c>
      <c r="AE1758" s="8">
        <v>0</v>
      </c>
    </row>
    <row r="1759" spans="1:31" x14ac:dyDescent="0.35">
      <c r="A1759" s="6" t="s">
        <v>1780</v>
      </c>
      <c r="B1759" s="7">
        <v>8</v>
      </c>
      <c r="C1759" s="7">
        <v>3</v>
      </c>
      <c r="D1759" s="7">
        <v>4</v>
      </c>
      <c r="E1759" s="7">
        <v>3</v>
      </c>
      <c r="F1759">
        <v>268</v>
      </c>
      <c r="G1759">
        <v>5</v>
      </c>
      <c r="H1759">
        <v>1.78</v>
      </c>
      <c r="I1759">
        <v>-1</v>
      </c>
      <c r="J1759">
        <v>-0.24</v>
      </c>
      <c r="K1759">
        <v>605</v>
      </c>
      <c r="L1759">
        <v>20</v>
      </c>
      <c r="M1759">
        <v>585</v>
      </c>
      <c r="N1759">
        <v>340.95</v>
      </c>
      <c r="O1759">
        <v>-0.11</v>
      </c>
      <c r="P1759">
        <v>0</v>
      </c>
      <c r="Q1759">
        <v>2.4700000000000002</v>
      </c>
      <c r="R1759">
        <v>4.87</v>
      </c>
      <c r="S1759">
        <v>-2</v>
      </c>
      <c r="T1759">
        <v>1983</v>
      </c>
      <c r="U1759">
        <v>1007</v>
      </c>
      <c r="V1759">
        <v>9</v>
      </c>
      <c r="W1759">
        <v>154.44</v>
      </c>
      <c r="X1759" s="10">
        <v>0.20038802813658693</v>
      </c>
      <c r="Y1759" s="9">
        <v>5530</v>
      </c>
      <c r="Z1759" s="9">
        <v>4650</v>
      </c>
      <c r="AA1759" s="9">
        <v>4760</v>
      </c>
      <c r="AB1759">
        <v>0.125</v>
      </c>
      <c r="AC1759" s="11">
        <v>-5.9585996110030557</v>
      </c>
      <c r="AD1759" s="9">
        <v>5145.5706214689262</v>
      </c>
      <c r="AE1759" s="8">
        <v>1.276595744680851E-2</v>
      </c>
    </row>
    <row r="1760" spans="1:31" x14ac:dyDescent="0.35">
      <c r="A1760" s="6" t="s">
        <v>1781</v>
      </c>
      <c r="B1760" s="7">
        <v>5</v>
      </c>
      <c r="C1760" s="7">
        <v>3</v>
      </c>
      <c r="D1760" s="7">
        <v>8</v>
      </c>
      <c r="E1760" s="7">
        <v>2</v>
      </c>
      <c r="F1760">
        <v>109</v>
      </c>
      <c r="G1760">
        <v>2</v>
      </c>
      <c r="H1760">
        <v>1.5</v>
      </c>
      <c r="I1760">
        <v>14</v>
      </c>
      <c r="J1760">
        <v>13.04</v>
      </c>
      <c r="K1760">
        <v>888</v>
      </c>
      <c r="L1760">
        <v>59</v>
      </c>
      <c r="M1760">
        <v>829</v>
      </c>
      <c r="N1760">
        <v>89.39</v>
      </c>
      <c r="O1760">
        <v>1.74</v>
      </c>
      <c r="P1760">
        <v>62.5</v>
      </c>
      <c r="Q1760">
        <v>1.07</v>
      </c>
      <c r="R1760">
        <v>8</v>
      </c>
      <c r="S1760">
        <v>16</v>
      </c>
      <c r="T1760">
        <v>935</v>
      </c>
      <c r="U1760">
        <v>125</v>
      </c>
      <c r="V1760">
        <v>2</v>
      </c>
      <c r="W1760">
        <v>468.57</v>
      </c>
      <c r="X1760" s="10">
        <v>0.71200157952524634</v>
      </c>
      <c r="Y1760" s="9">
        <v>1205</v>
      </c>
      <c r="Z1760" s="9">
        <v>998</v>
      </c>
      <c r="AA1760" s="9">
        <v>1205</v>
      </c>
      <c r="AB1760">
        <v>1</v>
      </c>
      <c r="AC1760" s="11">
        <v>2.3162823006390663</v>
      </c>
      <c r="AD1760" s="9">
        <v>1021.7367231638419</v>
      </c>
      <c r="AE1760" s="8">
        <v>0.20741482965931865</v>
      </c>
    </row>
    <row r="1761" spans="1:31" x14ac:dyDescent="0.35">
      <c r="A1761" s="6" t="s">
        <v>1782</v>
      </c>
      <c r="B1761" s="7">
        <v>5</v>
      </c>
      <c r="C1761" s="7">
        <v>6</v>
      </c>
      <c r="D1761" s="7">
        <v>0</v>
      </c>
      <c r="E1761" s="7">
        <v>7</v>
      </c>
      <c r="F1761">
        <v>104</v>
      </c>
      <c r="G1761">
        <v>7</v>
      </c>
      <c r="H1761">
        <v>6.52</v>
      </c>
      <c r="I1761">
        <v>5</v>
      </c>
      <c r="J1761">
        <v>4.47</v>
      </c>
      <c r="K1761">
        <v>769</v>
      </c>
      <c r="L1761">
        <v>409</v>
      </c>
      <c r="M1761">
        <v>360</v>
      </c>
      <c r="N1761">
        <v>264.64999999999998</v>
      </c>
      <c r="O1761">
        <v>1.32</v>
      </c>
      <c r="P1761">
        <v>32.520000000000003</v>
      </c>
      <c r="Q1761">
        <v>0.43</v>
      </c>
      <c r="R1761">
        <v>1.42</v>
      </c>
      <c r="S1761">
        <v>21</v>
      </c>
      <c r="T1761">
        <v>1586</v>
      </c>
      <c r="U1761">
        <v>481</v>
      </c>
      <c r="V1761">
        <v>10</v>
      </c>
      <c r="W1761">
        <v>48.46</v>
      </c>
      <c r="X1761" s="10">
        <v>0.82657685603263675</v>
      </c>
      <c r="Y1761" s="9">
        <v>892</v>
      </c>
      <c r="Z1761" s="9">
        <v>652</v>
      </c>
      <c r="AA1761" s="9">
        <v>892</v>
      </c>
      <c r="AB1761">
        <v>1</v>
      </c>
      <c r="AC1761" s="11">
        <v>2.7326757432620181</v>
      </c>
      <c r="AD1761" s="9">
        <v>671.00338983050847</v>
      </c>
      <c r="AE1761" s="8">
        <v>0.36809815950920244</v>
      </c>
    </row>
    <row r="1762" spans="1:31" x14ac:dyDescent="0.35">
      <c r="A1762" s="6" t="s">
        <v>1783</v>
      </c>
      <c r="B1762" s="7">
        <v>5</v>
      </c>
      <c r="C1762" s="7">
        <v>5</v>
      </c>
      <c r="D1762" s="7">
        <v>3</v>
      </c>
      <c r="E1762" s="7">
        <v>5</v>
      </c>
      <c r="F1762">
        <v>27</v>
      </c>
      <c r="G1762">
        <v>-26</v>
      </c>
      <c r="H1762">
        <v>-97.17</v>
      </c>
      <c r="I1762">
        <v>-13</v>
      </c>
      <c r="J1762">
        <v>-48.09</v>
      </c>
      <c r="K1762">
        <v>123</v>
      </c>
      <c r="L1762">
        <v>62</v>
      </c>
      <c r="M1762">
        <v>61</v>
      </c>
      <c r="N1762">
        <v>0.27</v>
      </c>
      <c r="O1762">
        <v>-31.77</v>
      </c>
      <c r="P1762">
        <v>0</v>
      </c>
      <c r="Q1762">
        <v>6.14</v>
      </c>
      <c r="R1762">
        <v>8.7799999999999994</v>
      </c>
      <c r="S1762">
        <v>-133</v>
      </c>
      <c r="T1762">
        <v>399</v>
      </c>
      <c r="U1762">
        <v>279</v>
      </c>
      <c r="V1762">
        <v>-30</v>
      </c>
      <c r="W1762">
        <v>-12.93</v>
      </c>
      <c r="X1762" s="10">
        <v>0.82031895726532689</v>
      </c>
      <c r="Y1762" s="9">
        <v>3510</v>
      </c>
      <c r="Z1762" s="9">
        <v>1630</v>
      </c>
      <c r="AA1762" s="9">
        <v>3510</v>
      </c>
      <c r="AB1762">
        <v>1</v>
      </c>
      <c r="AC1762" s="11">
        <v>29.776743539872186</v>
      </c>
      <c r="AD1762" s="9">
        <v>1431.8926553672318</v>
      </c>
      <c r="AE1762" s="8">
        <v>1.0289017341040463</v>
      </c>
    </row>
    <row r="1763" spans="1:31" x14ac:dyDescent="0.35">
      <c r="A1763" s="6" t="s">
        <v>1784</v>
      </c>
      <c r="B1763" s="7">
        <v>5</v>
      </c>
      <c r="C1763" s="7">
        <v>1</v>
      </c>
      <c r="D1763" s="7">
        <v>8</v>
      </c>
      <c r="E1763" s="7">
        <v>4</v>
      </c>
      <c r="F1763">
        <v>242</v>
      </c>
      <c r="G1763">
        <v>31</v>
      </c>
      <c r="H1763">
        <v>12.85</v>
      </c>
      <c r="I1763">
        <v>33</v>
      </c>
      <c r="J1763">
        <v>13.53</v>
      </c>
      <c r="K1763">
        <v>578</v>
      </c>
      <c r="L1763">
        <v>63</v>
      </c>
      <c r="M1763">
        <v>515</v>
      </c>
      <c r="N1763">
        <v>1145.58</v>
      </c>
      <c r="O1763">
        <v>6.53</v>
      </c>
      <c r="P1763">
        <v>12.58</v>
      </c>
      <c r="Q1763">
        <v>0.85</v>
      </c>
      <c r="R1763">
        <v>1.7</v>
      </c>
      <c r="S1763">
        <v>396</v>
      </c>
      <c r="T1763">
        <v>5860</v>
      </c>
      <c r="U1763">
        <v>2926</v>
      </c>
      <c r="V1763">
        <v>46</v>
      </c>
      <c r="W1763">
        <v>9.06</v>
      </c>
      <c r="X1763" s="10">
        <v>0.63241830336807681</v>
      </c>
      <c r="Y1763" s="9">
        <v>5660</v>
      </c>
      <c r="Z1763" s="9">
        <v>4915</v>
      </c>
      <c r="AA1763" s="9">
        <v>5380</v>
      </c>
      <c r="AB1763">
        <v>0.62416107382550334</v>
      </c>
      <c r="AC1763" s="11">
        <v>8.9391497638232842</v>
      </c>
      <c r="AD1763" s="9">
        <v>5047.8559322033898</v>
      </c>
      <c r="AE1763" s="8">
        <v>9.4608341810783314E-2</v>
      </c>
    </row>
    <row r="1764" spans="1:31" x14ac:dyDescent="0.35">
      <c r="A1764" s="6" t="s">
        <v>1785</v>
      </c>
      <c r="B1764" s="7">
        <v>0</v>
      </c>
      <c r="C1764" s="7">
        <v>4</v>
      </c>
      <c r="D1764" s="7">
        <v>4</v>
      </c>
      <c r="E1764" s="7">
        <v>10</v>
      </c>
      <c r="F1764">
        <v>111</v>
      </c>
      <c r="G1764">
        <v>6</v>
      </c>
      <c r="H1764">
        <v>5.25</v>
      </c>
      <c r="I1764">
        <v>-13</v>
      </c>
      <c r="J1764">
        <v>-11.32</v>
      </c>
      <c r="K1764">
        <v>717</v>
      </c>
      <c r="L1764">
        <v>179</v>
      </c>
      <c r="M1764">
        <v>538</v>
      </c>
      <c r="N1764">
        <v>39.130000000000003</v>
      </c>
      <c r="O1764">
        <v>-2.31</v>
      </c>
      <c r="P1764">
        <v>0</v>
      </c>
      <c r="Q1764">
        <v>0.48</v>
      </c>
      <c r="R1764">
        <v>2.17</v>
      </c>
      <c r="S1764">
        <v>-16</v>
      </c>
      <c r="T1764">
        <v>649</v>
      </c>
      <c r="U1764">
        <v>145</v>
      </c>
      <c r="V1764">
        <v>0</v>
      </c>
      <c r="W1764">
        <v>0</v>
      </c>
      <c r="X1764" s="10">
        <v>0.76808975320115025</v>
      </c>
      <c r="Y1764" s="9">
        <v>408</v>
      </c>
      <c r="Z1764" s="9">
        <v>308</v>
      </c>
      <c r="AA1764" s="9">
        <v>408</v>
      </c>
      <c r="AB1764">
        <v>1</v>
      </c>
      <c r="AC1764" s="11">
        <v>1.5639622117254794</v>
      </c>
      <c r="AD1764" s="9">
        <v>304.98248587570623</v>
      </c>
      <c r="AE1764" s="8">
        <v>0.29113924050632911</v>
      </c>
    </row>
    <row r="1765" spans="1:31" x14ac:dyDescent="0.35">
      <c r="A1765" s="6" t="s">
        <v>1786</v>
      </c>
      <c r="B1765" s="7">
        <v>6</v>
      </c>
      <c r="C1765" s="7">
        <v>4</v>
      </c>
      <c r="D1765" s="7">
        <v>6</v>
      </c>
      <c r="E1765" s="7">
        <v>2</v>
      </c>
      <c r="F1765">
        <v>4208</v>
      </c>
      <c r="G1765">
        <v>356</v>
      </c>
      <c r="H1765">
        <v>8.4700000000000006</v>
      </c>
      <c r="I1765">
        <v>190</v>
      </c>
      <c r="J1765">
        <v>4.5199999999999996</v>
      </c>
      <c r="K1765">
        <v>5271</v>
      </c>
      <c r="L1765">
        <v>2556</v>
      </c>
      <c r="M1765">
        <v>2715</v>
      </c>
      <c r="N1765">
        <v>3410.78</v>
      </c>
      <c r="O1765">
        <v>7.27</v>
      </c>
      <c r="P1765">
        <v>15.09</v>
      </c>
      <c r="Q1765">
        <v>1.1000000000000001</v>
      </c>
      <c r="R1765">
        <v>0.68</v>
      </c>
      <c r="S1765">
        <v>12562</v>
      </c>
      <c r="T1765">
        <v>172891</v>
      </c>
      <c r="U1765">
        <v>277242</v>
      </c>
      <c r="V1765">
        <v>470</v>
      </c>
      <c r="W1765">
        <v>9.15</v>
      </c>
      <c r="X1765" s="10">
        <v>0.89830327882746897</v>
      </c>
      <c r="Y1765" s="9">
        <v>293000</v>
      </c>
      <c r="Z1765" s="9">
        <v>186500</v>
      </c>
      <c r="AA1765" s="9">
        <v>293000</v>
      </c>
      <c r="AB1765">
        <v>1</v>
      </c>
      <c r="AC1765" s="11">
        <v>1477.9522089469297</v>
      </c>
      <c r="AD1765" s="9">
        <v>193147.45762711865</v>
      </c>
      <c r="AE1765" s="8">
        <v>0.51421188630490955</v>
      </c>
    </row>
    <row r="1766" spans="1:31" x14ac:dyDescent="0.35">
      <c r="A1766" s="6" t="s">
        <v>1787</v>
      </c>
      <c r="B1766" s="7">
        <v>0</v>
      </c>
      <c r="C1766" s="7">
        <v>0</v>
      </c>
      <c r="D1766" s="7">
        <v>0</v>
      </c>
      <c r="E1766" s="7">
        <v>18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 s="10">
        <v>0.91295507237579376</v>
      </c>
      <c r="Y1766" s="9">
        <v>135000</v>
      </c>
      <c r="Z1766" s="9">
        <v>77600</v>
      </c>
      <c r="AA1766" s="9">
        <v>135000</v>
      </c>
      <c r="AB1766">
        <v>1</v>
      </c>
      <c r="AC1766" s="11">
        <v>864.29008057793828</v>
      </c>
      <c r="AD1766" s="9">
        <v>72949.152542372874</v>
      </c>
      <c r="AE1766" s="8">
        <v>0.73969072164948457</v>
      </c>
    </row>
    <row r="1767" spans="1:31" x14ac:dyDescent="0.35">
      <c r="A1767" s="6" t="s">
        <v>1788</v>
      </c>
      <c r="B1767" s="7">
        <v>13</v>
      </c>
      <c r="C1767" s="7">
        <v>2</v>
      </c>
      <c r="D1767" s="7">
        <v>0</v>
      </c>
      <c r="E1767" s="7">
        <v>3</v>
      </c>
      <c r="F1767">
        <v>1219</v>
      </c>
      <c r="G1767">
        <v>118</v>
      </c>
      <c r="H1767">
        <v>9.67</v>
      </c>
      <c r="I1767">
        <v>105</v>
      </c>
      <c r="J1767">
        <v>8.65</v>
      </c>
      <c r="K1767">
        <v>1349</v>
      </c>
      <c r="L1767">
        <v>205</v>
      </c>
      <c r="M1767">
        <v>1144</v>
      </c>
      <c r="N1767">
        <v>3761.1</v>
      </c>
      <c r="O1767">
        <v>9.5500000000000007</v>
      </c>
      <c r="P1767">
        <v>28.8</v>
      </c>
      <c r="Q1767">
        <v>3.02</v>
      </c>
      <c r="R1767">
        <v>2.4900000000000002</v>
      </c>
      <c r="S1767">
        <v>1778</v>
      </c>
      <c r="T1767">
        <v>16971</v>
      </c>
      <c r="U1767">
        <v>20570</v>
      </c>
      <c r="V1767">
        <v>160</v>
      </c>
      <c r="W1767">
        <v>19</v>
      </c>
      <c r="X1767" s="10">
        <v>0.30685234501176833</v>
      </c>
      <c r="Y1767" s="9">
        <v>56200</v>
      </c>
      <c r="Z1767" s="9">
        <v>47400</v>
      </c>
      <c r="AA1767" s="9">
        <v>53900</v>
      </c>
      <c r="AB1767">
        <v>0.73863636363636365</v>
      </c>
      <c r="AC1767" s="11">
        <v>64.773548207835503</v>
      </c>
      <c r="AD1767" s="9">
        <v>50136.073446327682</v>
      </c>
      <c r="AE1767" s="8">
        <v>4.0540540540540543E-2</v>
      </c>
    </row>
    <row r="1768" spans="1:31" x14ac:dyDescent="0.35">
      <c r="A1768" s="6" t="s">
        <v>1789</v>
      </c>
      <c r="B1768" s="7">
        <v>0</v>
      </c>
      <c r="C1768" s="7">
        <v>3</v>
      </c>
      <c r="D1768" s="7">
        <v>2</v>
      </c>
      <c r="E1768" s="7">
        <v>13</v>
      </c>
      <c r="F1768">
        <v>556</v>
      </c>
      <c r="G1768">
        <v>-26</v>
      </c>
      <c r="H1768">
        <v>-4.6500000000000004</v>
      </c>
      <c r="I1768">
        <v>-37</v>
      </c>
      <c r="J1768">
        <v>-6.63</v>
      </c>
      <c r="K1768">
        <v>690</v>
      </c>
      <c r="L1768">
        <v>304</v>
      </c>
      <c r="M1768">
        <v>386</v>
      </c>
      <c r="N1768">
        <v>493.82</v>
      </c>
      <c r="O1768">
        <v>-9.15</v>
      </c>
      <c r="P1768">
        <v>0</v>
      </c>
      <c r="Q1768">
        <v>1.04</v>
      </c>
      <c r="R1768">
        <v>0.71</v>
      </c>
      <c r="S1768">
        <v>-284</v>
      </c>
      <c r="T1768">
        <v>2916</v>
      </c>
      <c r="U1768">
        <v>4279</v>
      </c>
      <c r="V1768">
        <v>25</v>
      </c>
      <c r="W1768">
        <v>19.55</v>
      </c>
      <c r="X1768" s="10">
        <v>0.72580682772323701</v>
      </c>
      <c r="Y1768" s="9">
        <v>5900</v>
      </c>
      <c r="Z1768" s="9">
        <v>3045</v>
      </c>
      <c r="AA1768" s="9">
        <v>5390</v>
      </c>
      <c r="AB1768">
        <v>0.8213660245183888</v>
      </c>
      <c r="AC1768" s="11">
        <v>30.372047791053063</v>
      </c>
      <c r="AD1768" s="9">
        <v>3265.9858757062148</v>
      </c>
      <c r="AE1768" s="8">
        <v>0.76143790849673199</v>
      </c>
    </row>
    <row r="1769" spans="1:31" x14ac:dyDescent="0.35">
      <c r="A1769" s="6" t="s">
        <v>1790</v>
      </c>
      <c r="B1769" s="7">
        <v>3</v>
      </c>
      <c r="C1769" s="7">
        <v>3</v>
      </c>
      <c r="D1769" s="7">
        <v>1</v>
      </c>
      <c r="E1769" s="7">
        <v>11</v>
      </c>
      <c r="F1769">
        <v>443</v>
      </c>
      <c r="G1769">
        <v>-188</v>
      </c>
      <c r="H1769">
        <v>-42.47</v>
      </c>
      <c r="I1769">
        <v>-153</v>
      </c>
      <c r="J1769">
        <v>-34.479999999999997</v>
      </c>
      <c r="K1769">
        <v>2085</v>
      </c>
      <c r="L1769">
        <v>1237</v>
      </c>
      <c r="M1769">
        <v>847</v>
      </c>
      <c r="N1769">
        <v>598.84</v>
      </c>
      <c r="O1769">
        <v>-22.86</v>
      </c>
      <c r="P1769">
        <v>0</v>
      </c>
      <c r="Q1769">
        <v>5.32</v>
      </c>
      <c r="R1769">
        <v>6.04</v>
      </c>
      <c r="S1769">
        <v>-892</v>
      </c>
      <c r="T1769">
        <v>2849</v>
      </c>
      <c r="U1769">
        <v>2509</v>
      </c>
      <c r="V1769">
        <v>-177</v>
      </c>
      <c r="W1769">
        <v>-23.88</v>
      </c>
      <c r="X1769" s="10">
        <v>0.18615879878884753</v>
      </c>
      <c r="Y1769" s="9">
        <v>12450</v>
      </c>
      <c r="Z1769" s="9">
        <v>9090</v>
      </c>
      <c r="AA1769" s="9">
        <v>12450</v>
      </c>
      <c r="AB1769">
        <v>1</v>
      </c>
      <c r="AC1769" s="11">
        <v>20.932203389830509</v>
      </c>
      <c r="AD1769" s="9">
        <v>9785.0677966101703</v>
      </c>
      <c r="AE1769" s="8">
        <v>0.25884732052578363</v>
      </c>
    </row>
    <row r="1770" spans="1:31" x14ac:dyDescent="0.35">
      <c r="A1770" s="6" t="s">
        <v>1791</v>
      </c>
      <c r="B1770" s="7">
        <v>8</v>
      </c>
      <c r="C1770" s="7">
        <v>1</v>
      </c>
      <c r="D1770" s="7">
        <v>7</v>
      </c>
      <c r="E1770" s="7">
        <v>2</v>
      </c>
      <c r="F1770">
        <v>27</v>
      </c>
      <c r="G1770">
        <v>-62</v>
      </c>
      <c r="H1770">
        <v>-231.24</v>
      </c>
      <c r="I1770">
        <v>-83</v>
      </c>
      <c r="J1770">
        <v>-309.73</v>
      </c>
      <c r="K1770">
        <v>1052</v>
      </c>
      <c r="L1770">
        <v>488</v>
      </c>
      <c r="M1770">
        <v>564</v>
      </c>
      <c r="N1770">
        <v>405.98</v>
      </c>
      <c r="O1770">
        <v>-23.75</v>
      </c>
      <c r="P1770">
        <v>0</v>
      </c>
      <c r="Q1770">
        <v>5.96</v>
      </c>
      <c r="R1770">
        <v>78.7</v>
      </c>
      <c r="S1770">
        <v>-549</v>
      </c>
      <c r="T1770">
        <v>2232</v>
      </c>
      <c r="U1770">
        <v>169</v>
      </c>
      <c r="V1770">
        <v>-83</v>
      </c>
      <c r="W1770">
        <v>-35.840000000000003</v>
      </c>
      <c r="X1770" s="10">
        <v>2.9576845080044717E-6</v>
      </c>
      <c r="Y1770" s="9">
        <v>14650</v>
      </c>
      <c r="Z1770" s="9">
        <v>11100</v>
      </c>
      <c r="AA1770" s="9">
        <v>11900</v>
      </c>
      <c r="AB1770">
        <v>0.22535211267605634</v>
      </c>
      <c r="AC1770" s="11">
        <v>-8.1967213114754092E-2</v>
      </c>
      <c r="AD1770" s="9">
        <v>12800</v>
      </c>
      <c r="AE1770" s="8">
        <v>7.2072072072072071E-2</v>
      </c>
    </row>
    <row r="1771" spans="1:31" x14ac:dyDescent="0.35">
      <c r="A1771" s="6" t="s">
        <v>1792</v>
      </c>
      <c r="B1771" s="7">
        <v>10</v>
      </c>
      <c r="C1771" s="7">
        <v>2</v>
      </c>
      <c r="D1771" s="7">
        <v>1</v>
      </c>
      <c r="E1771" s="7">
        <v>5</v>
      </c>
      <c r="F1771">
        <v>556</v>
      </c>
      <c r="G1771">
        <v>28</v>
      </c>
      <c r="H1771">
        <v>5.04</v>
      </c>
      <c r="I1771">
        <v>19</v>
      </c>
      <c r="J1771">
        <v>3.45</v>
      </c>
      <c r="K1771">
        <v>387</v>
      </c>
      <c r="L1771">
        <v>173</v>
      </c>
      <c r="M1771">
        <v>214</v>
      </c>
      <c r="N1771">
        <v>485.97</v>
      </c>
      <c r="O1771">
        <v>9.43</v>
      </c>
      <c r="P1771">
        <v>12.95</v>
      </c>
      <c r="Q1771">
        <v>1.2</v>
      </c>
      <c r="R1771">
        <v>0.45</v>
      </c>
      <c r="S1771">
        <v>295</v>
      </c>
      <c r="T1771">
        <v>3184</v>
      </c>
      <c r="U1771">
        <v>8559</v>
      </c>
      <c r="V1771">
        <v>45</v>
      </c>
      <c r="W1771">
        <v>6.57</v>
      </c>
      <c r="X1771" s="10">
        <v>0.90716440830905354</v>
      </c>
      <c r="Y1771" s="9">
        <v>4955</v>
      </c>
      <c r="Z1771" s="9">
        <v>3785</v>
      </c>
      <c r="AA1771" s="9">
        <v>4780</v>
      </c>
      <c r="AB1771">
        <v>0.8504273504273504</v>
      </c>
      <c r="AC1771" s="11">
        <v>17.642539594331758</v>
      </c>
      <c r="AD1771" s="9">
        <v>3797.4858757062143</v>
      </c>
      <c r="AE1771" s="8">
        <v>0.2628797886393659</v>
      </c>
    </row>
    <row r="1772" spans="1:31" x14ac:dyDescent="0.35">
      <c r="A1772" s="6" t="s">
        <v>1793</v>
      </c>
      <c r="B1772" s="7">
        <v>4</v>
      </c>
      <c r="C1772" s="7">
        <v>7</v>
      </c>
      <c r="D1772" s="7">
        <v>1</v>
      </c>
      <c r="E1772" s="7">
        <v>6</v>
      </c>
      <c r="F1772">
        <v>76</v>
      </c>
      <c r="G1772">
        <v>-70</v>
      </c>
      <c r="H1772">
        <v>-91.54</v>
      </c>
      <c r="I1772">
        <v>-92</v>
      </c>
      <c r="J1772">
        <v>-121.19</v>
      </c>
      <c r="K1772">
        <v>783</v>
      </c>
      <c r="L1772">
        <v>333</v>
      </c>
      <c r="M1772">
        <v>451</v>
      </c>
      <c r="N1772">
        <v>25.45</v>
      </c>
      <c r="O1772">
        <v>-21.45</v>
      </c>
      <c r="P1772">
        <v>0</v>
      </c>
      <c r="Q1772">
        <v>1.93</v>
      </c>
      <c r="R1772">
        <v>9.3800000000000008</v>
      </c>
      <c r="S1772">
        <v>-156</v>
      </c>
      <c r="T1772">
        <v>626</v>
      </c>
      <c r="U1772">
        <v>129</v>
      </c>
      <c r="V1772">
        <v>-69</v>
      </c>
      <c r="W1772">
        <v>-13.51</v>
      </c>
      <c r="X1772" s="10">
        <v>0.4686329557793692</v>
      </c>
      <c r="Y1772" s="9">
        <v>2100</v>
      </c>
      <c r="Z1772" s="9">
        <v>1130</v>
      </c>
      <c r="AA1772" s="9">
        <v>1550</v>
      </c>
      <c r="AB1772">
        <v>0.4329896907216495</v>
      </c>
      <c r="AC1772" s="11">
        <v>9.7725757154765205</v>
      </c>
      <c r="AD1772" s="9">
        <v>1204.1864406779662</v>
      </c>
      <c r="AE1772" s="8">
        <v>0.37168141592920356</v>
      </c>
    </row>
    <row r="1773" spans="1:31" x14ac:dyDescent="0.35">
      <c r="A1773" s="6" t="s">
        <v>1794</v>
      </c>
      <c r="B1773" s="7">
        <v>6</v>
      </c>
      <c r="C1773" s="7">
        <v>1</v>
      </c>
      <c r="D1773" s="7">
        <v>4</v>
      </c>
      <c r="E1773" s="7">
        <v>7</v>
      </c>
      <c r="F1773">
        <v>0</v>
      </c>
      <c r="G1773">
        <v>0</v>
      </c>
      <c r="H1773">
        <v>0</v>
      </c>
      <c r="I1773">
        <v>1</v>
      </c>
      <c r="J1773">
        <v>0</v>
      </c>
      <c r="K1773">
        <v>150</v>
      </c>
      <c r="L1773">
        <v>13</v>
      </c>
      <c r="M1773">
        <v>137</v>
      </c>
      <c r="N1773">
        <v>1856.61</v>
      </c>
      <c r="O1773">
        <v>1.62</v>
      </c>
      <c r="P1773">
        <v>62.81</v>
      </c>
      <c r="Q1773">
        <v>1.03</v>
      </c>
      <c r="R1773">
        <v>0</v>
      </c>
      <c r="S1773">
        <v>32</v>
      </c>
      <c r="T1773">
        <v>1957</v>
      </c>
      <c r="U1773">
        <v>0</v>
      </c>
      <c r="V1773">
        <v>-1</v>
      </c>
      <c r="W1773">
        <v>-204.08</v>
      </c>
      <c r="X1773" s="10">
        <v>0.74305924711037841</v>
      </c>
      <c r="Y1773" s="9">
        <v>2560</v>
      </c>
      <c r="Z1773" s="9">
        <v>2010</v>
      </c>
      <c r="AA1773" s="9">
        <v>2490</v>
      </c>
      <c r="AB1773">
        <v>0.87272727272727268</v>
      </c>
      <c r="AC1773" s="11">
        <v>8.010697415948874</v>
      </c>
      <c r="AD1773" s="9">
        <v>1900.2570621468928</v>
      </c>
      <c r="AE1773" s="8">
        <v>0.23880597014925373</v>
      </c>
    </row>
    <row r="1774" spans="1:31" x14ac:dyDescent="0.35">
      <c r="A1774" s="6" t="s">
        <v>1795</v>
      </c>
      <c r="B1774" s="7">
        <v>5</v>
      </c>
      <c r="C1774" s="7">
        <v>8</v>
      </c>
      <c r="D1774" s="7">
        <v>1</v>
      </c>
      <c r="E1774" s="7">
        <v>4</v>
      </c>
      <c r="F1774">
        <v>4825</v>
      </c>
      <c r="G1774">
        <v>785</v>
      </c>
      <c r="H1774">
        <v>16.260000000000002</v>
      </c>
      <c r="I1774">
        <v>563</v>
      </c>
      <c r="J1774">
        <v>11.67</v>
      </c>
      <c r="K1774">
        <v>40802</v>
      </c>
      <c r="L1774">
        <v>31527</v>
      </c>
      <c r="M1774">
        <v>9275</v>
      </c>
      <c r="N1774">
        <v>739.33</v>
      </c>
      <c r="O1774">
        <v>6.24</v>
      </c>
      <c r="P1774">
        <v>18.09</v>
      </c>
      <c r="Q1774">
        <v>1.1599999999999999</v>
      </c>
      <c r="R1774">
        <v>2.11</v>
      </c>
      <c r="S1774">
        <v>2548</v>
      </c>
      <c r="T1774">
        <v>39789</v>
      </c>
      <c r="U1774">
        <v>21831</v>
      </c>
      <c r="V1774">
        <v>0</v>
      </c>
      <c r="W1774">
        <v>0</v>
      </c>
      <c r="X1774" s="10">
        <v>0.79644978788321641</v>
      </c>
      <c r="Y1774" s="9">
        <v>72000</v>
      </c>
      <c r="Z1774" s="9">
        <v>45800</v>
      </c>
      <c r="AA1774" s="9">
        <v>68200</v>
      </c>
      <c r="AB1774">
        <v>0.85496183206106868</v>
      </c>
      <c r="AC1774" s="11">
        <v>335.48207835509862</v>
      </c>
      <c r="AD1774" s="9">
        <v>49952.796610169491</v>
      </c>
      <c r="AE1774" s="8">
        <v>0.48908296943231439</v>
      </c>
    </row>
    <row r="1775" spans="1:31" x14ac:dyDescent="0.35">
      <c r="A1775" s="6" t="s">
        <v>1796</v>
      </c>
      <c r="B1775" s="7">
        <v>8</v>
      </c>
      <c r="C1775" s="7">
        <v>9</v>
      </c>
      <c r="D1775" s="7">
        <v>1</v>
      </c>
      <c r="E1775" s="7">
        <v>0</v>
      </c>
      <c r="F1775">
        <v>346</v>
      </c>
      <c r="G1775">
        <v>52</v>
      </c>
      <c r="H1775">
        <v>14.89</v>
      </c>
      <c r="I1775">
        <v>48</v>
      </c>
      <c r="J1775">
        <v>13.77</v>
      </c>
      <c r="K1775">
        <v>660</v>
      </c>
      <c r="L1775">
        <v>173</v>
      </c>
      <c r="M1775">
        <v>488</v>
      </c>
      <c r="N1775">
        <v>541.62</v>
      </c>
      <c r="O1775">
        <v>16.739999999999998</v>
      </c>
      <c r="P1775">
        <v>33.54</v>
      </c>
      <c r="Q1775">
        <v>4.66</v>
      </c>
      <c r="R1775">
        <v>4.6100000000000003</v>
      </c>
      <c r="S1775">
        <v>89</v>
      </c>
      <c r="T1775">
        <v>641</v>
      </c>
      <c r="U1775">
        <v>648</v>
      </c>
      <c r="V1775">
        <v>74</v>
      </c>
      <c r="W1775">
        <v>30.54</v>
      </c>
      <c r="X1775" s="10">
        <v>0.81604368849397579</v>
      </c>
      <c r="Y1775" s="9">
        <v>4085</v>
      </c>
      <c r="Z1775" s="9">
        <v>2480</v>
      </c>
      <c r="AA1775" s="9">
        <v>4085</v>
      </c>
      <c r="AB1775">
        <v>1</v>
      </c>
      <c r="AC1775" s="11">
        <v>16.461656015559882</v>
      </c>
      <c r="AD1775" s="9">
        <v>2693.5028248587569</v>
      </c>
      <c r="AE1775" s="8">
        <v>0.64717741935483875</v>
      </c>
    </row>
    <row r="1776" spans="1:31" x14ac:dyDescent="0.35">
      <c r="A1776" s="6" t="s">
        <v>1797</v>
      </c>
      <c r="B1776" s="7">
        <v>5</v>
      </c>
      <c r="C1776" s="7">
        <v>9</v>
      </c>
      <c r="D1776" s="7">
        <v>4</v>
      </c>
      <c r="E1776" s="7">
        <v>0</v>
      </c>
      <c r="F1776">
        <v>1132</v>
      </c>
      <c r="G1776">
        <v>86</v>
      </c>
      <c r="H1776">
        <v>7.6</v>
      </c>
      <c r="I1776">
        <v>69</v>
      </c>
      <c r="J1776">
        <v>6.09</v>
      </c>
      <c r="K1776">
        <v>1043</v>
      </c>
      <c r="L1776">
        <v>300</v>
      </c>
      <c r="M1776">
        <v>743</v>
      </c>
      <c r="N1776">
        <v>1175.7</v>
      </c>
      <c r="O1776">
        <v>9.66</v>
      </c>
      <c r="P1776">
        <v>8.8000000000000007</v>
      </c>
      <c r="Q1776">
        <v>0.82</v>
      </c>
      <c r="R1776">
        <v>0.54</v>
      </c>
      <c r="S1776">
        <v>592</v>
      </c>
      <c r="T1776">
        <v>6339</v>
      </c>
      <c r="U1776">
        <v>9713</v>
      </c>
      <c r="V1776">
        <v>106</v>
      </c>
      <c r="W1776">
        <v>6.79</v>
      </c>
      <c r="X1776" s="10">
        <v>0.79525422531404866</v>
      </c>
      <c r="Y1776" s="9">
        <v>6210</v>
      </c>
      <c r="Z1776" s="9">
        <v>4960</v>
      </c>
      <c r="AA1776" s="9">
        <v>5970</v>
      </c>
      <c r="AB1776">
        <v>0.80800000000000005</v>
      </c>
      <c r="AC1776" s="11">
        <v>19.112253403723255</v>
      </c>
      <c r="AD1776" s="9">
        <v>4844.0762711864409</v>
      </c>
      <c r="AE1776" s="8">
        <v>0.14367816091954022</v>
      </c>
    </row>
    <row r="1777" spans="1:31" x14ac:dyDescent="0.35">
      <c r="A1777" s="6" t="s">
        <v>1798</v>
      </c>
      <c r="B1777" s="7">
        <v>2</v>
      </c>
      <c r="C1777" s="7">
        <v>6</v>
      </c>
      <c r="D1777" s="7">
        <v>5</v>
      </c>
      <c r="E1777" s="7">
        <v>5</v>
      </c>
      <c r="F1777">
        <v>953</v>
      </c>
      <c r="G1777">
        <v>25</v>
      </c>
      <c r="H1777">
        <v>2.64</v>
      </c>
      <c r="I1777">
        <v>26</v>
      </c>
      <c r="J1777">
        <v>2.71</v>
      </c>
      <c r="K1777">
        <v>1786</v>
      </c>
      <c r="L1777">
        <v>479</v>
      </c>
      <c r="M1777">
        <v>1307</v>
      </c>
      <c r="N1777">
        <v>1593.57</v>
      </c>
      <c r="O1777">
        <v>2</v>
      </c>
      <c r="P1777">
        <v>25.29</v>
      </c>
      <c r="Q1777">
        <v>0.55000000000000004</v>
      </c>
      <c r="R1777">
        <v>0.68</v>
      </c>
      <c r="S1777">
        <v>175</v>
      </c>
      <c r="T1777">
        <v>7979</v>
      </c>
      <c r="U1777">
        <v>6462</v>
      </c>
      <c r="V1777">
        <v>55</v>
      </c>
      <c r="W1777">
        <v>13.98</v>
      </c>
      <c r="X1777" s="10">
        <v>0.4975164897543452</v>
      </c>
      <c r="Y1777" s="9">
        <v>4600</v>
      </c>
      <c r="Z1777" s="9">
        <v>4120</v>
      </c>
      <c r="AA1777" s="9">
        <v>4270</v>
      </c>
      <c r="AB1777">
        <v>0.3125</v>
      </c>
      <c r="AC1777" s="11">
        <v>-5.0705751597666016</v>
      </c>
      <c r="AD1777" s="9">
        <v>4529.8192090395487</v>
      </c>
      <c r="AE1777" s="8">
        <v>-3.3936651583710405E-2</v>
      </c>
    </row>
    <row r="1778" spans="1:31" x14ac:dyDescent="0.35">
      <c r="A1778" s="6" t="s">
        <v>1799</v>
      </c>
      <c r="B1778" s="7">
        <v>3</v>
      </c>
      <c r="C1778" s="7">
        <v>8</v>
      </c>
      <c r="D1778" s="7">
        <v>3</v>
      </c>
      <c r="E1778" s="7">
        <v>4</v>
      </c>
      <c r="F1778">
        <v>1337</v>
      </c>
      <c r="G1778">
        <v>30</v>
      </c>
      <c r="H1778">
        <v>2.2400000000000002</v>
      </c>
      <c r="I1778">
        <v>46</v>
      </c>
      <c r="J1778">
        <v>3.44</v>
      </c>
      <c r="K1778">
        <v>2011</v>
      </c>
      <c r="L1778">
        <v>435</v>
      </c>
      <c r="M1778">
        <v>1577</v>
      </c>
      <c r="N1778">
        <v>979.01</v>
      </c>
      <c r="O1778">
        <v>2.91</v>
      </c>
      <c r="P1778">
        <v>36.94</v>
      </c>
      <c r="Q1778">
        <v>1.08</v>
      </c>
      <c r="R1778">
        <v>1.27</v>
      </c>
      <c r="S1778">
        <v>157</v>
      </c>
      <c r="T1778">
        <v>5392</v>
      </c>
      <c r="U1778">
        <v>4575</v>
      </c>
      <c r="V1778">
        <v>95</v>
      </c>
      <c r="W1778">
        <v>19.68</v>
      </c>
      <c r="X1778" s="10">
        <v>0.15106537864654898</v>
      </c>
      <c r="Y1778" s="9">
        <v>6100</v>
      </c>
      <c r="Z1778" s="9">
        <v>5700</v>
      </c>
      <c r="AA1778" s="9">
        <v>6100</v>
      </c>
      <c r="AB1778">
        <v>1</v>
      </c>
      <c r="AC1778" s="11">
        <v>1.5593220338983051</v>
      </c>
      <c r="AD1778" s="9">
        <v>5766.4406779661012</v>
      </c>
      <c r="AE1778" s="8">
        <v>4.0955631399317405E-2</v>
      </c>
    </row>
    <row r="1779" spans="1:31" x14ac:dyDescent="0.35">
      <c r="A1779" s="6" t="s">
        <v>1800</v>
      </c>
      <c r="B1779" s="7">
        <v>5</v>
      </c>
      <c r="C1779" s="7">
        <v>8</v>
      </c>
      <c r="D1779" s="7">
        <v>4</v>
      </c>
      <c r="E1779" s="7">
        <v>1</v>
      </c>
      <c r="F1779">
        <v>522</v>
      </c>
      <c r="G1779">
        <v>60</v>
      </c>
      <c r="H1779">
        <v>11.48</v>
      </c>
      <c r="I1779">
        <v>63</v>
      </c>
      <c r="J1779">
        <v>12.07</v>
      </c>
      <c r="K1779">
        <v>1116</v>
      </c>
      <c r="L1779">
        <v>170</v>
      </c>
      <c r="M1779">
        <v>945</v>
      </c>
      <c r="N1779">
        <v>1529.58</v>
      </c>
      <c r="O1779">
        <v>6.97</v>
      </c>
      <c r="P1779">
        <v>10.199999999999999</v>
      </c>
      <c r="Q1779">
        <v>0.68</v>
      </c>
      <c r="R1779">
        <v>1.23</v>
      </c>
      <c r="S1779">
        <v>543</v>
      </c>
      <c r="T1779">
        <v>8146</v>
      </c>
      <c r="U1779">
        <v>4498</v>
      </c>
      <c r="V1779">
        <v>83</v>
      </c>
      <c r="W1779">
        <v>7.78</v>
      </c>
      <c r="X1779" s="10">
        <v>0.53222063363658945</v>
      </c>
      <c r="Y1779" s="9">
        <v>6040</v>
      </c>
      <c r="Z1779" s="9">
        <v>5380</v>
      </c>
      <c r="AA1779" s="9">
        <v>6040</v>
      </c>
      <c r="AB1779">
        <v>1</v>
      </c>
      <c r="AC1779" s="11">
        <v>7.6040566824117795</v>
      </c>
      <c r="AD1779" s="9">
        <v>5380.2429378531078</v>
      </c>
      <c r="AE1779" s="8">
        <v>6.1511423550087874E-2</v>
      </c>
    </row>
    <row r="1780" spans="1:31" x14ac:dyDescent="0.35">
      <c r="A1780" s="6" t="s">
        <v>1801</v>
      </c>
      <c r="B1780" s="7">
        <v>2</v>
      </c>
      <c r="C1780" s="7">
        <v>0</v>
      </c>
      <c r="D1780" s="7">
        <v>5</v>
      </c>
      <c r="E1780" s="7">
        <v>11</v>
      </c>
      <c r="F1780">
        <v>2716</v>
      </c>
      <c r="G1780">
        <v>121</v>
      </c>
      <c r="H1780">
        <v>4.46</v>
      </c>
      <c r="I1780">
        <v>88</v>
      </c>
      <c r="J1780">
        <v>3.25</v>
      </c>
      <c r="K1780">
        <v>4666</v>
      </c>
      <c r="L1780">
        <v>536</v>
      </c>
      <c r="M1780">
        <v>4130</v>
      </c>
      <c r="N1780">
        <v>3194.53</v>
      </c>
      <c r="O1780">
        <v>2.14</v>
      </c>
      <c r="P1780">
        <v>32.950000000000003</v>
      </c>
      <c r="Q1780">
        <v>0.72</v>
      </c>
      <c r="R1780">
        <v>1.07</v>
      </c>
      <c r="S1780">
        <v>349</v>
      </c>
      <c r="T1780">
        <v>15993</v>
      </c>
      <c r="U1780">
        <v>10725</v>
      </c>
      <c r="V1780">
        <v>178</v>
      </c>
      <c r="W1780">
        <v>16.63</v>
      </c>
      <c r="X1780" s="10">
        <v>4.7976349308034655E-2</v>
      </c>
      <c r="Y1780" s="9">
        <v>11650</v>
      </c>
      <c r="Z1780" s="9">
        <v>10300</v>
      </c>
      <c r="AA1780" s="9">
        <v>10300</v>
      </c>
      <c r="AB1780">
        <v>0</v>
      </c>
      <c r="AC1780" s="11">
        <v>-4.049736037788275</v>
      </c>
      <c r="AD1780" s="9">
        <v>11044.350282485877</v>
      </c>
      <c r="AE1780" s="8">
        <v>-9.6491228070175433E-2</v>
      </c>
    </row>
    <row r="1781" spans="1:31" x14ac:dyDescent="0.35">
      <c r="A1781" s="6" t="s">
        <v>1802</v>
      </c>
      <c r="B1781" s="7">
        <v>2</v>
      </c>
      <c r="C1781" s="7">
        <v>1</v>
      </c>
      <c r="D1781" s="7">
        <v>13</v>
      </c>
      <c r="E1781" s="7">
        <v>2</v>
      </c>
      <c r="F1781">
        <v>21429</v>
      </c>
      <c r="G1781">
        <v>-325</v>
      </c>
      <c r="H1781">
        <v>-1.52</v>
      </c>
      <c r="I1781">
        <v>-3</v>
      </c>
      <c r="J1781">
        <v>-0.02</v>
      </c>
      <c r="K1781">
        <v>25669</v>
      </c>
      <c r="L1781">
        <v>4233</v>
      </c>
      <c r="M1781">
        <v>21435</v>
      </c>
      <c r="N1781">
        <v>40469.230000000003</v>
      </c>
      <c r="O1781">
        <v>-0.02</v>
      </c>
      <c r="P1781">
        <v>0</v>
      </c>
      <c r="Q1781">
        <v>0.61</v>
      </c>
      <c r="R1781">
        <v>0.45</v>
      </c>
      <c r="S1781">
        <v>-391</v>
      </c>
      <c r="T1781">
        <v>1885013</v>
      </c>
      <c r="U1781">
        <v>2546176</v>
      </c>
      <c r="V1781">
        <v>490</v>
      </c>
      <c r="W1781">
        <v>26.25</v>
      </c>
      <c r="X1781" s="10">
        <v>6.5831939637739326E-2</v>
      </c>
      <c r="Y1781" s="9">
        <v>1208000</v>
      </c>
      <c r="Z1781" s="9">
        <v>1107000</v>
      </c>
      <c r="AA1781" s="9">
        <v>1177000</v>
      </c>
      <c r="AB1781">
        <v>0.69306930693069302</v>
      </c>
      <c r="AC1781" s="11">
        <v>312.80911364267854</v>
      </c>
      <c r="AD1781" s="9">
        <v>1131992.6553672315</v>
      </c>
      <c r="AE1781" s="8">
        <v>-2.5662251655629138E-2</v>
      </c>
    </row>
    <row r="1782" spans="1:31" x14ac:dyDescent="0.35">
      <c r="A1782" s="6" t="s">
        <v>1803</v>
      </c>
      <c r="B1782" s="7">
        <v>4</v>
      </c>
      <c r="C1782" s="7">
        <v>7</v>
      </c>
      <c r="D1782" s="7">
        <v>5</v>
      </c>
      <c r="E1782" s="7">
        <v>2</v>
      </c>
      <c r="F1782">
        <v>3520</v>
      </c>
      <c r="G1782">
        <v>159</v>
      </c>
      <c r="H1782">
        <v>4.5199999999999996</v>
      </c>
      <c r="I1782">
        <v>179</v>
      </c>
      <c r="J1782">
        <v>5.08</v>
      </c>
      <c r="K1782">
        <v>5628</v>
      </c>
      <c r="L1782">
        <v>1835</v>
      </c>
      <c r="M1782">
        <v>3793</v>
      </c>
      <c r="N1782">
        <v>971.43</v>
      </c>
      <c r="O1782">
        <v>4.8099999999999996</v>
      </c>
      <c r="P1782">
        <v>8.81</v>
      </c>
      <c r="Q1782">
        <v>0.42</v>
      </c>
      <c r="R1782">
        <v>0.45</v>
      </c>
      <c r="S1782">
        <v>253</v>
      </c>
      <c r="T1782">
        <v>5328</v>
      </c>
      <c r="U1782">
        <v>4972</v>
      </c>
      <c r="V1782">
        <v>289</v>
      </c>
      <c r="W1782">
        <v>8.76</v>
      </c>
      <c r="X1782" s="10">
        <v>0.83308304015878054</v>
      </c>
      <c r="Y1782" s="9">
        <v>3005</v>
      </c>
      <c r="Z1782" s="9">
        <v>2100</v>
      </c>
      <c r="AA1782" s="9">
        <v>2995</v>
      </c>
      <c r="AB1782">
        <v>0.98895027624309395</v>
      </c>
      <c r="AC1782" s="11">
        <v>11.228813559322036</v>
      </c>
      <c r="AD1782" s="9">
        <v>2045.9378531073444</v>
      </c>
      <c r="AE1782" s="8">
        <v>0.31938325991189426</v>
      </c>
    </row>
    <row r="1783" spans="1:31" x14ac:dyDescent="0.35">
      <c r="A1783" s="6" t="s">
        <v>1804</v>
      </c>
      <c r="B1783" s="7">
        <v>10</v>
      </c>
      <c r="C1783" s="7">
        <v>0</v>
      </c>
      <c r="D1783" s="7">
        <v>3</v>
      </c>
      <c r="E1783" s="7">
        <v>5</v>
      </c>
      <c r="F1783">
        <v>2063</v>
      </c>
      <c r="G1783">
        <v>89</v>
      </c>
      <c r="H1783">
        <v>4.32</v>
      </c>
      <c r="I1783">
        <v>71</v>
      </c>
      <c r="J1783">
        <v>3.42</v>
      </c>
      <c r="K1783">
        <v>1572</v>
      </c>
      <c r="L1783">
        <v>339</v>
      </c>
      <c r="M1783">
        <v>1234</v>
      </c>
      <c r="N1783">
        <v>2817.74</v>
      </c>
      <c r="O1783">
        <v>5.87</v>
      </c>
      <c r="P1783">
        <v>10.02</v>
      </c>
      <c r="Q1783">
        <v>0.62</v>
      </c>
      <c r="R1783">
        <v>0.34</v>
      </c>
      <c r="S1783">
        <v>887</v>
      </c>
      <c r="T1783">
        <v>14278</v>
      </c>
      <c r="U1783">
        <v>25910</v>
      </c>
      <c r="V1783">
        <v>122</v>
      </c>
      <c r="W1783">
        <v>6.27</v>
      </c>
      <c r="X1783" s="10">
        <v>2.7917064484438375E-4</v>
      </c>
      <c r="Y1783" s="9">
        <v>10500</v>
      </c>
      <c r="Z1783" s="9">
        <v>8810</v>
      </c>
      <c r="AA1783" s="9">
        <v>10500</v>
      </c>
      <c r="AB1783">
        <v>1</v>
      </c>
      <c r="AC1783" s="11">
        <v>-0.27118644067796649</v>
      </c>
      <c r="AD1783" s="9">
        <v>9516.6045197740114</v>
      </c>
      <c r="AE1783" s="8">
        <v>0.19182746878547105</v>
      </c>
    </row>
    <row r="1784" spans="1:31" x14ac:dyDescent="0.35">
      <c r="A1784" s="6" t="s">
        <v>1805</v>
      </c>
      <c r="B1784" s="7">
        <v>11</v>
      </c>
      <c r="C1784" s="7">
        <v>5</v>
      </c>
      <c r="D1784" s="7">
        <v>1</v>
      </c>
      <c r="E1784" s="7">
        <v>1</v>
      </c>
      <c r="F1784">
        <v>2719</v>
      </c>
      <c r="G1784">
        <v>87</v>
      </c>
      <c r="H1784">
        <v>3.21</v>
      </c>
      <c r="I1784">
        <v>43</v>
      </c>
      <c r="J1784">
        <v>1.6</v>
      </c>
      <c r="K1784">
        <v>3320</v>
      </c>
      <c r="L1784">
        <v>2276</v>
      </c>
      <c r="M1784">
        <v>1043</v>
      </c>
      <c r="N1784">
        <v>424.07</v>
      </c>
      <c r="O1784">
        <v>5.66</v>
      </c>
      <c r="P1784">
        <v>7.36</v>
      </c>
      <c r="Q1784">
        <v>0.46</v>
      </c>
      <c r="R1784">
        <v>0.13</v>
      </c>
      <c r="S1784">
        <v>1609</v>
      </c>
      <c r="T1784">
        <v>25872</v>
      </c>
      <c r="U1784">
        <v>93217</v>
      </c>
      <c r="V1784">
        <v>160</v>
      </c>
      <c r="W1784">
        <v>9.98</v>
      </c>
      <c r="X1784" s="10">
        <v>0.93037510222743336</v>
      </c>
      <c r="Y1784" s="9">
        <v>13950</v>
      </c>
      <c r="Z1784" s="9">
        <v>9200</v>
      </c>
      <c r="AA1784" s="9">
        <v>13950</v>
      </c>
      <c r="AB1784">
        <v>1</v>
      </c>
      <c r="AC1784" s="11">
        <v>64.811614337315916</v>
      </c>
      <c r="AD1784" s="9">
        <v>9225.7457627118638</v>
      </c>
      <c r="AE1784" s="8">
        <v>0.51630434782608692</v>
      </c>
    </row>
    <row r="1785" spans="1:31" x14ac:dyDescent="0.35">
      <c r="A1785" s="6" t="s">
        <v>1806</v>
      </c>
      <c r="B1785" s="7">
        <v>0</v>
      </c>
      <c r="C1785" s="7">
        <v>0</v>
      </c>
      <c r="D1785" s="7">
        <v>0</v>
      </c>
      <c r="E1785" s="7">
        <v>18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 s="10">
        <v>0.67873820376697702</v>
      </c>
      <c r="Y1785" s="9">
        <v>8950</v>
      </c>
      <c r="Z1785" s="9">
        <v>6380</v>
      </c>
      <c r="AA1785" s="9">
        <v>8740</v>
      </c>
      <c r="AB1785">
        <v>0.91828793774319062</v>
      </c>
      <c r="AC1785" s="11">
        <v>32.30397332592387</v>
      </c>
      <c r="AD1785" s="9">
        <v>6052.7288135593217</v>
      </c>
      <c r="AE1785" s="8">
        <v>0.34254992319508448</v>
      </c>
    </row>
    <row r="1786" spans="1:31" x14ac:dyDescent="0.35">
      <c r="A1786" s="6" t="s">
        <v>1807</v>
      </c>
      <c r="B1786" s="7">
        <v>0</v>
      </c>
      <c r="C1786" s="7">
        <v>1</v>
      </c>
      <c r="D1786" s="7">
        <v>3</v>
      </c>
      <c r="E1786" s="7">
        <v>14</v>
      </c>
      <c r="F1786">
        <v>1029</v>
      </c>
      <c r="G1786">
        <v>-377</v>
      </c>
      <c r="H1786">
        <v>-36.65</v>
      </c>
      <c r="I1786">
        <v>-460</v>
      </c>
      <c r="J1786">
        <v>-44.74</v>
      </c>
      <c r="K1786">
        <v>776</v>
      </c>
      <c r="L1786">
        <v>571</v>
      </c>
      <c r="M1786">
        <v>205</v>
      </c>
      <c r="N1786">
        <v>473.79</v>
      </c>
      <c r="O1786">
        <v>-113.97</v>
      </c>
      <c r="P1786">
        <v>0</v>
      </c>
      <c r="Q1786">
        <v>1.19</v>
      </c>
      <c r="R1786">
        <v>0.23</v>
      </c>
      <c r="S1786">
        <v>-6207</v>
      </c>
      <c r="T1786">
        <v>2658</v>
      </c>
      <c r="U1786">
        <v>13874</v>
      </c>
      <c r="V1786">
        <v>-323</v>
      </c>
      <c r="W1786">
        <v>-1.6</v>
      </c>
      <c r="X1786" s="10">
        <v>0.48211357609818128</v>
      </c>
      <c r="Y1786" s="9">
        <v>5260</v>
      </c>
      <c r="Z1786" s="9">
        <v>3105</v>
      </c>
      <c r="AA1786" s="9">
        <v>5260</v>
      </c>
      <c r="AB1786">
        <v>1</v>
      </c>
      <c r="AC1786" s="11">
        <v>25.494165045846064</v>
      </c>
      <c r="AD1786" s="9">
        <v>3320.0112994350279</v>
      </c>
      <c r="AE1786" s="8">
        <v>0.63354037267080743</v>
      </c>
    </row>
    <row r="1787" spans="1:31" x14ac:dyDescent="0.35">
      <c r="A1787" s="6" t="s">
        <v>1808</v>
      </c>
      <c r="B1787" s="7">
        <v>1</v>
      </c>
      <c r="C1787" s="7">
        <v>0</v>
      </c>
      <c r="D1787" s="7">
        <v>2</v>
      </c>
      <c r="E1787" s="7">
        <v>15</v>
      </c>
      <c r="F1787">
        <v>11094</v>
      </c>
      <c r="G1787">
        <v>-334</v>
      </c>
      <c r="H1787">
        <v>-3.01</v>
      </c>
      <c r="I1787">
        <v>-790</v>
      </c>
      <c r="J1787">
        <v>-7.12</v>
      </c>
      <c r="K1787">
        <v>15371</v>
      </c>
      <c r="L1787">
        <v>8252</v>
      </c>
      <c r="M1787">
        <v>7119</v>
      </c>
      <c r="N1787">
        <v>1782.86</v>
      </c>
      <c r="O1787">
        <v>-10.7</v>
      </c>
      <c r="P1787">
        <v>0</v>
      </c>
      <c r="Q1787">
        <v>0.55000000000000004</v>
      </c>
      <c r="R1787">
        <v>0.31</v>
      </c>
      <c r="S1787">
        <v>-1176</v>
      </c>
      <c r="T1787">
        <v>8912</v>
      </c>
      <c r="U1787">
        <v>15898</v>
      </c>
      <c r="V1787">
        <v>-242</v>
      </c>
      <c r="W1787">
        <v>-25.81</v>
      </c>
      <c r="X1787" s="10">
        <v>0.71341416284388126</v>
      </c>
      <c r="Y1787" s="9">
        <v>5790</v>
      </c>
      <c r="Z1787" s="9">
        <v>4805</v>
      </c>
      <c r="AA1787" s="9">
        <v>5580</v>
      </c>
      <c r="AB1787">
        <v>0.78680203045685282</v>
      </c>
      <c r="AC1787" s="11">
        <v>14.967907752153376</v>
      </c>
      <c r="AD1787" s="9">
        <v>4750.2288135593217</v>
      </c>
      <c r="AE1787" s="8">
        <v>0.13877551020408163</v>
      </c>
    </row>
    <row r="1788" spans="1:31" x14ac:dyDescent="0.35">
      <c r="A1788" s="6" t="s">
        <v>1809</v>
      </c>
      <c r="B1788" s="7">
        <v>0</v>
      </c>
      <c r="C1788" s="7">
        <v>0</v>
      </c>
      <c r="D1788" s="7">
        <v>0</v>
      </c>
      <c r="E1788" s="7">
        <v>18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 s="10">
        <v>6.386297315459321E-3</v>
      </c>
      <c r="Y1788" s="9">
        <v>2925</v>
      </c>
      <c r="Z1788" s="9">
        <v>2655</v>
      </c>
      <c r="AA1788" s="9">
        <v>2730</v>
      </c>
      <c r="AB1788">
        <v>0.27777777777777779</v>
      </c>
      <c r="AC1788" s="11">
        <v>0.28313420394554045</v>
      </c>
      <c r="AD1788" s="9">
        <v>2776.8644067796608</v>
      </c>
      <c r="AE1788" s="8">
        <v>-1.9748653500897665E-2</v>
      </c>
    </row>
    <row r="1789" spans="1:31" x14ac:dyDescent="0.35">
      <c r="A1789" s="6" t="s">
        <v>1810</v>
      </c>
      <c r="B1789" s="7">
        <v>1</v>
      </c>
      <c r="C1789" s="7">
        <v>9</v>
      </c>
      <c r="D1789" s="7">
        <v>5</v>
      </c>
      <c r="E1789" s="7">
        <v>3</v>
      </c>
      <c r="F1789">
        <v>4115</v>
      </c>
      <c r="G1789">
        <v>83</v>
      </c>
      <c r="H1789">
        <v>2.02</v>
      </c>
      <c r="I1789">
        <v>70</v>
      </c>
      <c r="J1789">
        <v>1.7</v>
      </c>
      <c r="K1789">
        <v>7641</v>
      </c>
      <c r="L1789">
        <v>1891</v>
      </c>
      <c r="M1789">
        <v>5750</v>
      </c>
      <c r="N1789">
        <v>6230.27</v>
      </c>
      <c r="O1789">
        <v>1.3</v>
      </c>
      <c r="P1789">
        <v>43.12</v>
      </c>
      <c r="Q1789">
        <v>0.53</v>
      </c>
      <c r="R1789">
        <v>0.73</v>
      </c>
      <c r="S1789">
        <v>385</v>
      </c>
      <c r="T1789">
        <v>31614</v>
      </c>
      <c r="U1789">
        <v>22656</v>
      </c>
      <c r="V1789">
        <v>198</v>
      </c>
      <c r="W1789">
        <v>15.24</v>
      </c>
      <c r="X1789" s="10">
        <v>0.47582779759743704</v>
      </c>
      <c r="Y1789" s="9">
        <v>18800</v>
      </c>
      <c r="Z1789" s="9">
        <v>14400</v>
      </c>
      <c r="AA1789" s="9">
        <v>16300</v>
      </c>
      <c r="AB1789">
        <v>0.43181818181818182</v>
      </c>
      <c r="AC1789" s="11">
        <v>47.657682689636012</v>
      </c>
      <c r="AD1789" s="9">
        <v>14996.440677966102</v>
      </c>
      <c r="AE1789" s="8">
        <v>0</v>
      </c>
    </row>
    <row r="1790" spans="1:31" x14ac:dyDescent="0.35">
      <c r="A1790" s="6" t="s">
        <v>1811</v>
      </c>
      <c r="B1790" s="7">
        <v>2</v>
      </c>
      <c r="C1790" s="7">
        <v>2</v>
      </c>
      <c r="D1790" s="7">
        <v>10</v>
      </c>
      <c r="E1790" s="7">
        <v>4</v>
      </c>
      <c r="F1790">
        <v>316</v>
      </c>
      <c r="G1790">
        <v>6</v>
      </c>
      <c r="H1790">
        <v>1.85</v>
      </c>
      <c r="I1790">
        <v>8</v>
      </c>
      <c r="J1790">
        <v>2.58</v>
      </c>
      <c r="K1790">
        <v>424</v>
      </c>
      <c r="L1790">
        <v>111</v>
      </c>
      <c r="M1790">
        <v>314</v>
      </c>
      <c r="N1790">
        <v>746.62</v>
      </c>
      <c r="O1790">
        <v>2.62</v>
      </c>
      <c r="P1790">
        <v>21.17</v>
      </c>
      <c r="Q1790">
        <v>0.56999999999999995</v>
      </c>
      <c r="R1790">
        <v>0.55000000000000004</v>
      </c>
      <c r="S1790">
        <v>111</v>
      </c>
      <c r="T1790">
        <v>4126</v>
      </c>
      <c r="U1790">
        <v>4308</v>
      </c>
      <c r="V1790">
        <v>11</v>
      </c>
      <c r="W1790">
        <v>16.87</v>
      </c>
      <c r="X1790" s="10">
        <v>0.75148885847217783</v>
      </c>
      <c r="Y1790" s="9">
        <v>2995</v>
      </c>
      <c r="Z1790" s="9">
        <v>2270</v>
      </c>
      <c r="AA1790" s="9">
        <v>2675</v>
      </c>
      <c r="AB1790">
        <v>0.55862068965517242</v>
      </c>
      <c r="AC1790" s="11">
        <v>7.9658238399555428</v>
      </c>
      <c r="AD1790" s="9">
        <v>2235.5423728813557</v>
      </c>
      <c r="AE1790" s="8">
        <v>0.15053763440860216</v>
      </c>
    </row>
    <row r="1791" spans="1:31" x14ac:dyDescent="0.35">
      <c r="A1791" s="6" t="s">
        <v>1812</v>
      </c>
      <c r="B1791" s="7">
        <v>0</v>
      </c>
      <c r="C1791" s="7">
        <v>10</v>
      </c>
      <c r="D1791" s="7">
        <v>4</v>
      </c>
      <c r="E1791" s="7">
        <v>4</v>
      </c>
      <c r="F1791">
        <v>74</v>
      </c>
      <c r="G1791">
        <v>-13</v>
      </c>
      <c r="H1791">
        <v>-17.440000000000001</v>
      </c>
      <c r="I1791">
        <v>-26</v>
      </c>
      <c r="J1791">
        <v>-34.75</v>
      </c>
      <c r="K1791">
        <v>101</v>
      </c>
      <c r="L1791">
        <v>37</v>
      </c>
      <c r="M1791">
        <v>64</v>
      </c>
      <c r="N1791">
        <v>42.24</v>
      </c>
      <c r="O1791">
        <v>-47.84</v>
      </c>
      <c r="P1791">
        <v>0</v>
      </c>
      <c r="Q1791">
        <v>2.58</v>
      </c>
      <c r="R1791">
        <v>1.61</v>
      </c>
      <c r="S1791">
        <v>-143</v>
      </c>
      <c r="T1791">
        <v>255</v>
      </c>
      <c r="U1791">
        <v>409</v>
      </c>
      <c r="V1791">
        <v>-14</v>
      </c>
      <c r="W1791">
        <v>-12.03</v>
      </c>
      <c r="X1791" s="10">
        <v>0.75148885847217783</v>
      </c>
      <c r="Y1791" s="9">
        <v>657</v>
      </c>
      <c r="Z1791" s="9">
        <v>657</v>
      </c>
      <c r="AA1791" s="9">
        <v>657</v>
      </c>
      <c r="AC1791" s="11">
        <v>0</v>
      </c>
      <c r="AD1791" s="9">
        <v>657</v>
      </c>
      <c r="AE1791" s="8">
        <v>0</v>
      </c>
    </row>
    <row r="1792" spans="1:31" x14ac:dyDescent="0.35">
      <c r="A1792" s="6" t="s">
        <v>1813</v>
      </c>
      <c r="B1792" s="7">
        <v>9</v>
      </c>
      <c r="C1792" s="7">
        <v>1</v>
      </c>
      <c r="D1792" s="7">
        <v>1</v>
      </c>
      <c r="E1792" s="7">
        <v>7</v>
      </c>
      <c r="F1792">
        <v>6381</v>
      </c>
      <c r="G1792">
        <v>176</v>
      </c>
      <c r="H1792">
        <v>2.77</v>
      </c>
      <c r="I1792">
        <v>44</v>
      </c>
      <c r="J1792">
        <v>0.69</v>
      </c>
      <c r="K1792">
        <v>5361</v>
      </c>
      <c r="L1792">
        <v>3447</v>
      </c>
      <c r="M1792">
        <v>1913</v>
      </c>
      <c r="N1792">
        <v>891.66</v>
      </c>
      <c r="O1792">
        <v>2.36</v>
      </c>
      <c r="P1792">
        <v>47.4</v>
      </c>
      <c r="Q1792">
        <v>1.23</v>
      </c>
      <c r="R1792">
        <v>0.33</v>
      </c>
      <c r="S1792">
        <v>123</v>
      </c>
      <c r="T1792">
        <v>4735</v>
      </c>
      <c r="U1792">
        <v>17882</v>
      </c>
      <c r="V1792">
        <v>215</v>
      </c>
      <c r="W1792">
        <v>21.58</v>
      </c>
      <c r="X1792" s="10">
        <v>0.65817250481475587</v>
      </c>
      <c r="Y1792" s="9">
        <v>7360</v>
      </c>
      <c r="Z1792" s="9">
        <v>5770</v>
      </c>
      <c r="AA1792" s="9">
        <v>6210</v>
      </c>
      <c r="AB1792">
        <v>0.27672955974842767</v>
      </c>
      <c r="AC1792" s="11">
        <v>21.632675743262023</v>
      </c>
      <c r="AD1792" s="9">
        <v>5862.870056497175</v>
      </c>
      <c r="AE1792" s="8">
        <v>6.3356164383561647E-2</v>
      </c>
    </row>
    <row r="1793" spans="1:31" x14ac:dyDescent="0.35">
      <c r="A1793" s="6" t="s">
        <v>1814</v>
      </c>
      <c r="B1793" s="7">
        <v>3</v>
      </c>
      <c r="C1793" s="7">
        <v>9</v>
      </c>
      <c r="D1793" s="7">
        <v>0</v>
      </c>
      <c r="E1793" s="7">
        <v>6</v>
      </c>
      <c r="F1793">
        <v>67</v>
      </c>
      <c r="G1793">
        <v>17</v>
      </c>
      <c r="H1793">
        <v>25.3</v>
      </c>
      <c r="I1793">
        <v>15</v>
      </c>
      <c r="J1793">
        <v>22.77</v>
      </c>
      <c r="K1793">
        <v>244</v>
      </c>
      <c r="L1793">
        <v>5</v>
      </c>
      <c r="M1793">
        <v>239</v>
      </c>
      <c r="N1793">
        <v>1192.01</v>
      </c>
      <c r="O1793">
        <v>8.18</v>
      </c>
      <c r="P1793">
        <v>54.27</v>
      </c>
      <c r="Q1793">
        <v>4.18</v>
      </c>
      <c r="R1793">
        <v>12.36</v>
      </c>
      <c r="S1793">
        <v>492</v>
      </c>
      <c r="T1793">
        <v>6386</v>
      </c>
      <c r="U1793">
        <v>2160</v>
      </c>
      <c r="V1793">
        <v>20</v>
      </c>
      <c r="W1793">
        <v>49.71</v>
      </c>
      <c r="X1793" s="10">
        <v>0.60413882024997789</v>
      </c>
      <c r="Y1793" s="9">
        <v>40000</v>
      </c>
      <c r="Z1793" s="9">
        <v>26600</v>
      </c>
      <c r="AA1793" s="9">
        <v>36250</v>
      </c>
      <c r="AB1793">
        <v>0.72014925373134331</v>
      </c>
      <c r="AC1793" s="11">
        <v>158.52320088913589</v>
      </c>
      <c r="AD1793" s="9">
        <v>27829.209039548023</v>
      </c>
      <c r="AE1793" s="8">
        <v>0.36278195488721804</v>
      </c>
    </row>
    <row r="1794" spans="1:31" x14ac:dyDescent="0.35">
      <c r="A1794" s="6" t="s">
        <v>1815</v>
      </c>
      <c r="B1794" s="7">
        <v>2</v>
      </c>
      <c r="C1794" s="7">
        <v>13</v>
      </c>
      <c r="D1794" s="7">
        <v>3</v>
      </c>
      <c r="E1794" s="7">
        <v>0</v>
      </c>
      <c r="F1794">
        <v>716</v>
      </c>
      <c r="G1794">
        <v>48</v>
      </c>
      <c r="H1794">
        <v>6.67</v>
      </c>
      <c r="I1794">
        <v>30</v>
      </c>
      <c r="J1794">
        <v>4.2300000000000004</v>
      </c>
      <c r="K1794">
        <v>1099</v>
      </c>
      <c r="L1794">
        <v>486</v>
      </c>
      <c r="M1794">
        <v>614</v>
      </c>
      <c r="N1794">
        <v>1208.78</v>
      </c>
      <c r="O1794">
        <v>5.08</v>
      </c>
      <c r="P1794">
        <v>60.22</v>
      </c>
      <c r="Q1794">
        <v>3.18</v>
      </c>
      <c r="R1794">
        <v>2.5499999999999998</v>
      </c>
      <c r="S1794">
        <v>313</v>
      </c>
      <c r="T1794">
        <v>5922</v>
      </c>
      <c r="U1794">
        <v>7386</v>
      </c>
      <c r="V1794">
        <v>73</v>
      </c>
      <c r="W1794">
        <v>25.79</v>
      </c>
      <c r="X1794" s="10">
        <v>6.3872357579661851E-2</v>
      </c>
      <c r="Y1794" s="9">
        <v>21600</v>
      </c>
      <c r="Z1794" s="9">
        <v>14950</v>
      </c>
      <c r="AA1794" s="9">
        <v>20600</v>
      </c>
      <c r="AB1794">
        <v>0.84962406015037595</v>
      </c>
      <c r="AC1794" s="11">
        <v>22.253403723256461</v>
      </c>
      <c r="AD1794" s="9">
        <v>17176.271186440677</v>
      </c>
      <c r="AE1794" s="8">
        <v>0.13186813186813187</v>
      </c>
    </row>
    <row r="1795" spans="1:31" x14ac:dyDescent="0.35">
      <c r="A1795" s="6" t="s">
        <v>1816</v>
      </c>
      <c r="B1795" s="7">
        <v>4</v>
      </c>
      <c r="C1795" s="7">
        <v>2</v>
      </c>
      <c r="D1795" s="7">
        <v>8</v>
      </c>
      <c r="E1795" s="7">
        <v>4</v>
      </c>
      <c r="F1795">
        <v>279</v>
      </c>
      <c r="G1795">
        <v>48</v>
      </c>
      <c r="H1795">
        <v>17.13</v>
      </c>
      <c r="I1795">
        <v>41</v>
      </c>
      <c r="J1795">
        <v>14.55</v>
      </c>
      <c r="K1795">
        <v>236</v>
      </c>
      <c r="L1795">
        <v>24</v>
      </c>
      <c r="M1795">
        <v>213</v>
      </c>
      <c r="N1795">
        <v>204.71</v>
      </c>
      <c r="O1795">
        <v>24.2</v>
      </c>
      <c r="P1795">
        <v>7.76</v>
      </c>
      <c r="Q1795">
        <v>1.67</v>
      </c>
      <c r="R1795">
        <v>1.1299999999999999</v>
      </c>
      <c r="S1795">
        <v>326</v>
      </c>
      <c r="T1795">
        <v>1511</v>
      </c>
      <c r="U1795">
        <v>2238</v>
      </c>
      <c r="V1795">
        <v>58</v>
      </c>
      <c r="W1795">
        <v>6.09</v>
      </c>
      <c r="X1795" s="10">
        <v>0.58596682313268944</v>
      </c>
      <c r="Y1795" s="9">
        <v>3900</v>
      </c>
      <c r="Z1795" s="9">
        <v>2400</v>
      </c>
      <c r="AA1795" s="9">
        <v>3550</v>
      </c>
      <c r="AB1795">
        <v>0.76666666666666672</v>
      </c>
      <c r="AC1795" s="11">
        <v>17.917754931925536</v>
      </c>
      <c r="AD1795" s="9">
        <v>2543.6751412429376</v>
      </c>
      <c r="AE1795" s="8">
        <v>0.47916666666666669</v>
      </c>
    </row>
    <row r="1796" spans="1:31" x14ac:dyDescent="0.35">
      <c r="A1796" s="6" t="s">
        <v>1817</v>
      </c>
      <c r="B1796" s="7">
        <v>6</v>
      </c>
      <c r="C1796" s="7">
        <v>0</v>
      </c>
      <c r="D1796" s="7">
        <v>9</v>
      </c>
      <c r="E1796" s="7">
        <v>3</v>
      </c>
      <c r="F1796">
        <v>522</v>
      </c>
      <c r="G1796">
        <v>13</v>
      </c>
      <c r="H1796">
        <v>2.4</v>
      </c>
      <c r="I1796">
        <v>15</v>
      </c>
      <c r="J1796">
        <v>2.96</v>
      </c>
      <c r="K1796">
        <v>988</v>
      </c>
      <c r="L1796">
        <v>230</v>
      </c>
      <c r="M1796">
        <v>758</v>
      </c>
      <c r="N1796">
        <v>458.36</v>
      </c>
      <c r="O1796">
        <v>2.0699999999999998</v>
      </c>
      <c r="P1796">
        <v>82.19</v>
      </c>
      <c r="Q1796">
        <v>1.77</v>
      </c>
      <c r="R1796">
        <v>2.4500000000000002</v>
      </c>
      <c r="S1796">
        <v>57</v>
      </c>
      <c r="T1796">
        <v>2653</v>
      </c>
      <c r="U1796">
        <v>1913</v>
      </c>
      <c r="V1796">
        <v>40</v>
      </c>
      <c r="W1796">
        <v>32.729999999999997</v>
      </c>
      <c r="X1796" s="10">
        <v>0.75974984544735036</v>
      </c>
      <c r="Y1796" s="9">
        <v>8250</v>
      </c>
      <c r="Z1796" s="9">
        <v>4145</v>
      </c>
      <c r="AA1796" s="9">
        <v>7840</v>
      </c>
      <c r="AB1796">
        <v>0.90012180267965891</v>
      </c>
      <c r="AC1796" s="11">
        <v>53.938594053903856</v>
      </c>
      <c r="AD1796" s="9">
        <v>3758.7062146892654</v>
      </c>
      <c r="AE1796" s="8">
        <v>0.67164179104477617</v>
      </c>
    </row>
    <row r="1797" spans="1:31" x14ac:dyDescent="0.35">
      <c r="A1797" s="6" t="s">
        <v>1818</v>
      </c>
      <c r="B1797" s="7">
        <v>11</v>
      </c>
      <c r="C1797" s="7">
        <v>3</v>
      </c>
      <c r="D1797" s="7">
        <v>2</v>
      </c>
      <c r="E1797" s="7">
        <v>2</v>
      </c>
      <c r="F1797">
        <v>1096</v>
      </c>
      <c r="G1797">
        <v>171</v>
      </c>
      <c r="H1797">
        <v>15.61</v>
      </c>
      <c r="I1797">
        <v>163</v>
      </c>
      <c r="J1797">
        <v>14.89</v>
      </c>
      <c r="K1797">
        <v>1120</v>
      </c>
      <c r="L1797">
        <v>265</v>
      </c>
      <c r="M1797">
        <v>855</v>
      </c>
      <c r="N1797">
        <v>1566.19</v>
      </c>
      <c r="O1797">
        <v>21.8</v>
      </c>
      <c r="P1797">
        <v>10.97</v>
      </c>
      <c r="Q1797">
        <v>2.42</v>
      </c>
      <c r="R1797">
        <v>1.63</v>
      </c>
      <c r="S1797">
        <v>1654</v>
      </c>
      <c r="T1797">
        <v>7495</v>
      </c>
      <c r="U1797">
        <v>11104</v>
      </c>
      <c r="V1797">
        <v>213</v>
      </c>
      <c r="W1797">
        <v>8.77</v>
      </c>
      <c r="X1797" s="10">
        <v>0.66940481585541833</v>
      </c>
      <c r="Y1797" s="9">
        <v>18550</v>
      </c>
      <c r="Z1797" s="9">
        <v>15150</v>
      </c>
      <c r="AA1797" s="9">
        <v>15600</v>
      </c>
      <c r="AB1797">
        <v>0.13235294117647059</v>
      </c>
      <c r="AC1797" s="11">
        <v>-44.820783550986384</v>
      </c>
      <c r="AD1797" s="9">
        <v>17822.033898305086</v>
      </c>
      <c r="AE1797" s="8">
        <v>-0.14520547945205478</v>
      </c>
    </row>
    <row r="1798" spans="1:31" x14ac:dyDescent="0.35">
      <c r="A1798" s="6" t="s">
        <v>1819</v>
      </c>
      <c r="B1798" s="7">
        <v>7</v>
      </c>
      <c r="C1798" s="7">
        <v>0</v>
      </c>
      <c r="D1798" s="7">
        <v>9</v>
      </c>
      <c r="E1798" s="7">
        <v>2</v>
      </c>
      <c r="F1798">
        <v>379</v>
      </c>
      <c r="G1798">
        <v>61</v>
      </c>
      <c r="H1798">
        <v>16.2</v>
      </c>
      <c r="I1798">
        <v>41</v>
      </c>
      <c r="J1798">
        <v>10.88</v>
      </c>
      <c r="K1798">
        <v>1010</v>
      </c>
      <c r="L1798">
        <v>385</v>
      </c>
      <c r="M1798">
        <v>625</v>
      </c>
      <c r="N1798">
        <v>1743.12</v>
      </c>
      <c r="O1798">
        <v>9.08</v>
      </c>
      <c r="P1798">
        <v>17.04</v>
      </c>
      <c r="Q1798">
        <v>1.52</v>
      </c>
      <c r="R1798">
        <v>1.85</v>
      </c>
      <c r="S1798">
        <v>813</v>
      </c>
      <c r="T1798">
        <v>9122</v>
      </c>
      <c r="U1798">
        <v>7481</v>
      </c>
      <c r="V1798">
        <v>278</v>
      </c>
      <c r="W1798">
        <v>3.6</v>
      </c>
      <c r="X1798" s="10">
        <v>0.417967993941946</v>
      </c>
      <c r="Y1798" s="9">
        <v>26500</v>
      </c>
      <c r="Z1798" s="9">
        <v>18450</v>
      </c>
      <c r="AA1798" s="9">
        <v>23200</v>
      </c>
      <c r="AB1798">
        <v>0.59006211180124224</v>
      </c>
      <c r="AC1798" s="11">
        <v>71.462906362878584</v>
      </c>
      <c r="AD1798" s="9">
        <v>19567.881355932204</v>
      </c>
      <c r="AE1798" s="8">
        <v>0.23404255319148937</v>
      </c>
    </row>
    <row r="1799" spans="1:31" x14ac:dyDescent="0.35">
      <c r="A1799" s="6" t="s">
        <v>1820</v>
      </c>
      <c r="B1799" s="7">
        <v>6</v>
      </c>
      <c r="C1799" s="7">
        <v>7</v>
      </c>
      <c r="D1799" s="7">
        <v>3</v>
      </c>
      <c r="E1799" s="7">
        <v>2</v>
      </c>
      <c r="F1799">
        <v>1036</v>
      </c>
      <c r="G1799">
        <v>129</v>
      </c>
      <c r="H1799">
        <v>12.46</v>
      </c>
      <c r="I1799">
        <v>99</v>
      </c>
      <c r="J1799">
        <v>9.5299999999999994</v>
      </c>
      <c r="K1799">
        <v>1684</v>
      </c>
      <c r="L1799">
        <v>913</v>
      </c>
      <c r="M1799">
        <v>771</v>
      </c>
      <c r="N1799">
        <v>853.49</v>
      </c>
      <c r="O1799">
        <v>13.95</v>
      </c>
      <c r="P1799">
        <v>12.58</v>
      </c>
      <c r="Q1799">
        <v>2.0299999999999998</v>
      </c>
      <c r="R1799">
        <v>1.2</v>
      </c>
      <c r="S1799">
        <v>633</v>
      </c>
      <c r="T1799">
        <v>3917</v>
      </c>
      <c r="U1799">
        <v>6643</v>
      </c>
      <c r="V1799">
        <v>167</v>
      </c>
      <c r="W1799">
        <v>11.3</v>
      </c>
      <c r="X1799" s="10">
        <v>0.34024483665712357</v>
      </c>
      <c r="Y1799" s="9">
        <v>11100</v>
      </c>
      <c r="Z1799" s="9">
        <v>7940</v>
      </c>
      <c r="AA1799" s="9">
        <v>9640</v>
      </c>
      <c r="AB1799">
        <v>0.53797468354430378</v>
      </c>
      <c r="AC1799" s="11">
        <v>26.964156710197276</v>
      </c>
      <c r="AD1799" s="9">
        <v>8754.2598870056499</v>
      </c>
      <c r="AE1799" s="8">
        <v>0.1857318573185732</v>
      </c>
    </row>
    <row r="1800" spans="1:31" x14ac:dyDescent="0.35">
      <c r="A1800" s="6" t="s">
        <v>1821</v>
      </c>
      <c r="B1800" s="7">
        <v>8</v>
      </c>
      <c r="C1800" s="7">
        <v>8</v>
      </c>
      <c r="D1800" s="7">
        <v>1</v>
      </c>
      <c r="E1800" s="7">
        <v>1</v>
      </c>
      <c r="F1800">
        <v>858</v>
      </c>
      <c r="G1800">
        <v>53</v>
      </c>
      <c r="H1800">
        <v>6.18</v>
      </c>
      <c r="I1800">
        <v>68</v>
      </c>
      <c r="J1800">
        <v>7.9</v>
      </c>
      <c r="K1800">
        <v>972</v>
      </c>
      <c r="L1800">
        <v>165</v>
      </c>
      <c r="M1800">
        <v>807</v>
      </c>
      <c r="N1800">
        <v>73.81</v>
      </c>
      <c r="O1800">
        <v>8.74</v>
      </c>
      <c r="P1800">
        <v>30.55</v>
      </c>
      <c r="Q1800">
        <v>2.6</v>
      </c>
      <c r="R1800">
        <v>2.41</v>
      </c>
      <c r="S1800">
        <v>73</v>
      </c>
      <c r="T1800">
        <v>859</v>
      </c>
      <c r="U1800">
        <v>924</v>
      </c>
      <c r="V1800">
        <v>56</v>
      </c>
      <c r="W1800">
        <v>37</v>
      </c>
      <c r="X1800" s="10">
        <v>1.9981126053386753E-3</v>
      </c>
      <c r="Y1800" s="9">
        <v>2585</v>
      </c>
      <c r="Z1800" s="9">
        <v>2155</v>
      </c>
      <c r="AA1800" s="9">
        <v>2270</v>
      </c>
      <c r="AB1800">
        <v>0.26744186046511625</v>
      </c>
      <c r="AC1800" s="11">
        <v>-0.29160878021672687</v>
      </c>
      <c r="AD1800" s="9">
        <v>2357.6440677966102</v>
      </c>
      <c r="AE1800" s="8">
        <v>5.336426914153132E-2</v>
      </c>
    </row>
    <row r="1801" spans="1:31" x14ac:dyDescent="0.35">
      <c r="A1801" s="6" t="s">
        <v>1822</v>
      </c>
      <c r="B1801" s="7">
        <v>2</v>
      </c>
      <c r="C1801" s="7">
        <v>13</v>
      </c>
      <c r="D1801" s="7">
        <v>1</v>
      </c>
      <c r="E1801" s="7">
        <v>2</v>
      </c>
      <c r="F1801">
        <v>558</v>
      </c>
      <c r="G1801">
        <v>6</v>
      </c>
      <c r="H1801">
        <v>1.1200000000000001</v>
      </c>
      <c r="I1801">
        <v>14</v>
      </c>
      <c r="J1801">
        <v>2.58</v>
      </c>
      <c r="K1801">
        <v>916</v>
      </c>
      <c r="L1801">
        <v>212</v>
      </c>
      <c r="M1801">
        <v>704</v>
      </c>
      <c r="N1801">
        <v>1412.94</v>
      </c>
      <c r="O1801">
        <v>2.76</v>
      </c>
      <c r="P1801">
        <v>25.28</v>
      </c>
      <c r="Q1801">
        <v>0.9</v>
      </c>
      <c r="R1801">
        <v>0.65</v>
      </c>
      <c r="S1801">
        <v>216</v>
      </c>
      <c r="T1801">
        <v>6036</v>
      </c>
      <c r="U1801">
        <v>8347</v>
      </c>
      <c r="V1801">
        <v>79</v>
      </c>
      <c r="W1801">
        <v>7.31</v>
      </c>
      <c r="X1801" s="10">
        <v>0.90123862574058178</v>
      </c>
      <c r="Y1801" s="9">
        <v>6990</v>
      </c>
      <c r="Z1801" s="9">
        <v>4740</v>
      </c>
      <c r="AA1801" s="9">
        <v>6720</v>
      </c>
      <c r="AB1801">
        <v>0.88</v>
      </c>
      <c r="AC1801" s="11">
        <v>37.011253125868294</v>
      </c>
      <c r="AD1801" s="9">
        <v>4519.7401129943501</v>
      </c>
      <c r="AE1801" s="8">
        <v>0.36170212765957449</v>
      </c>
    </row>
    <row r="1802" spans="1:31" x14ac:dyDescent="0.35">
      <c r="A1802" s="6" t="s">
        <v>1823</v>
      </c>
      <c r="B1802" s="7">
        <v>3</v>
      </c>
      <c r="C1802" s="7">
        <v>1</v>
      </c>
      <c r="D1802" s="7">
        <v>7</v>
      </c>
      <c r="E1802" s="7">
        <v>7</v>
      </c>
      <c r="F1802">
        <v>178</v>
      </c>
      <c r="G1802">
        <v>-12</v>
      </c>
      <c r="H1802">
        <v>-6.7</v>
      </c>
      <c r="I1802">
        <v>-13</v>
      </c>
      <c r="J1802">
        <v>-7.57</v>
      </c>
      <c r="K1802">
        <v>380</v>
      </c>
      <c r="L1802">
        <v>154</v>
      </c>
      <c r="M1802">
        <v>225</v>
      </c>
      <c r="N1802">
        <v>574.35</v>
      </c>
      <c r="O1802">
        <v>-7.73</v>
      </c>
      <c r="P1802">
        <v>0</v>
      </c>
      <c r="Q1802">
        <v>0.92</v>
      </c>
      <c r="R1802">
        <v>0.61</v>
      </c>
      <c r="S1802">
        <v>-284</v>
      </c>
      <c r="T1802">
        <v>2477</v>
      </c>
      <c r="U1802">
        <v>3749</v>
      </c>
      <c r="V1802">
        <v>10</v>
      </c>
      <c r="W1802">
        <v>22.4</v>
      </c>
      <c r="X1802" s="10">
        <v>0.48542257090595259</v>
      </c>
      <c r="Y1802" s="9">
        <v>6560</v>
      </c>
      <c r="Z1802" s="9">
        <v>2040</v>
      </c>
      <c r="AA1802" s="9">
        <v>3750</v>
      </c>
      <c r="AB1802">
        <v>0.37831858407079644</v>
      </c>
      <c r="AC1802" s="11">
        <v>45.616560155598776</v>
      </c>
      <c r="AD1802" s="9">
        <v>1566.0282485875707</v>
      </c>
      <c r="AE1802" s="8">
        <v>0.76470588235294112</v>
      </c>
    </row>
    <row r="1803" spans="1:31" x14ac:dyDescent="0.35">
      <c r="A1803" s="6" t="s">
        <v>1824</v>
      </c>
      <c r="B1803" s="7">
        <v>3</v>
      </c>
      <c r="C1803" s="7">
        <v>4</v>
      </c>
      <c r="D1803" s="7">
        <v>11</v>
      </c>
      <c r="E1803" s="7">
        <v>0</v>
      </c>
      <c r="F1803">
        <v>506</v>
      </c>
      <c r="G1803">
        <v>80</v>
      </c>
      <c r="H1803">
        <v>15.83</v>
      </c>
      <c r="I1803">
        <v>79</v>
      </c>
      <c r="J1803">
        <v>15.51</v>
      </c>
      <c r="K1803">
        <v>1153</v>
      </c>
      <c r="L1803">
        <v>153</v>
      </c>
      <c r="M1803">
        <v>999</v>
      </c>
      <c r="N1803">
        <v>2559.14</v>
      </c>
      <c r="O1803">
        <v>8.02</v>
      </c>
      <c r="P1803">
        <v>8.81</v>
      </c>
      <c r="Q1803">
        <v>1.31</v>
      </c>
      <c r="R1803">
        <v>1.37</v>
      </c>
      <c r="S1803">
        <v>1396</v>
      </c>
      <c r="T1803">
        <v>9398</v>
      </c>
      <c r="U1803">
        <v>9000</v>
      </c>
      <c r="V1803">
        <v>96</v>
      </c>
      <c r="W1803">
        <v>12.49</v>
      </c>
      <c r="X1803" s="10">
        <v>0.7996930405654703</v>
      </c>
      <c r="Y1803" s="9">
        <v>13800</v>
      </c>
      <c r="Z1803" s="9">
        <v>11650</v>
      </c>
      <c r="AA1803" s="9">
        <v>13700</v>
      </c>
      <c r="AB1803">
        <v>0.95348837209302328</v>
      </c>
      <c r="AC1803" s="11">
        <v>28.264795776604611</v>
      </c>
      <c r="AD1803" s="9">
        <v>12085.423728813559</v>
      </c>
      <c r="AE1803" s="8">
        <v>0.10483870967741936</v>
      </c>
    </row>
    <row r="1804" spans="1:31" x14ac:dyDescent="0.35">
      <c r="A1804" s="6" t="s">
        <v>1825</v>
      </c>
      <c r="B1804" s="7">
        <v>3</v>
      </c>
      <c r="C1804" s="7">
        <v>1</v>
      </c>
      <c r="D1804" s="7">
        <v>6</v>
      </c>
      <c r="E1804" s="7">
        <v>8</v>
      </c>
      <c r="F1804">
        <v>264</v>
      </c>
      <c r="G1804">
        <v>37</v>
      </c>
      <c r="H1804">
        <v>13.93</v>
      </c>
      <c r="I1804">
        <v>29</v>
      </c>
      <c r="J1804">
        <v>11.12</v>
      </c>
      <c r="K1804">
        <v>356</v>
      </c>
      <c r="L1804">
        <v>97</v>
      </c>
      <c r="M1804">
        <v>258</v>
      </c>
      <c r="N1804">
        <v>1192.32</v>
      </c>
      <c r="O1804">
        <v>24.09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 s="10">
        <v>8.8700042044828639E-5</v>
      </c>
      <c r="Y1804" s="9">
        <v>16500</v>
      </c>
      <c r="Z1804" s="9">
        <v>12100</v>
      </c>
      <c r="AA1804" s="9">
        <v>13600</v>
      </c>
      <c r="AB1804">
        <v>0.34090909090909088</v>
      </c>
      <c r="AC1804" s="11">
        <v>0.41956098916365614</v>
      </c>
      <c r="AD1804" s="9">
        <v>14743.870056497175</v>
      </c>
      <c r="AE1804" s="8">
        <v>0.12396694214876033</v>
      </c>
    </row>
    <row r="1805" spans="1:31" x14ac:dyDescent="0.35">
      <c r="A1805" s="6" t="s">
        <v>1826</v>
      </c>
      <c r="B1805" s="7">
        <v>13</v>
      </c>
      <c r="C1805" s="7">
        <v>3</v>
      </c>
      <c r="D1805" s="7">
        <v>1</v>
      </c>
      <c r="E1805" s="7">
        <v>1</v>
      </c>
      <c r="F1805">
        <v>6062</v>
      </c>
      <c r="G1805">
        <v>544</v>
      </c>
      <c r="H1805">
        <v>8.98</v>
      </c>
      <c r="I1805">
        <v>360</v>
      </c>
      <c r="J1805">
        <v>5.93</v>
      </c>
      <c r="K1805">
        <v>2423</v>
      </c>
      <c r="L1805">
        <v>1238</v>
      </c>
      <c r="M1805">
        <v>1185</v>
      </c>
      <c r="N1805">
        <v>1371.4</v>
      </c>
      <c r="O1805">
        <v>35.520000000000003</v>
      </c>
      <c r="P1805">
        <v>7.11</v>
      </c>
      <c r="Q1805">
        <v>2.44</v>
      </c>
      <c r="R1805">
        <v>0.42</v>
      </c>
      <c r="S1805">
        <v>2308</v>
      </c>
      <c r="T1805">
        <v>6714</v>
      </c>
      <c r="U1805">
        <v>38894</v>
      </c>
      <c r="V1805">
        <v>620</v>
      </c>
      <c r="W1805">
        <v>4.6900000000000004</v>
      </c>
      <c r="X1805" s="10">
        <v>7.1331710093934292E-4</v>
      </c>
      <c r="Y1805" s="9">
        <v>19750</v>
      </c>
      <c r="Z1805" s="9">
        <v>16400</v>
      </c>
      <c r="AA1805" s="9">
        <v>16750</v>
      </c>
      <c r="AB1805">
        <v>0.1044776119402985</v>
      </c>
      <c r="AC1805" s="11">
        <v>1.4184495693248125</v>
      </c>
      <c r="AD1805" s="9">
        <v>17984.237288135595</v>
      </c>
      <c r="AE1805" s="8">
        <v>1.2084592145015106E-2</v>
      </c>
    </row>
    <row r="1806" spans="1:31" x14ac:dyDescent="0.35">
      <c r="A1806" s="6" t="s">
        <v>1827</v>
      </c>
      <c r="B1806" s="7">
        <v>1</v>
      </c>
      <c r="C1806" s="7">
        <v>15</v>
      </c>
      <c r="D1806" s="7">
        <v>0</v>
      </c>
      <c r="E1806" s="7">
        <v>2</v>
      </c>
      <c r="F1806">
        <v>76</v>
      </c>
      <c r="G1806">
        <v>5</v>
      </c>
      <c r="H1806">
        <v>6.88</v>
      </c>
      <c r="I1806">
        <v>4</v>
      </c>
      <c r="J1806">
        <v>4.8499999999999996</v>
      </c>
      <c r="K1806">
        <v>135</v>
      </c>
      <c r="L1806">
        <v>79</v>
      </c>
      <c r="M1806">
        <v>56</v>
      </c>
      <c r="N1806">
        <v>30.76</v>
      </c>
      <c r="O1806">
        <v>6.93</v>
      </c>
      <c r="P1806">
        <v>35</v>
      </c>
      <c r="Q1806">
        <v>2.96</v>
      </c>
      <c r="R1806">
        <v>1.7</v>
      </c>
      <c r="S1806">
        <v>43</v>
      </c>
      <c r="T1806">
        <v>509</v>
      </c>
      <c r="U1806">
        <v>884</v>
      </c>
      <c r="V1806">
        <v>8</v>
      </c>
      <c r="W1806">
        <v>15.21</v>
      </c>
      <c r="X1806" s="10">
        <v>0.7917813510946744</v>
      </c>
      <c r="Y1806" s="9">
        <v>2600</v>
      </c>
      <c r="Z1806" s="9">
        <v>1490</v>
      </c>
      <c r="AA1806" s="9">
        <v>2260</v>
      </c>
      <c r="AB1806">
        <v>0.69369369369369371</v>
      </c>
      <c r="AC1806" s="11">
        <v>14.021255904417893</v>
      </c>
      <c r="AD1806" s="9">
        <v>1472.268361581921</v>
      </c>
      <c r="AE1806" s="8">
        <v>0.51170568561872909</v>
      </c>
    </row>
    <row r="1807" spans="1:31" x14ac:dyDescent="0.35">
      <c r="A1807" s="6" t="s">
        <v>1828</v>
      </c>
      <c r="B1807" s="7">
        <v>1</v>
      </c>
      <c r="C1807" s="7">
        <v>2</v>
      </c>
      <c r="D1807" s="7">
        <v>7</v>
      </c>
      <c r="E1807" s="7">
        <v>8</v>
      </c>
      <c r="F1807">
        <v>145</v>
      </c>
      <c r="G1807">
        <v>-76</v>
      </c>
      <c r="H1807">
        <v>-52.16</v>
      </c>
      <c r="I1807">
        <v>-185</v>
      </c>
      <c r="J1807">
        <v>-127.95</v>
      </c>
      <c r="K1807">
        <v>775</v>
      </c>
      <c r="L1807">
        <v>191</v>
      </c>
      <c r="M1807">
        <v>584</v>
      </c>
      <c r="N1807">
        <v>841.39</v>
      </c>
      <c r="O1807">
        <v>-36.51</v>
      </c>
      <c r="P1807">
        <v>0</v>
      </c>
      <c r="Q1807">
        <v>0.4</v>
      </c>
      <c r="R1807">
        <v>1.1200000000000001</v>
      </c>
      <c r="S1807">
        <v>-1943</v>
      </c>
      <c r="T1807">
        <v>4231</v>
      </c>
      <c r="U1807">
        <v>1519</v>
      </c>
      <c r="V1807">
        <v>-91</v>
      </c>
      <c r="W1807">
        <v>-2.4700000000000002</v>
      </c>
      <c r="X1807" s="10">
        <v>9.1693486581538544E-2</v>
      </c>
      <c r="Y1807" s="9">
        <v>2225</v>
      </c>
      <c r="Z1807" s="9">
        <v>1600</v>
      </c>
      <c r="AA1807" s="9">
        <v>1705</v>
      </c>
      <c r="AB1807">
        <v>0.16800000000000001</v>
      </c>
      <c r="AC1807" s="11">
        <v>2.3238399555432063</v>
      </c>
      <c r="AD1807" s="9">
        <v>1695.2062146892654</v>
      </c>
      <c r="AE1807" s="8">
        <v>-6.3186813186813184E-2</v>
      </c>
    </row>
    <row r="1808" spans="1:31" x14ac:dyDescent="0.35">
      <c r="A1808" s="6" t="s">
        <v>1829</v>
      </c>
      <c r="B1808" s="7">
        <v>4</v>
      </c>
      <c r="C1808" s="7">
        <v>0</v>
      </c>
      <c r="D1808" s="7">
        <v>10</v>
      </c>
      <c r="E1808" s="7">
        <v>4</v>
      </c>
      <c r="F1808">
        <v>1717</v>
      </c>
      <c r="G1808">
        <v>202</v>
      </c>
      <c r="H1808">
        <v>11.76</v>
      </c>
      <c r="I1808">
        <v>131</v>
      </c>
      <c r="J1808">
        <v>7.64</v>
      </c>
      <c r="K1808">
        <v>2172</v>
      </c>
      <c r="L1808">
        <v>946</v>
      </c>
      <c r="M1808">
        <v>1226</v>
      </c>
      <c r="N1808">
        <v>1476.26</v>
      </c>
      <c r="O1808">
        <v>11.1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 s="10">
        <v>0.63947554067430934</v>
      </c>
      <c r="Y1808" s="9">
        <v>18500</v>
      </c>
      <c r="Z1808" s="9">
        <v>12000</v>
      </c>
      <c r="AA1808" s="9">
        <v>17400</v>
      </c>
      <c r="AB1808">
        <v>0.83076923076923082</v>
      </c>
      <c r="AC1808" s="11">
        <v>88.230063906640737</v>
      </c>
      <c r="AD1808" s="9">
        <v>13298.983050847457</v>
      </c>
      <c r="AE1808" s="8">
        <v>0.43801652892561982</v>
      </c>
    </row>
    <row r="1809" spans="1:31" x14ac:dyDescent="0.35">
      <c r="A1809" s="6" t="s">
        <v>1830</v>
      </c>
      <c r="B1809" s="7">
        <v>4</v>
      </c>
      <c r="C1809" s="7">
        <v>2</v>
      </c>
      <c r="D1809" s="7">
        <v>7</v>
      </c>
      <c r="E1809" s="7">
        <v>5</v>
      </c>
      <c r="F1809">
        <v>260</v>
      </c>
      <c r="G1809">
        <v>17</v>
      </c>
      <c r="H1809">
        <v>6.61</v>
      </c>
      <c r="I1809">
        <v>20</v>
      </c>
      <c r="J1809">
        <v>7.58</v>
      </c>
      <c r="K1809">
        <v>304</v>
      </c>
      <c r="L1809">
        <v>41</v>
      </c>
      <c r="M1809">
        <v>263</v>
      </c>
      <c r="N1809">
        <v>590.35</v>
      </c>
      <c r="O1809">
        <v>7.96</v>
      </c>
      <c r="P1809">
        <v>19.25</v>
      </c>
      <c r="Q1809">
        <v>1.67</v>
      </c>
      <c r="R1809">
        <v>1.46</v>
      </c>
      <c r="S1809">
        <v>259</v>
      </c>
      <c r="T1809">
        <v>2980</v>
      </c>
      <c r="U1809">
        <v>3419</v>
      </c>
      <c r="V1809">
        <v>32</v>
      </c>
      <c r="W1809">
        <v>11.95</v>
      </c>
      <c r="X1809" s="10">
        <v>0.52297281836096521</v>
      </c>
      <c r="Y1809" s="9">
        <v>7080</v>
      </c>
      <c r="Z1809" s="9">
        <v>4640</v>
      </c>
      <c r="AA1809" s="9">
        <v>6450</v>
      </c>
      <c r="AB1809">
        <v>0.74180327868852458</v>
      </c>
      <c r="AC1809" s="11">
        <v>20.323423173103642</v>
      </c>
      <c r="AD1809" s="9">
        <v>4841.3022598870057</v>
      </c>
      <c r="AE1809" s="8">
        <v>0.28742514970059879</v>
      </c>
    </row>
    <row r="1810" spans="1:31" x14ac:dyDescent="0.35">
      <c r="A1810" s="6" t="s">
        <v>1831</v>
      </c>
      <c r="B1810" s="7">
        <v>3</v>
      </c>
      <c r="C1810" s="7">
        <v>8</v>
      </c>
      <c r="D1810" s="7">
        <v>2</v>
      </c>
      <c r="E1810" s="7">
        <v>5</v>
      </c>
      <c r="F1810">
        <v>41</v>
      </c>
      <c r="G1810">
        <v>24</v>
      </c>
      <c r="H1810">
        <v>58.45</v>
      </c>
      <c r="I1810">
        <v>10</v>
      </c>
      <c r="J1810">
        <v>23.81</v>
      </c>
      <c r="K1810">
        <v>1040</v>
      </c>
      <c r="L1810">
        <v>587</v>
      </c>
      <c r="M1810">
        <v>453</v>
      </c>
      <c r="N1810">
        <v>-6.53</v>
      </c>
      <c r="O1810">
        <v>2.11</v>
      </c>
      <c r="P1810">
        <v>44.45</v>
      </c>
      <c r="Q1810">
        <v>0.95</v>
      </c>
      <c r="R1810">
        <v>10.58</v>
      </c>
      <c r="S1810">
        <v>100</v>
      </c>
      <c r="T1810">
        <v>4674</v>
      </c>
      <c r="U1810">
        <v>420</v>
      </c>
      <c r="V1810">
        <v>31</v>
      </c>
      <c r="W1810">
        <v>31.25</v>
      </c>
      <c r="X1810" s="10">
        <v>0.49772285424307733</v>
      </c>
      <c r="Y1810" s="9">
        <v>5000</v>
      </c>
      <c r="Z1810" s="9">
        <v>4400</v>
      </c>
      <c r="AA1810" s="9">
        <v>4640</v>
      </c>
      <c r="AB1810">
        <v>0.4</v>
      </c>
      <c r="AC1810" s="11">
        <v>4.1333703806612947</v>
      </c>
      <c r="AD1810" s="9">
        <v>4463.5988700564976</v>
      </c>
      <c r="AE1810" s="8">
        <v>2.4282560706401765E-2</v>
      </c>
    </row>
    <row r="1811" spans="1:31" x14ac:dyDescent="0.35">
      <c r="A1811" s="6" t="s">
        <v>1832</v>
      </c>
      <c r="B1811" s="7">
        <v>0</v>
      </c>
      <c r="C1811" s="7">
        <v>2</v>
      </c>
      <c r="D1811" s="7">
        <v>5</v>
      </c>
      <c r="E1811" s="7">
        <v>11</v>
      </c>
      <c r="F1811">
        <v>294</v>
      </c>
      <c r="G1811">
        <v>-141</v>
      </c>
      <c r="H1811">
        <v>-47.79</v>
      </c>
      <c r="I1811">
        <v>-210</v>
      </c>
      <c r="J1811">
        <v>-71.489999999999995</v>
      </c>
      <c r="K1811">
        <v>733</v>
      </c>
      <c r="L1811">
        <v>445</v>
      </c>
      <c r="M1811">
        <v>289</v>
      </c>
      <c r="N1811">
        <v>102.97</v>
      </c>
      <c r="O1811">
        <v>-70.72</v>
      </c>
      <c r="P1811">
        <v>0</v>
      </c>
      <c r="Q1811">
        <v>3.51</v>
      </c>
      <c r="R1811">
        <v>2.1800000000000002</v>
      </c>
      <c r="S1811">
        <v>-901</v>
      </c>
      <c r="T1811">
        <v>785</v>
      </c>
      <c r="U1811">
        <v>1261</v>
      </c>
      <c r="V1811">
        <v>-107</v>
      </c>
      <c r="W1811">
        <v>-9.8000000000000007</v>
      </c>
      <c r="X1811" s="10">
        <v>0.73085985309852486</v>
      </c>
      <c r="Y1811" s="9">
        <v>4005</v>
      </c>
      <c r="Z1811" s="9">
        <v>2555</v>
      </c>
      <c r="AA1811" s="9">
        <v>3660</v>
      </c>
      <c r="AB1811">
        <v>0.76206896551724135</v>
      </c>
      <c r="AC1811" s="11">
        <v>23.946790775215334</v>
      </c>
      <c r="AD1811" s="9">
        <v>2515.5395480225989</v>
      </c>
      <c r="AE1811" s="8">
        <v>0.43248532289628178</v>
      </c>
    </row>
    <row r="1812" spans="1:31" x14ac:dyDescent="0.35">
      <c r="A1812" s="6" t="s">
        <v>1833</v>
      </c>
      <c r="B1812" s="7">
        <v>3</v>
      </c>
      <c r="C1812" s="7">
        <v>8</v>
      </c>
      <c r="D1812" s="7">
        <v>7</v>
      </c>
      <c r="E1812" s="7">
        <v>0</v>
      </c>
      <c r="F1812">
        <v>362</v>
      </c>
      <c r="G1812">
        <v>30</v>
      </c>
      <c r="H1812">
        <v>8.24</v>
      </c>
      <c r="I1812">
        <v>22</v>
      </c>
      <c r="J1812">
        <v>6.14</v>
      </c>
      <c r="K1812">
        <v>531</v>
      </c>
      <c r="L1812">
        <v>215</v>
      </c>
      <c r="M1812">
        <v>316</v>
      </c>
      <c r="N1812">
        <v>749.72</v>
      </c>
      <c r="O1812">
        <v>10.07</v>
      </c>
      <c r="P1812">
        <v>19.38</v>
      </c>
      <c r="Q1812">
        <v>1.76</v>
      </c>
      <c r="R1812">
        <v>1.19</v>
      </c>
      <c r="S1812">
        <v>357</v>
      </c>
      <c r="T1812">
        <v>3924</v>
      </c>
      <c r="U1812">
        <v>5815</v>
      </c>
      <c r="V1812">
        <v>57</v>
      </c>
      <c r="W1812">
        <v>9.5299999999999994</v>
      </c>
      <c r="X1812" s="10">
        <v>0.53499011294236454</v>
      </c>
      <c r="Y1812" s="9">
        <v>10650</v>
      </c>
      <c r="Z1812" s="9">
        <v>6920</v>
      </c>
      <c r="AA1812" s="9">
        <v>9010</v>
      </c>
      <c r="AB1812">
        <v>0.56032171581769441</v>
      </c>
      <c r="AC1812" s="11">
        <v>32.643234231731043</v>
      </c>
      <c r="AD1812" s="9">
        <v>8018.2146892655373</v>
      </c>
      <c r="AE1812" s="8">
        <v>0.26190476190476192</v>
      </c>
    </row>
    <row r="1813" spans="1:31" x14ac:dyDescent="0.35">
      <c r="A1813" s="6" t="s">
        <v>1834</v>
      </c>
      <c r="B1813" s="7">
        <v>3</v>
      </c>
      <c r="C1813" s="7">
        <v>8</v>
      </c>
      <c r="D1813" s="7">
        <v>1</v>
      </c>
      <c r="E1813" s="7">
        <v>6</v>
      </c>
      <c r="F1813">
        <v>1290</v>
      </c>
      <c r="G1813">
        <v>-9</v>
      </c>
      <c r="H1813">
        <v>-0.71</v>
      </c>
      <c r="I1813">
        <v>-17</v>
      </c>
      <c r="J1813">
        <v>-1.34</v>
      </c>
      <c r="K1813">
        <v>1535</v>
      </c>
      <c r="L1813">
        <v>825</v>
      </c>
      <c r="M1813">
        <v>710</v>
      </c>
      <c r="N1813">
        <v>1320.22</v>
      </c>
      <c r="O1813">
        <v>-3.2</v>
      </c>
      <c r="P1813">
        <v>0</v>
      </c>
      <c r="Q1813">
        <v>0.49</v>
      </c>
      <c r="R1813">
        <v>0.2</v>
      </c>
      <c r="S1813">
        <v>-231</v>
      </c>
      <c r="T1813">
        <v>7071</v>
      </c>
      <c r="U1813">
        <v>17203</v>
      </c>
      <c r="V1813">
        <v>15</v>
      </c>
      <c r="W1813">
        <v>44.73</v>
      </c>
      <c r="X1813" s="10">
        <v>0.74111565907339172</v>
      </c>
      <c r="Y1813" s="9">
        <v>3700</v>
      </c>
      <c r="Z1813" s="9">
        <v>2865</v>
      </c>
      <c r="AA1813" s="9">
        <v>3700</v>
      </c>
      <c r="AB1813">
        <v>1</v>
      </c>
      <c r="AC1813" s="11">
        <v>8.8143928869130335</v>
      </c>
      <c r="AD1813" s="9">
        <v>2960.4943502824858</v>
      </c>
      <c r="AE1813" s="8">
        <v>0.29144851657940662</v>
      </c>
    </row>
    <row r="1814" spans="1:31" x14ac:dyDescent="0.35">
      <c r="A1814" s="6" t="s">
        <v>1835</v>
      </c>
      <c r="B1814" s="7">
        <v>3</v>
      </c>
      <c r="C1814" s="7">
        <v>4</v>
      </c>
      <c r="D1814" s="7">
        <v>3</v>
      </c>
      <c r="E1814" s="7">
        <v>8</v>
      </c>
      <c r="F1814">
        <v>209</v>
      </c>
      <c r="G1814">
        <v>0</v>
      </c>
      <c r="H1814">
        <v>0.19</v>
      </c>
      <c r="I1814">
        <v>4</v>
      </c>
      <c r="J1814">
        <v>1.7</v>
      </c>
      <c r="K1814">
        <v>540</v>
      </c>
      <c r="L1814">
        <v>110</v>
      </c>
      <c r="M1814">
        <v>430</v>
      </c>
      <c r="N1814">
        <v>764.61</v>
      </c>
      <c r="O1814">
        <v>1.1100000000000001</v>
      </c>
      <c r="P1814">
        <v>49.17</v>
      </c>
      <c r="Q1814">
        <v>0.67</v>
      </c>
      <c r="R1814">
        <v>0.84</v>
      </c>
      <c r="S1814">
        <v>48</v>
      </c>
      <c r="T1814">
        <v>3511</v>
      </c>
      <c r="U1814">
        <v>2808</v>
      </c>
      <c r="V1814">
        <v>22</v>
      </c>
      <c r="W1814">
        <v>11.55</v>
      </c>
      <c r="X1814" s="10">
        <v>0.32880411744992311</v>
      </c>
      <c r="Y1814" s="9">
        <v>2890</v>
      </c>
      <c r="Z1814" s="9">
        <v>2435</v>
      </c>
      <c r="AA1814" s="9">
        <v>2560</v>
      </c>
      <c r="AB1814">
        <v>0.27472527472527475</v>
      </c>
      <c r="AC1814" s="11">
        <v>4.1257293692692416</v>
      </c>
      <c r="AD1814" s="9">
        <v>2539.4152542372881</v>
      </c>
      <c r="AE1814" s="8">
        <v>5.1334702258726897E-2</v>
      </c>
    </row>
    <row r="1815" spans="1:31" x14ac:dyDescent="0.35">
      <c r="A1815" s="6" t="s">
        <v>1836</v>
      </c>
      <c r="B1815" s="7">
        <v>4</v>
      </c>
      <c r="C1815" s="7">
        <v>11</v>
      </c>
      <c r="D1815" s="7">
        <v>3</v>
      </c>
      <c r="E1815" s="7">
        <v>0</v>
      </c>
      <c r="F1815">
        <v>452</v>
      </c>
      <c r="G1815">
        <v>71</v>
      </c>
      <c r="H1815">
        <v>15.59</v>
      </c>
      <c r="I1815">
        <v>47</v>
      </c>
      <c r="J1815">
        <v>10.5</v>
      </c>
      <c r="K1815">
        <v>911</v>
      </c>
      <c r="L1815">
        <v>88</v>
      </c>
      <c r="M1815">
        <v>823</v>
      </c>
      <c r="N1815">
        <v>1309.58</v>
      </c>
      <c r="O1815">
        <v>5.93</v>
      </c>
      <c r="P1815">
        <v>20.76</v>
      </c>
      <c r="Q1815">
        <v>1.21</v>
      </c>
      <c r="R1815">
        <v>2.1800000000000002</v>
      </c>
      <c r="S1815">
        <v>407</v>
      </c>
      <c r="T1815">
        <v>6980</v>
      </c>
      <c r="U1815">
        <v>3873</v>
      </c>
      <c r="V1815">
        <v>121</v>
      </c>
      <c r="W1815">
        <v>8.15</v>
      </c>
      <c r="X1815" s="10">
        <v>0.89492974358730926</v>
      </c>
      <c r="Y1815" s="9">
        <v>11000</v>
      </c>
      <c r="Z1815" s="9">
        <v>8120</v>
      </c>
      <c r="AA1815" s="9">
        <v>11000</v>
      </c>
      <c r="AB1815">
        <v>1</v>
      </c>
      <c r="AC1815" s="11">
        <v>49.450958599611006</v>
      </c>
      <c r="AD1815" s="9">
        <v>7909.0790960451977</v>
      </c>
      <c r="AE1815" s="8">
        <v>0.29870129870129869</v>
      </c>
    </row>
    <row r="1816" spans="1:31" x14ac:dyDescent="0.35">
      <c r="A1816" s="6" t="s">
        <v>1837</v>
      </c>
      <c r="B1816" s="7">
        <v>0</v>
      </c>
      <c r="C1816" s="7">
        <v>7</v>
      </c>
      <c r="D1816" s="7">
        <v>2</v>
      </c>
      <c r="E1816" s="7">
        <v>9</v>
      </c>
      <c r="F1816">
        <v>2361</v>
      </c>
      <c r="G1816">
        <v>-192</v>
      </c>
      <c r="H1816">
        <v>-8.14</v>
      </c>
      <c r="I1816">
        <v>-264</v>
      </c>
      <c r="J1816">
        <v>-11.2</v>
      </c>
      <c r="K1816">
        <v>3272</v>
      </c>
      <c r="L1816">
        <v>2814</v>
      </c>
      <c r="M1816">
        <v>458</v>
      </c>
      <c r="N1816">
        <v>782.55</v>
      </c>
      <c r="O1816">
        <v>-47.95</v>
      </c>
      <c r="P1816">
        <v>0</v>
      </c>
      <c r="Q1816">
        <v>0.63</v>
      </c>
      <c r="R1816">
        <v>0.11</v>
      </c>
      <c r="S1816">
        <v>-2503</v>
      </c>
      <c r="T1816">
        <v>3885</v>
      </c>
      <c r="U1816">
        <v>22343</v>
      </c>
      <c r="V1816">
        <v>-134</v>
      </c>
      <c r="W1816">
        <v>-16.48</v>
      </c>
      <c r="X1816" s="10">
        <v>0.24428380884759107</v>
      </c>
      <c r="Y1816" s="9">
        <v>3155</v>
      </c>
      <c r="Z1816" s="9">
        <v>2110</v>
      </c>
      <c r="AA1816" s="9">
        <v>2250</v>
      </c>
      <c r="AB1816">
        <v>0.13397129186602871</v>
      </c>
      <c r="AC1816" s="11">
        <v>6.630869686023896</v>
      </c>
      <c r="AD1816" s="9">
        <v>2291.6751412429376</v>
      </c>
      <c r="AE1816" s="8">
        <v>-0.10891089108910891</v>
      </c>
    </row>
    <row r="1817" spans="1:31" x14ac:dyDescent="0.35">
      <c r="A1817" s="6" t="s">
        <v>1838</v>
      </c>
      <c r="B1817" s="7">
        <v>4</v>
      </c>
      <c r="C1817" s="7">
        <v>12</v>
      </c>
      <c r="D1817" s="7">
        <v>2</v>
      </c>
      <c r="E1817" s="7">
        <v>0</v>
      </c>
      <c r="F1817">
        <v>1058</v>
      </c>
      <c r="G1817">
        <v>54</v>
      </c>
      <c r="H1817">
        <v>5.07</v>
      </c>
      <c r="I1817">
        <v>50</v>
      </c>
      <c r="J1817">
        <v>4.7699999999999996</v>
      </c>
      <c r="K1817">
        <v>1337</v>
      </c>
      <c r="L1817">
        <v>147</v>
      </c>
      <c r="M1817">
        <v>1190</v>
      </c>
      <c r="N1817">
        <v>2213.15</v>
      </c>
      <c r="O1817">
        <v>4.34</v>
      </c>
      <c r="P1817">
        <v>22.28</v>
      </c>
      <c r="Q1817">
        <v>1.06</v>
      </c>
      <c r="R1817">
        <v>1.06</v>
      </c>
      <c r="S1817">
        <v>496</v>
      </c>
      <c r="T1817">
        <v>10442</v>
      </c>
      <c r="U1817">
        <v>10385</v>
      </c>
      <c r="V1817">
        <v>127</v>
      </c>
      <c r="W1817">
        <v>9.4700000000000006</v>
      </c>
      <c r="X1817" s="10">
        <v>0.64502524225541025</v>
      </c>
      <c r="Y1817" s="9">
        <v>18300</v>
      </c>
      <c r="Z1817" s="9">
        <v>10700</v>
      </c>
      <c r="AA1817" s="9">
        <v>17100</v>
      </c>
      <c r="AB1817">
        <v>0.84210526315789469</v>
      </c>
      <c r="AC1817" s="11">
        <v>102.3701028063351</v>
      </c>
      <c r="AD1817" s="9">
        <v>12871.045197740114</v>
      </c>
      <c r="AE1817" s="8">
        <v>0.59813084112149528</v>
      </c>
    </row>
    <row r="1818" spans="1:31" x14ac:dyDescent="0.35">
      <c r="A1818" s="6" t="s">
        <v>1839</v>
      </c>
      <c r="B1818" s="7">
        <v>3</v>
      </c>
      <c r="C1818" s="7">
        <v>9</v>
      </c>
      <c r="D1818" s="7">
        <v>5</v>
      </c>
      <c r="E1818" s="7">
        <v>1</v>
      </c>
      <c r="F1818">
        <v>1797</v>
      </c>
      <c r="G1818">
        <v>67</v>
      </c>
      <c r="H1818">
        <v>3.73</v>
      </c>
      <c r="I1818">
        <v>69</v>
      </c>
      <c r="J1818">
        <v>3.84</v>
      </c>
      <c r="K1818">
        <v>2070</v>
      </c>
      <c r="L1818">
        <v>1596</v>
      </c>
      <c r="M1818">
        <v>474</v>
      </c>
      <c r="N1818">
        <v>498.35</v>
      </c>
      <c r="O1818">
        <v>14.77</v>
      </c>
      <c r="P1818">
        <v>2.87</v>
      </c>
      <c r="Q1818">
        <v>0.54</v>
      </c>
      <c r="R1818">
        <v>0.11</v>
      </c>
      <c r="S1818">
        <v>488</v>
      </c>
      <c r="T1818">
        <v>2592</v>
      </c>
      <c r="U1818">
        <v>12720</v>
      </c>
      <c r="V1818">
        <v>86</v>
      </c>
      <c r="W1818">
        <v>13.64</v>
      </c>
      <c r="X1818" s="10">
        <v>0.28463553968509614</v>
      </c>
      <c r="Y1818" s="9">
        <v>1620</v>
      </c>
      <c r="Z1818" s="9">
        <v>1250</v>
      </c>
      <c r="AA1818" s="9">
        <v>1495</v>
      </c>
      <c r="AB1818">
        <v>0.66216216216216217</v>
      </c>
      <c r="AC1818" s="11">
        <v>2.8082800777993886</v>
      </c>
      <c r="AD1818" s="9">
        <v>1280.3474576271187</v>
      </c>
      <c r="AE1818" s="8">
        <v>6.0283687943262408E-2</v>
      </c>
    </row>
    <row r="1819" spans="1:31" x14ac:dyDescent="0.35">
      <c r="A1819" s="6" t="s">
        <v>1840</v>
      </c>
      <c r="B1819" s="7">
        <v>7</v>
      </c>
      <c r="C1819" s="7">
        <v>7</v>
      </c>
      <c r="D1819" s="7">
        <v>4</v>
      </c>
      <c r="E1819" s="7">
        <v>0</v>
      </c>
      <c r="F1819">
        <v>857</v>
      </c>
      <c r="G1819">
        <v>77</v>
      </c>
      <c r="H1819">
        <v>8.9499999999999993</v>
      </c>
      <c r="I1819">
        <v>45</v>
      </c>
      <c r="J1819">
        <v>5.24</v>
      </c>
      <c r="K1819">
        <v>1246</v>
      </c>
      <c r="L1819">
        <v>151</v>
      </c>
      <c r="M1819">
        <v>1095</v>
      </c>
      <c r="N1819">
        <v>2175.6</v>
      </c>
      <c r="O1819">
        <v>4.1399999999999997</v>
      </c>
      <c r="P1819">
        <v>14.88</v>
      </c>
      <c r="Q1819">
        <v>0.66</v>
      </c>
      <c r="R1819">
        <v>0.78</v>
      </c>
      <c r="S1819">
        <v>459</v>
      </c>
      <c r="T1819">
        <v>10335</v>
      </c>
      <c r="U1819">
        <v>8757</v>
      </c>
      <c r="V1819">
        <v>110</v>
      </c>
      <c r="W1819">
        <v>6.1</v>
      </c>
      <c r="X1819" s="10">
        <v>0.28792456153738916</v>
      </c>
      <c r="Y1819" s="9">
        <v>9150</v>
      </c>
      <c r="Z1819" s="9">
        <v>6770</v>
      </c>
      <c r="AA1819" s="9">
        <v>8030</v>
      </c>
      <c r="AB1819">
        <v>0.52941176470588236</v>
      </c>
      <c r="AC1819" s="11">
        <v>17.333981661572658</v>
      </c>
      <c r="AD1819" s="9">
        <v>7726.8135593220341</v>
      </c>
      <c r="AE1819" s="8">
        <v>0.18611521418020679</v>
      </c>
    </row>
    <row r="1820" spans="1:31" x14ac:dyDescent="0.35">
      <c r="A1820" s="6" t="s">
        <v>1841</v>
      </c>
      <c r="B1820" s="7">
        <v>15</v>
      </c>
      <c r="C1820" s="7">
        <v>3</v>
      </c>
      <c r="D1820" s="7">
        <v>0</v>
      </c>
      <c r="E1820" s="7">
        <v>0</v>
      </c>
      <c r="F1820">
        <v>178</v>
      </c>
      <c r="G1820">
        <v>6</v>
      </c>
      <c r="H1820">
        <v>3.14</v>
      </c>
      <c r="I1820">
        <v>5</v>
      </c>
      <c r="J1820">
        <v>3.02</v>
      </c>
      <c r="K1820">
        <v>543</v>
      </c>
      <c r="L1820">
        <v>198</v>
      </c>
      <c r="M1820">
        <v>345</v>
      </c>
      <c r="N1820">
        <v>337.68</v>
      </c>
      <c r="O1820">
        <v>1.71</v>
      </c>
      <c r="P1820">
        <v>322.06</v>
      </c>
      <c r="Q1820">
        <v>5.17</v>
      </c>
      <c r="R1820">
        <v>9.7200000000000006</v>
      </c>
      <c r="S1820">
        <v>34</v>
      </c>
      <c r="T1820">
        <v>2119</v>
      </c>
      <c r="U1820">
        <v>1126</v>
      </c>
      <c r="V1820">
        <v>7</v>
      </c>
      <c r="W1820">
        <v>250.61</v>
      </c>
      <c r="X1820" s="10">
        <v>0.13855613744890577</v>
      </c>
      <c r="Y1820" s="9">
        <v>15800</v>
      </c>
      <c r="Z1820" s="9">
        <v>10950</v>
      </c>
      <c r="AA1820" s="9">
        <v>14350</v>
      </c>
      <c r="AB1820">
        <v>0.7010309278350515</v>
      </c>
      <c r="AC1820" s="11">
        <v>25.308419005279244</v>
      </c>
      <c r="AD1820" s="9">
        <v>13050.593220338984</v>
      </c>
      <c r="AE1820" s="8">
        <v>0.2927927927927928</v>
      </c>
    </row>
    <row r="1821" spans="1:31" x14ac:dyDescent="0.35">
      <c r="A1821" s="6" t="s">
        <v>1842</v>
      </c>
      <c r="B1821" s="7">
        <v>8</v>
      </c>
      <c r="C1821" s="7">
        <v>6</v>
      </c>
      <c r="D1821" s="7">
        <v>2</v>
      </c>
      <c r="E1821" s="7">
        <v>2</v>
      </c>
      <c r="F1821">
        <v>730</v>
      </c>
      <c r="G1821">
        <v>9</v>
      </c>
      <c r="H1821">
        <v>1.27</v>
      </c>
      <c r="I1821">
        <v>283</v>
      </c>
      <c r="J1821">
        <v>38.76</v>
      </c>
      <c r="K1821">
        <v>625</v>
      </c>
      <c r="L1821">
        <v>293</v>
      </c>
      <c r="M1821">
        <v>333</v>
      </c>
      <c r="N1821">
        <v>1180.6099999999999</v>
      </c>
      <c r="O1821">
        <v>147.77000000000001</v>
      </c>
      <c r="P1821">
        <v>0.28999999999999998</v>
      </c>
      <c r="Q1821">
        <v>0.28999999999999998</v>
      </c>
      <c r="R1821">
        <v>0.11</v>
      </c>
      <c r="S1821">
        <v>5639</v>
      </c>
      <c r="T1821">
        <v>5701</v>
      </c>
      <c r="U1821">
        <v>14548</v>
      </c>
      <c r="V1821">
        <v>17</v>
      </c>
      <c r="W1821">
        <v>5.34</v>
      </c>
      <c r="X1821" s="10">
        <v>0.10921980412382527</v>
      </c>
      <c r="Y1821" s="9">
        <v>2025</v>
      </c>
      <c r="Z1821" s="9">
        <v>1240</v>
      </c>
      <c r="AA1821" s="9">
        <v>1490</v>
      </c>
      <c r="AB1821">
        <v>0.31847133757961782</v>
      </c>
      <c r="AC1821" s="11">
        <v>3.1574048346762988</v>
      </c>
      <c r="AD1821" s="9">
        <v>1413.449152542373</v>
      </c>
      <c r="AE1821" s="8">
        <v>-0.15580736543909349</v>
      </c>
    </row>
    <row r="1822" spans="1:31" x14ac:dyDescent="0.35">
      <c r="A1822" s="6" t="s">
        <v>1843</v>
      </c>
      <c r="B1822" s="7">
        <v>12</v>
      </c>
      <c r="C1822" s="7">
        <v>3</v>
      </c>
      <c r="D1822" s="7">
        <v>2</v>
      </c>
      <c r="E1822" s="7">
        <v>1</v>
      </c>
      <c r="F1822">
        <v>5892</v>
      </c>
      <c r="G1822">
        <v>41</v>
      </c>
      <c r="H1822">
        <v>0.69</v>
      </c>
      <c r="I1822">
        <v>133</v>
      </c>
      <c r="J1822">
        <v>2.2599999999999998</v>
      </c>
      <c r="K1822">
        <v>6188</v>
      </c>
      <c r="L1822">
        <v>4072</v>
      </c>
      <c r="M1822">
        <v>2116</v>
      </c>
      <c r="N1822">
        <v>392.36</v>
      </c>
      <c r="O1822">
        <v>8.65</v>
      </c>
      <c r="P1822">
        <v>10.41</v>
      </c>
      <c r="Q1822">
        <v>0.93</v>
      </c>
      <c r="R1822">
        <v>0.24</v>
      </c>
      <c r="S1822">
        <v>208</v>
      </c>
      <c r="T1822">
        <v>2340</v>
      </c>
      <c r="U1822">
        <v>9207</v>
      </c>
      <c r="V1822">
        <v>313</v>
      </c>
      <c r="W1822">
        <v>14.66</v>
      </c>
      <c r="X1822" s="10">
        <v>0.27449341741074401</v>
      </c>
      <c r="Y1822" s="9">
        <v>2105</v>
      </c>
      <c r="Z1822" s="9">
        <v>1775</v>
      </c>
      <c r="AA1822" s="9">
        <v>1910</v>
      </c>
      <c r="AB1822">
        <v>0.40909090909090912</v>
      </c>
      <c r="AC1822" s="11">
        <v>2.2603500972492352</v>
      </c>
      <c r="AD1822" s="9">
        <v>1810.725988700565</v>
      </c>
      <c r="AE1822" s="8">
        <v>4.9450549450549448E-2</v>
      </c>
    </row>
    <row r="1823" spans="1:31" x14ac:dyDescent="0.35">
      <c r="A1823" s="6" t="s">
        <v>1844</v>
      </c>
      <c r="B1823" s="7">
        <v>2</v>
      </c>
      <c r="C1823" s="7">
        <v>8</v>
      </c>
      <c r="D1823" s="7">
        <v>4</v>
      </c>
      <c r="E1823" s="7">
        <v>4</v>
      </c>
      <c r="F1823">
        <v>1007</v>
      </c>
      <c r="G1823">
        <v>44</v>
      </c>
      <c r="H1823">
        <v>4.41</v>
      </c>
      <c r="I1823">
        <v>7</v>
      </c>
      <c r="J1823">
        <v>0.68</v>
      </c>
      <c r="K1823">
        <v>1136</v>
      </c>
      <c r="L1823">
        <v>608</v>
      </c>
      <c r="M1823">
        <v>528</v>
      </c>
      <c r="N1823">
        <v>527.64</v>
      </c>
      <c r="O1823">
        <v>1.31</v>
      </c>
      <c r="P1823">
        <v>35.61</v>
      </c>
      <c r="Q1823">
        <v>0.48</v>
      </c>
      <c r="R1823">
        <v>0.24</v>
      </c>
      <c r="S1823">
        <v>41</v>
      </c>
      <c r="T1823">
        <v>3073</v>
      </c>
      <c r="U1823">
        <v>5983</v>
      </c>
      <c r="V1823">
        <v>61</v>
      </c>
      <c r="W1823">
        <v>12</v>
      </c>
      <c r="X1823" s="10">
        <v>0.8608295513751556</v>
      </c>
      <c r="Y1823" s="9">
        <v>1685</v>
      </c>
      <c r="Z1823" s="9">
        <v>1420</v>
      </c>
      <c r="AA1823" s="9">
        <v>1655</v>
      </c>
      <c r="AB1823">
        <v>0.8867924528301887</v>
      </c>
      <c r="AC1823" s="11">
        <v>3.9827729924979169</v>
      </c>
      <c r="AD1823" s="9">
        <v>1428.8587570621469</v>
      </c>
      <c r="AE1823" s="8">
        <v>0.14137931034482759</v>
      </c>
    </row>
    <row r="1824" spans="1:31" x14ac:dyDescent="0.35">
      <c r="A1824" s="6" t="s">
        <v>1845</v>
      </c>
      <c r="B1824" s="7">
        <v>6</v>
      </c>
      <c r="C1824" s="7">
        <v>8</v>
      </c>
      <c r="D1824" s="7">
        <v>2</v>
      </c>
      <c r="E1824" s="7">
        <v>2</v>
      </c>
      <c r="F1824">
        <v>493</v>
      </c>
      <c r="G1824">
        <v>20</v>
      </c>
      <c r="H1824">
        <v>4.09</v>
      </c>
      <c r="I1824">
        <v>32</v>
      </c>
      <c r="J1824">
        <v>6.43</v>
      </c>
      <c r="K1824">
        <v>580</v>
      </c>
      <c r="L1824">
        <v>151</v>
      </c>
      <c r="M1824">
        <v>429</v>
      </c>
      <c r="N1824">
        <v>838.65</v>
      </c>
      <c r="O1824">
        <v>7.61</v>
      </c>
      <c r="P1824">
        <v>7.7</v>
      </c>
      <c r="Q1824">
        <v>0.6</v>
      </c>
      <c r="R1824">
        <v>0.5</v>
      </c>
      <c r="S1824">
        <v>348</v>
      </c>
      <c r="T1824">
        <v>4471</v>
      </c>
      <c r="U1824">
        <v>5410</v>
      </c>
      <c r="V1824">
        <v>30</v>
      </c>
      <c r="W1824">
        <v>8.39</v>
      </c>
      <c r="X1824" s="10">
        <v>0.6296836148115672</v>
      </c>
      <c r="Y1824" s="9">
        <v>3885</v>
      </c>
      <c r="Z1824" s="9">
        <v>2660</v>
      </c>
      <c r="AA1824" s="9">
        <v>3250</v>
      </c>
      <c r="AB1824">
        <v>0.48163265306122449</v>
      </c>
      <c r="AC1824" s="11">
        <v>11.633370380661296</v>
      </c>
      <c r="AD1824" s="9">
        <v>2543.4322033898306</v>
      </c>
      <c r="AE1824" s="8">
        <v>0.21722846441947566</v>
      </c>
    </row>
    <row r="1825" spans="1:31" x14ac:dyDescent="0.35">
      <c r="A1825" s="6" t="s">
        <v>1846</v>
      </c>
      <c r="B1825" s="7">
        <v>1</v>
      </c>
      <c r="C1825" s="7">
        <v>9</v>
      </c>
      <c r="D1825" s="7">
        <v>0</v>
      </c>
      <c r="E1825" s="7">
        <v>8</v>
      </c>
      <c r="F1825">
        <v>108</v>
      </c>
      <c r="G1825">
        <v>-5</v>
      </c>
      <c r="H1825">
        <v>-4.53</v>
      </c>
      <c r="I1825">
        <v>1</v>
      </c>
      <c r="J1825">
        <v>0.88</v>
      </c>
      <c r="K1825">
        <v>230</v>
      </c>
      <c r="L1825">
        <v>12</v>
      </c>
      <c r="M1825">
        <v>218</v>
      </c>
      <c r="N1825">
        <v>2454.4</v>
      </c>
      <c r="O1825">
        <v>0.43</v>
      </c>
      <c r="P1825">
        <v>223.21</v>
      </c>
      <c r="Q1825">
        <v>1.17</v>
      </c>
      <c r="R1825">
        <v>1.96</v>
      </c>
      <c r="S1825">
        <v>56</v>
      </c>
      <c r="T1825">
        <v>10657</v>
      </c>
      <c r="U1825">
        <v>6380</v>
      </c>
      <c r="V1825">
        <v>-2</v>
      </c>
      <c r="W1825">
        <v>-131.6</v>
      </c>
      <c r="X1825" s="10">
        <v>0.39286814600080028</v>
      </c>
      <c r="Y1825" s="9">
        <v>18000</v>
      </c>
      <c r="Z1825" s="9">
        <v>12300</v>
      </c>
      <c r="AA1825" s="9">
        <v>15000</v>
      </c>
      <c r="AB1825">
        <v>0.47368421052631576</v>
      </c>
      <c r="AC1825" s="11">
        <v>48.619060850236174</v>
      </c>
      <c r="AD1825" s="9">
        <v>12842.118644067796</v>
      </c>
      <c r="AE1825" s="8">
        <v>0.18110236220472442</v>
      </c>
    </row>
    <row r="1826" spans="1:31" x14ac:dyDescent="0.35">
      <c r="A1826" s="6" t="s">
        <v>1847</v>
      </c>
      <c r="B1826" s="7">
        <v>1</v>
      </c>
      <c r="C1826" s="7">
        <v>10</v>
      </c>
      <c r="D1826" s="7">
        <v>2</v>
      </c>
      <c r="E1826" s="7">
        <v>5</v>
      </c>
      <c r="F1826">
        <v>1581</v>
      </c>
      <c r="G1826">
        <v>52</v>
      </c>
      <c r="H1826">
        <v>3.3</v>
      </c>
      <c r="I1826">
        <v>16</v>
      </c>
      <c r="J1826">
        <v>1.01</v>
      </c>
      <c r="K1826">
        <v>1948</v>
      </c>
      <c r="L1826">
        <v>909</v>
      </c>
      <c r="M1826">
        <v>1039</v>
      </c>
      <c r="N1826">
        <v>3091.69</v>
      </c>
      <c r="O1826">
        <v>1.55</v>
      </c>
      <c r="P1826">
        <v>30.39</v>
      </c>
      <c r="Q1826">
        <v>0.69</v>
      </c>
      <c r="R1826">
        <v>0.31</v>
      </c>
      <c r="S1826">
        <v>257</v>
      </c>
      <c r="T1826">
        <v>11362</v>
      </c>
      <c r="U1826">
        <v>25391</v>
      </c>
      <c r="V1826">
        <v>123</v>
      </c>
      <c r="W1826">
        <v>8.56</v>
      </c>
      <c r="X1826" s="10">
        <v>0.63584629513179269</v>
      </c>
      <c r="Y1826" s="9">
        <v>11500</v>
      </c>
      <c r="Z1826" s="9">
        <v>7720</v>
      </c>
      <c r="AA1826" s="9">
        <v>10250</v>
      </c>
      <c r="AB1826">
        <v>0.6693121693121693</v>
      </c>
      <c r="AC1826" s="11">
        <v>41.982217282578496</v>
      </c>
      <c r="AD1826" s="9">
        <v>7462.5423728813557</v>
      </c>
      <c r="AE1826" s="8">
        <v>0.32772020725388601</v>
      </c>
    </row>
    <row r="1827" spans="1:31" x14ac:dyDescent="0.35">
      <c r="A1827" s="6" t="s">
        <v>1848</v>
      </c>
      <c r="B1827" s="7">
        <v>7</v>
      </c>
      <c r="C1827" s="7">
        <v>6</v>
      </c>
      <c r="D1827" s="7">
        <v>0</v>
      </c>
      <c r="E1827" s="7">
        <v>5</v>
      </c>
      <c r="F1827">
        <v>50</v>
      </c>
      <c r="G1827">
        <v>-9</v>
      </c>
      <c r="H1827">
        <v>-18.809999999999999</v>
      </c>
      <c r="I1827">
        <v>-22</v>
      </c>
      <c r="J1827">
        <v>-43.8</v>
      </c>
      <c r="K1827">
        <v>244</v>
      </c>
      <c r="L1827">
        <v>155</v>
      </c>
      <c r="M1827">
        <v>89</v>
      </c>
      <c r="N1827">
        <v>-33.64</v>
      </c>
      <c r="O1827">
        <v>-24.65</v>
      </c>
      <c r="P1827">
        <v>0</v>
      </c>
      <c r="Q1827">
        <v>655.71</v>
      </c>
      <c r="R1827">
        <v>24.55</v>
      </c>
      <c r="S1827">
        <v>-82</v>
      </c>
      <c r="T1827">
        <v>7</v>
      </c>
      <c r="U1827">
        <v>187</v>
      </c>
      <c r="V1827">
        <v>2</v>
      </c>
      <c r="W1827">
        <v>865.31</v>
      </c>
      <c r="X1827" s="10">
        <v>0.12170359138375852</v>
      </c>
      <c r="Y1827" s="9">
        <v>6000</v>
      </c>
      <c r="Z1827" s="9">
        <v>4440</v>
      </c>
      <c r="AA1827" s="9">
        <v>5160</v>
      </c>
      <c r="AB1827">
        <v>0.46153846153846156</v>
      </c>
      <c r="AC1827" s="11">
        <v>6.8760766879688804</v>
      </c>
      <c r="AD1827" s="9">
        <v>5075.4463276836159</v>
      </c>
      <c r="AE1827" s="8">
        <v>0.16216216216216217</v>
      </c>
    </row>
    <row r="1828" spans="1:31" x14ac:dyDescent="0.35">
      <c r="A1828" s="6" t="s">
        <v>1849</v>
      </c>
      <c r="B1828" s="7">
        <v>5</v>
      </c>
      <c r="C1828" s="7">
        <v>1</v>
      </c>
      <c r="D1828" s="7">
        <v>12</v>
      </c>
      <c r="E1828" s="7">
        <v>0</v>
      </c>
      <c r="F1828">
        <v>4900</v>
      </c>
      <c r="G1828">
        <v>507</v>
      </c>
      <c r="H1828">
        <v>10.35</v>
      </c>
      <c r="I1828">
        <v>799</v>
      </c>
      <c r="J1828">
        <v>16.3</v>
      </c>
      <c r="K1828">
        <v>12016</v>
      </c>
      <c r="L1828">
        <v>2692</v>
      </c>
      <c r="M1828">
        <v>9324</v>
      </c>
      <c r="N1828">
        <v>1919.63</v>
      </c>
      <c r="O1828">
        <v>9.9700000000000006</v>
      </c>
      <c r="P1828">
        <v>24.11</v>
      </c>
      <c r="Q1828">
        <v>2.36</v>
      </c>
      <c r="R1828">
        <v>3.93</v>
      </c>
      <c r="S1828">
        <v>979</v>
      </c>
      <c r="T1828">
        <v>10018</v>
      </c>
      <c r="U1828">
        <v>6005</v>
      </c>
      <c r="V1828">
        <v>602</v>
      </c>
      <c r="W1828">
        <v>35.659999999999997</v>
      </c>
      <c r="X1828" s="10">
        <v>0.40807637682948089</v>
      </c>
      <c r="Y1828" s="9">
        <v>27000</v>
      </c>
      <c r="Z1828" s="9">
        <v>20700</v>
      </c>
      <c r="AA1828" s="9">
        <v>21450</v>
      </c>
      <c r="AB1828">
        <v>0.11904761904761904</v>
      </c>
      <c r="AC1828" s="11">
        <v>-71.147540983606561</v>
      </c>
      <c r="AD1828" s="9">
        <v>25265</v>
      </c>
      <c r="AE1828" s="8">
        <v>-9.110169491525423E-2</v>
      </c>
    </row>
    <row r="1829" spans="1:31" x14ac:dyDescent="0.35">
      <c r="A1829" s="6" t="s">
        <v>1850</v>
      </c>
      <c r="B1829" s="7">
        <v>14</v>
      </c>
      <c r="C1829" s="7">
        <v>3</v>
      </c>
      <c r="D1829" s="7">
        <v>1</v>
      </c>
      <c r="E1829" s="7">
        <v>0</v>
      </c>
      <c r="F1829">
        <v>1305</v>
      </c>
      <c r="G1829">
        <v>61</v>
      </c>
      <c r="H1829">
        <v>4.6399999999999997</v>
      </c>
      <c r="I1829">
        <v>51</v>
      </c>
      <c r="J1829">
        <v>3.88</v>
      </c>
      <c r="K1829">
        <v>932</v>
      </c>
      <c r="L1829">
        <v>258</v>
      </c>
      <c r="M1829">
        <v>674</v>
      </c>
      <c r="N1829">
        <v>1152.4100000000001</v>
      </c>
      <c r="O1829">
        <v>7.68</v>
      </c>
      <c r="P1829">
        <v>9.3699999999999992</v>
      </c>
      <c r="Q1829">
        <v>0.74</v>
      </c>
      <c r="R1829">
        <v>0.36</v>
      </c>
      <c r="S1829">
        <v>471</v>
      </c>
      <c r="T1829">
        <v>5997</v>
      </c>
      <c r="U1829">
        <v>12161</v>
      </c>
      <c r="V1829">
        <v>72</v>
      </c>
      <c r="W1829">
        <v>6.81</v>
      </c>
      <c r="X1829" s="10">
        <v>0.47561994352269393</v>
      </c>
      <c r="Y1829" s="9">
        <v>5250</v>
      </c>
      <c r="Z1829" s="9">
        <v>4325</v>
      </c>
      <c r="AA1829" s="9">
        <v>4955</v>
      </c>
      <c r="AB1829">
        <v>0.68108108108108112</v>
      </c>
      <c r="AC1829" s="11">
        <v>9.500138927479858</v>
      </c>
      <c r="AD1829" s="9">
        <v>4570.5790960451977</v>
      </c>
      <c r="AE1829" s="8">
        <v>0.14566473988439307</v>
      </c>
    </row>
    <row r="1830" spans="1:31" x14ac:dyDescent="0.35">
      <c r="A1830" s="6" t="s">
        <v>1851</v>
      </c>
      <c r="B1830" s="7">
        <v>7</v>
      </c>
      <c r="C1830" s="7">
        <v>2</v>
      </c>
      <c r="D1830" s="7">
        <v>7</v>
      </c>
      <c r="E1830" s="7">
        <v>2</v>
      </c>
      <c r="F1830">
        <v>576</v>
      </c>
      <c r="G1830">
        <v>36</v>
      </c>
      <c r="H1830">
        <v>6.28</v>
      </c>
      <c r="I1830">
        <v>7</v>
      </c>
      <c r="J1830">
        <v>1.21</v>
      </c>
      <c r="K1830">
        <v>710</v>
      </c>
      <c r="L1830">
        <v>393</v>
      </c>
      <c r="M1830">
        <v>318</v>
      </c>
      <c r="N1830">
        <v>271.83</v>
      </c>
      <c r="O1830">
        <v>2.97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 s="10">
        <v>0.52902837744567277</v>
      </c>
      <c r="Y1830" s="9">
        <v>5090</v>
      </c>
      <c r="Z1830" s="9">
        <v>3300</v>
      </c>
      <c r="AA1830" s="9">
        <v>3300</v>
      </c>
      <c r="AB1830">
        <v>0</v>
      </c>
      <c r="AC1830" s="11">
        <v>-14.687274242845234</v>
      </c>
      <c r="AD1830" s="9">
        <v>4245.2118644067796</v>
      </c>
      <c r="AE1830" s="8">
        <v>-0.20386007237635706</v>
      </c>
    </row>
    <row r="1831" spans="1:31" x14ac:dyDescent="0.35">
      <c r="A1831" s="6" t="s">
        <v>1852</v>
      </c>
      <c r="B1831" s="7">
        <v>4</v>
      </c>
      <c r="C1831" s="7">
        <v>8</v>
      </c>
      <c r="D1831" s="7">
        <v>3</v>
      </c>
      <c r="E1831" s="7">
        <v>3</v>
      </c>
      <c r="F1831">
        <v>143</v>
      </c>
      <c r="G1831">
        <v>-66</v>
      </c>
      <c r="H1831">
        <v>-45.92</v>
      </c>
      <c r="I1831">
        <v>-74</v>
      </c>
      <c r="J1831">
        <v>-51.72</v>
      </c>
      <c r="K1831">
        <v>1053</v>
      </c>
      <c r="L1831">
        <v>189</v>
      </c>
      <c r="M1831">
        <v>864</v>
      </c>
      <c r="N1831">
        <v>273.58</v>
      </c>
      <c r="O1831">
        <v>-11.81</v>
      </c>
      <c r="P1831">
        <v>0</v>
      </c>
      <c r="Q1831">
        <v>20.99</v>
      </c>
      <c r="R1831">
        <v>10.47</v>
      </c>
      <c r="S1831">
        <v>-220</v>
      </c>
      <c r="T1831">
        <v>213</v>
      </c>
      <c r="U1831">
        <v>427</v>
      </c>
      <c r="V1831">
        <v>-62</v>
      </c>
      <c r="W1831">
        <v>-32.9</v>
      </c>
      <c r="X1831" s="10">
        <v>0.65720639680134951</v>
      </c>
      <c r="Y1831" s="9">
        <v>4235</v>
      </c>
      <c r="Z1831" s="9">
        <v>3060</v>
      </c>
      <c r="AA1831" s="9">
        <v>4140</v>
      </c>
      <c r="AB1831">
        <v>0.91914893617021276</v>
      </c>
      <c r="AC1831" s="11">
        <v>16.623784384551261</v>
      </c>
      <c r="AD1831" s="9">
        <v>3097.1412429378529</v>
      </c>
      <c r="AE1831" s="8">
        <v>0.31428571428571428</v>
      </c>
    </row>
    <row r="1832" spans="1:31" x14ac:dyDescent="0.35">
      <c r="A1832" s="6" t="s">
        <v>1853</v>
      </c>
      <c r="B1832" s="7">
        <v>3</v>
      </c>
      <c r="C1832" s="7">
        <v>9</v>
      </c>
      <c r="D1832" s="7">
        <v>4</v>
      </c>
      <c r="E1832" s="7">
        <v>2</v>
      </c>
      <c r="F1832">
        <v>674</v>
      </c>
      <c r="G1832">
        <v>51</v>
      </c>
      <c r="H1832">
        <v>7.63</v>
      </c>
      <c r="I1832">
        <v>41</v>
      </c>
      <c r="J1832">
        <v>6.15</v>
      </c>
      <c r="K1832">
        <v>758</v>
      </c>
      <c r="L1832">
        <v>219</v>
      </c>
      <c r="M1832">
        <v>539</v>
      </c>
      <c r="N1832">
        <v>1912.58</v>
      </c>
      <c r="O1832">
        <v>13.55</v>
      </c>
      <c r="P1832">
        <v>7.04</v>
      </c>
      <c r="Q1832">
        <v>0.94</v>
      </c>
      <c r="R1832">
        <v>0.36</v>
      </c>
      <c r="S1832">
        <v>1329</v>
      </c>
      <c r="T1832">
        <v>9983</v>
      </c>
      <c r="U1832">
        <v>25797</v>
      </c>
      <c r="V1832">
        <v>102</v>
      </c>
      <c r="W1832">
        <v>4.93</v>
      </c>
      <c r="X1832" s="10">
        <v>0.82692915138500656</v>
      </c>
      <c r="Y1832" s="9">
        <v>11500</v>
      </c>
      <c r="Z1832" s="9">
        <v>7260</v>
      </c>
      <c r="AA1832" s="9">
        <v>10750</v>
      </c>
      <c r="AB1832">
        <v>0.82311320754716977</v>
      </c>
      <c r="AC1832" s="11">
        <v>52.008057793831611</v>
      </c>
      <c r="AD1832" s="9">
        <v>7604.9209039548023</v>
      </c>
      <c r="AE1832" s="8">
        <v>0.4807162534435262</v>
      </c>
    </row>
    <row r="1833" spans="1:31" x14ac:dyDescent="0.35">
      <c r="A1833" s="6" t="s">
        <v>1854</v>
      </c>
      <c r="B1833" s="7">
        <v>8</v>
      </c>
      <c r="C1833" s="7">
        <v>2</v>
      </c>
      <c r="D1833" s="7">
        <v>8</v>
      </c>
      <c r="E1833" s="7">
        <v>0</v>
      </c>
      <c r="F1833">
        <v>1024</v>
      </c>
      <c r="G1833">
        <v>60</v>
      </c>
      <c r="H1833">
        <v>5.85</v>
      </c>
      <c r="I1833">
        <v>45</v>
      </c>
      <c r="J1833">
        <v>4.43</v>
      </c>
      <c r="K1833">
        <v>1235</v>
      </c>
      <c r="L1833">
        <v>623</v>
      </c>
      <c r="M1833">
        <v>613</v>
      </c>
      <c r="N1833">
        <v>829.12</v>
      </c>
      <c r="O1833">
        <v>10.01</v>
      </c>
      <c r="P1833">
        <v>15.62</v>
      </c>
      <c r="Q1833">
        <v>1.61</v>
      </c>
      <c r="R1833">
        <v>0.69</v>
      </c>
      <c r="S1833">
        <v>459</v>
      </c>
      <c r="T1833">
        <v>4451</v>
      </c>
      <c r="U1833">
        <v>10360</v>
      </c>
      <c r="V1833">
        <v>129</v>
      </c>
      <c r="W1833">
        <v>8.98</v>
      </c>
      <c r="X1833" s="10">
        <v>0.40280040502733522</v>
      </c>
      <c r="Y1833" s="9">
        <v>7370</v>
      </c>
      <c r="Z1833" s="9">
        <v>5760</v>
      </c>
      <c r="AA1833" s="9">
        <v>6730</v>
      </c>
      <c r="AB1833">
        <v>0.60248447204968947</v>
      </c>
      <c r="AC1833" s="11">
        <v>16.195887746596277</v>
      </c>
      <c r="AD1833" s="9">
        <v>5961.5254237288136</v>
      </c>
      <c r="AE1833" s="8">
        <v>6.8253968253968247E-2</v>
      </c>
    </row>
    <row r="1834" spans="1:31" x14ac:dyDescent="0.35">
      <c r="A1834" s="6" t="s">
        <v>1855</v>
      </c>
      <c r="B1834" s="7">
        <v>2</v>
      </c>
      <c r="C1834" s="7">
        <v>0</v>
      </c>
      <c r="D1834" s="7">
        <v>8</v>
      </c>
      <c r="E1834" s="7">
        <v>8</v>
      </c>
      <c r="F1834">
        <v>129</v>
      </c>
      <c r="G1834">
        <v>-31</v>
      </c>
      <c r="H1834">
        <v>-23.99</v>
      </c>
      <c r="I1834">
        <v>-15</v>
      </c>
      <c r="J1834">
        <v>-11.77</v>
      </c>
      <c r="K1834">
        <v>284</v>
      </c>
      <c r="L1834">
        <v>62</v>
      </c>
      <c r="M1834">
        <v>222</v>
      </c>
      <c r="N1834">
        <v>463.92</v>
      </c>
      <c r="O1834">
        <v>-8.7200000000000006</v>
      </c>
      <c r="P1834">
        <v>0</v>
      </c>
      <c r="Q1834">
        <v>4.4000000000000004</v>
      </c>
      <c r="R1834">
        <v>4.1900000000000004</v>
      </c>
      <c r="S1834">
        <v>-253</v>
      </c>
      <c r="T1834">
        <v>2048</v>
      </c>
      <c r="U1834">
        <v>2152</v>
      </c>
      <c r="V1834">
        <v>-26</v>
      </c>
      <c r="W1834">
        <v>-27.94</v>
      </c>
      <c r="X1834" s="10">
        <v>0.16770884792078478</v>
      </c>
      <c r="Y1834" s="9">
        <v>12500</v>
      </c>
      <c r="Z1834" s="9">
        <v>10250</v>
      </c>
      <c r="AA1834" s="9">
        <v>10750</v>
      </c>
      <c r="AB1834">
        <v>0.22222222222222221</v>
      </c>
      <c r="AC1834" s="11">
        <v>-14.213670464017781</v>
      </c>
      <c r="AD1834" s="9">
        <v>11842.683615819209</v>
      </c>
      <c r="AE1834" s="8">
        <v>-4.4444444444444446E-2</v>
      </c>
    </row>
    <row r="1835" spans="1:31" x14ac:dyDescent="0.35">
      <c r="A1835" s="6" t="s">
        <v>1856</v>
      </c>
      <c r="B1835" s="7">
        <v>0</v>
      </c>
      <c r="C1835" s="7">
        <v>0</v>
      </c>
      <c r="D1835" s="7">
        <v>0</v>
      </c>
      <c r="E1835" s="7">
        <v>18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 s="10">
        <v>0.75094039173367044</v>
      </c>
      <c r="Y1835" s="9">
        <v>19885</v>
      </c>
      <c r="Z1835" s="9">
        <v>18490</v>
      </c>
      <c r="AA1835" s="9">
        <v>19565</v>
      </c>
      <c r="AB1835">
        <v>0.77060931899641572</v>
      </c>
      <c r="AC1835" s="11">
        <v>16.572936926924147</v>
      </c>
      <c r="AD1835" s="9">
        <v>18751.525423728814</v>
      </c>
      <c r="AE1835" s="8">
        <v>3.0550434553594942E-2</v>
      </c>
    </row>
    <row r="1836" spans="1:31" x14ac:dyDescent="0.35">
      <c r="A1836" s="6" t="s">
        <v>1857</v>
      </c>
      <c r="B1836" s="7">
        <v>0</v>
      </c>
      <c r="C1836" s="7">
        <v>0</v>
      </c>
      <c r="D1836" s="7">
        <v>0</v>
      </c>
      <c r="E1836" s="7">
        <v>18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 s="10">
        <v>0.80508348690849907</v>
      </c>
      <c r="Y1836" s="9">
        <v>26360</v>
      </c>
      <c r="Z1836" s="9">
        <v>24440</v>
      </c>
      <c r="AA1836" s="9">
        <v>26040</v>
      </c>
      <c r="AB1836">
        <v>0.83333333333333337</v>
      </c>
      <c r="AC1836" s="11">
        <v>24.007363156432341</v>
      </c>
      <c r="AD1836" s="9">
        <v>24773.525423728814</v>
      </c>
      <c r="AE1836" s="8">
        <v>3.7450199203187248E-2</v>
      </c>
    </row>
    <row r="1837" spans="1:31" x14ac:dyDescent="0.35">
      <c r="A1837" s="6" t="s">
        <v>1858</v>
      </c>
      <c r="B1837" s="7">
        <v>0</v>
      </c>
      <c r="C1837" s="7">
        <v>0</v>
      </c>
      <c r="D1837" s="7">
        <v>0</v>
      </c>
      <c r="E1837" s="7">
        <v>18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 s="10">
        <v>0.65048424982590136</v>
      </c>
      <c r="Y1837" s="9">
        <v>105745</v>
      </c>
      <c r="Z1837" s="9">
        <v>104600</v>
      </c>
      <c r="AA1837" s="9">
        <v>105740</v>
      </c>
      <c r="AB1837">
        <v>0.99563318777292575</v>
      </c>
      <c r="AC1837" s="11">
        <v>12.201028063350931</v>
      </c>
      <c r="AD1837" s="9">
        <v>104894.78531073447</v>
      </c>
      <c r="AE1837" s="8">
        <v>1.0898661567877629E-2</v>
      </c>
    </row>
    <row r="1838" spans="1:31" x14ac:dyDescent="0.35">
      <c r="A1838" s="6" t="s">
        <v>1859</v>
      </c>
      <c r="B1838" s="7">
        <v>0</v>
      </c>
      <c r="C1838" s="7">
        <v>0</v>
      </c>
      <c r="D1838" s="7">
        <v>0</v>
      </c>
      <c r="E1838" s="7">
        <v>18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 s="10">
        <v>0.83433741098301872</v>
      </c>
      <c r="Y1838" s="9">
        <v>25950</v>
      </c>
      <c r="Z1838" s="9">
        <v>23300</v>
      </c>
      <c r="AA1838" s="9">
        <v>25850</v>
      </c>
      <c r="AB1838">
        <v>0.96226415094339623</v>
      </c>
      <c r="AC1838" s="11">
        <v>41.5280633509308</v>
      </c>
      <c r="AD1838" s="9">
        <v>23626.310734463277</v>
      </c>
      <c r="AE1838" s="8">
        <v>7.0171807079279655E-2</v>
      </c>
    </row>
    <row r="1839" spans="1:31" x14ac:dyDescent="0.35">
      <c r="A1839" s="6" t="s">
        <v>1860</v>
      </c>
      <c r="B1839" s="7">
        <v>7</v>
      </c>
      <c r="C1839" s="7">
        <v>8</v>
      </c>
      <c r="D1839" s="7">
        <v>2</v>
      </c>
      <c r="E1839" s="7">
        <v>1</v>
      </c>
      <c r="F1839">
        <v>4970</v>
      </c>
      <c r="G1839">
        <v>133</v>
      </c>
      <c r="H1839">
        <v>2.67</v>
      </c>
      <c r="I1839">
        <v>73</v>
      </c>
      <c r="J1839">
        <v>1.47</v>
      </c>
      <c r="K1839">
        <v>3051</v>
      </c>
      <c r="L1839">
        <v>1772</v>
      </c>
      <c r="M1839">
        <v>1279</v>
      </c>
      <c r="N1839">
        <v>787.21</v>
      </c>
      <c r="O1839">
        <v>5.91</v>
      </c>
      <c r="P1839">
        <v>14.07</v>
      </c>
      <c r="Q1839">
        <v>0.82</v>
      </c>
      <c r="R1839">
        <v>0.21</v>
      </c>
      <c r="S1839">
        <v>258</v>
      </c>
      <c r="T1839">
        <v>4416</v>
      </c>
      <c r="U1839">
        <v>17526</v>
      </c>
      <c r="V1839">
        <v>192</v>
      </c>
      <c r="W1839">
        <v>6.68</v>
      </c>
      <c r="X1839" s="10">
        <v>0.45460179025176017</v>
      </c>
      <c r="Y1839" s="9">
        <v>5040</v>
      </c>
      <c r="Z1839" s="9">
        <v>3625</v>
      </c>
      <c r="AA1839" s="9">
        <v>4270</v>
      </c>
      <c r="AB1839">
        <v>0.45583038869257952</v>
      </c>
      <c r="AC1839" s="11">
        <v>13.509585996110031</v>
      </c>
      <c r="AD1839" s="9">
        <v>3882.9576271186443</v>
      </c>
      <c r="AE1839" s="8">
        <v>0.17793103448275863</v>
      </c>
    </row>
    <row r="1840" spans="1:31" x14ac:dyDescent="0.35">
      <c r="A1840" s="6" t="s">
        <v>1861</v>
      </c>
      <c r="B1840" s="7">
        <v>8</v>
      </c>
      <c r="C1840" s="7">
        <v>0</v>
      </c>
      <c r="D1840" s="7">
        <v>7</v>
      </c>
      <c r="E1840" s="7">
        <v>3</v>
      </c>
      <c r="F1840">
        <v>216</v>
      </c>
      <c r="G1840">
        <v>20</v>
      </c>
      <c r="H1840">
        <v>9.44</v>
      </c>
      <c r="I1840">
        <v>24</v>
      </c>
      <c r="J1840">
        <v>11.14</v>
      </c>
      <c r="K1840">
        <v>434</v>
      </c>
      <c r="L1840">
        <v>87</v>
      </c>
      <c r="M1840">
        <v>347</v>
      </c>
      <c r="N1840">
        <v>1211.77</v>
      </c>
      <c r="O1840">
        <v>7.17</v>
      </c>
      <c r="P1840">
        <v>30.47</v>
      </c>
      <c r="Q1840">
        <v>2.31</v>
      </c>
      <c r="R1840">
        <v>3.39</v>
      </c>
      <c r="S1840">
        <v>466</v>
      </c>
      <c r="T1840">
        <v>6156</v>
      </c>
      <c r="U1840">
        <v>4189</v>
      </c>
      <c r="V1840">
        <v>28</v>
      </c>
      <c r="W1840">
        <v>27.17</v>
      </c>
      <c r="X1840" s="10">
        <v>0.24477288583621215</v>
      </c>
      <c r="Y1840" s="9">
        <v>18200</v>
      </c>
      <c r="Z1840" s="9">
        <v>13250</v>
      </c>
      <c r="AA1840" s="9">
        <v>13450</v>
      </c>
      <c r="AB1840">
        <v>4.0404040404040407E-2</v>
      </c>
      <c r="AC1840" s="11">
        <v>-30.391775493192554</v>
      </c>
      <c r="AD1840" s="9">
        <v>16295.282485875707</v>
      </c>
      <c r="AE1840" s="8">
        <v>-6.5972222222222224E-2</v>
      </c>
    </row>
    <row r="1841" spans="1:31" x14ac:dyDescent="0.35">
      <c r="A1841" s="6" t="s">
        <v>1862</v>
      </c>
      <c r="B1841" s="7">
        <v>1</v>
      </c>
      <c r="C1841" s="7">
        <v>14</v>
      </c>
      <c r="D1841" s="7">
        <v>0</v>
      </c>
      <c r="E1841" s="7">
        <v>3</v>
      </c>
      <c r="F1841">
        <v>500</v>
      </c>
      <c r="G1841">
        <v>27</v>
      </c>
      <c r="H1841">
        <v>5.45</v>
      </c>
      <c r="I1841">
        <v>12</v>
      </c>
      <c r="J1841">
        <v>2.4700000000000002</v>
      </c>
      <c r="K1841">
        <v>665</v>
      </c>
      <c r="L1841">
        <v>304</v>
      </c>
      <c r="M1841">
        <v>362</v>
      </c>
      <c r="N1841">
        <v>296.95</v>
      </c>
      <c r="O1841">
        <v>3.55</v>
      </c>
      <c r="P1841">
        <v>24.79</v>
      </c>
      <c r="Q1841">
        <v>0.94</v>
      </c>
      <c r="R1841">
        <v>0.61</v>
      </c>
      <c r="S1841">
        <v>70</v>
      </c>
      <c r="T1841">
        <v>1848</v>
      </c>
      <c r="U1841">
        <v>2835</v>
      </c>
      <c r="V1841">
        <v>56</v>
      </c>
      <c r="W1841">
        <v>8.61</v>
      </c>
      <c r="X1841" s="10">
        <v>1.3764350893176517E-3</v>
      </c>
      <c r="Y1841" s="9">
        <v>2230</v>
      </c>
      <c r="Z1841" s="9">
        <v>1735</v>
      </c>
      <c r="AA1841" s="9">
        <v>1940</v>
      </c>
      <c r="AB1841">
        <v>0.41414141414141414</v>
      </c>
      <c r="AC1841" s="11">
        <v>-0.26646290636287856</v>
      </c>
      <c r="AD1841" s="9">
        <v>1940.1271186440679</v>
      </c>
      <c r="AE1841" s="8">
        <v>0.11494252873563218</v>
      </c>
    </row>
    <row r="1842" spans="1:31" x14ac:dyDescent="0.35">
      <c r="A1842" s="6" t="s">
        <v>1863</v>
      </c>
      <c r="B1842" s="7">
        <v>5</v>
      </c>
      <c r="C1842" s="7">
        <v>7</v>
      </c>
      <c r="D1842" s="7">
        <v>1</v>
      </c>
      <c r="E1842" s="7">
        <v>5</v>
      </c>
      <c r="F1842">
        <v>839</v>
      </c>
      <c r="G1842">
        <v>65</v>
      </c>
      <c r="H1842">
        <v>7.78</v>
      </c>
      <c r="I1842">
        <v>82</v>
      </c>
      <c r="J1842">
        <v>9.76</v>
      </c>
      <c r="K1842">
        <v>1064</v>
      </c>
      <c r="L1842">
        <v>135</v>
      </c>
      <c r="M1842">
        <v>929</v>
      </c>
      <c r="N1842">
        <v>1787.9</v>
      </c>
      <c r="O1842">
        <v>9.1999999999999993</v>
      </c>
      <c r="P1842">
        <v>8.43</v>
      </c>
      <c r="Q1842">
        <v>0.8</v>
      </c>
      <c r="R1842">
        <v>0.82</v>
      </c>
      <c r="S1842">
        <v>851</v>
      </c>
      <c r="T1842">
        <v>8979</v>
      </c>
      <c r="U1842">
        <v>8712</v>
      </c>
      <c r="V1842">
        <v>72</v>
      </c>
      <c r="W1842">
        <v>10.199999999999999</v>
      </c>
      <c r="X1842" s="10">
        <v>0.58975108581232127</v>
      </c>
      <c r="Y1842" s="9">
        <v>7990</v>
      </c>
      <c r="Z1842" s="9">
        <v>7010</v>
      </c>
      <c r="AA1842" s="9">
        <v>7450</v>
      </c>
      <c r="AB1842">
        <v>0.44897959183673469</v>
      </c>
      <c r="AC1842" s="11">
        <v>9.8357877188107832</v>
      </c>
      <c r="AD1842" s="9">
        <v>7126.8418079096045</v>
      </c>
      <c r="AE1842" s="8">
        <v>3.3287101248266296E-2</v>
      </c>
    </row>
    <row r="1843" spans="1:31" x14ac:dyDescent="0.35">
      <c r="A1843" s="6" t="s">
        <v>1864</v>
      </c>
      <c r="B1843" s="7">
        <v>1</v>
      </c>
      <c r="C1843" s="7">
        <v>15</v>
      </c>
      <c r="D1843" s="7">
        <v>1</v>
      </c>
      <c r="E1843" s="7">
        <v>1</v>
      </c>
      <c r="F1843">
        <v>1174</v>
      </c>
      <c r="G1843">
        <v>136</v>
      </c>
      <c r="H1843">
        <v>11.55</v>
      </c>
      <c r="I1843">
        <v>112</v>
      </c>
      <c r="J1843">
        <v>9.51</v>
      </c>
      <c r="K1843">
        <v>1412</v>
      </c>
      <c r="L1843">
        <v>685</v>
      </c>
      <c r="M1843">
        <v>727</v>
      </c>
      <c r="N1843">
        <v>365.16</v>
      </c>
      <c r="O1843">
        <v>25.75</v>
      </c>
      <c r="P1843">
        <v>5.01</v>
      </c>
      <c r="Q1843">
        <v>1.25</v>
      </c>
      <c r="R1843">
        <v>0.46</v>
      </c>
      <c r="S1843">
        <v>552</v>
      </c>
      <c r="T1843">
        <v>2210</v>
      </c>
      <c r="U1843">
        <v>5991</v>
      </c>
      <c r="V1843">
        <v>181</v>
      </c>
      <c r="W1843">
        <v>7.44</v>
      </c>
      <c r="X1843" s="10">
        <v>0.93796575323110032</v>
      </c>
      <c r="Y1843" s="9">
        <v>3980</v>
      </c>
      <c r="Z1843" s="9">
        <v>2480</v>
      </c>
      <c r="AA1843" s="9">
        <v>3830</v>
      </c>
      <c r="AB1843">
        <v>0.9</v>
      </c>
      <c r="AC1843" s="11">
        <v>26.496665740483468</v>
      </c>
      <c r="AD1843" s="9">
        <v>2429.6016949152545</v>
      </c>
      <c r="AE1843" s="8">
        <v>0.51383399209486169</v>
      </c>
    </row>
    <row r="1844" spans="1:31" x14ac:dyDescent="0.35">
      <c r="A1844" s="6" t="s">
        <v>1865</v>
      </c>
      <c r="B1844" s="7">
        <v>3</v>
      </c>
      <c r="C1844" s="7">
        <v>1</v>
      </c>
      <c r="D1844" s="7">
        <v>6</v>
      </c>
      <c r="E1844" s="7">
        <v>8</v>
      </c>
      <c r="F1844">
        <v>77</v>
      </c>
      <c r="G1844">
        <v>-51</v>
      </c>
      <c r="H1844">
        <v>-65.69</v>
      </c>
      <c r="I1844">
        <v>-110</v>
      </c>
      <c r="J1844">
        <v>-142.66999999999999</v>
      </c>
      <c r="K1844">
        <v>396</v>
      </c>
      <c r="L1844">
        <v>284</v>
      </c>
      <c r="M1844">
        <v>112</v>
      </c>
      <c r="N1844">
        <v>-39.950000000000003</v>
      </c>
      <c r="O1844">
        <v>-84.19</v>
      </c>
      <c r="P1844">
        <v>0</v>
      </c>
      <c r="Q1844">
        <v>0.99</v>
      </c>
      <c r="R1844">
        <v>0.88</v>
      </c>
      <c r="S1844">
        <v>-519</v>
      </c>
      <c r="T1844">
        <v>324</v>
      </c>
      <c r="U1844">
        <v>364</v>
      </c>
      <c r="V1844">
        <v>-39</v>
      </c>
      <c r="W1844">
        <v>-8.94</v>
      </c>
      <c r="X1844" s="10">
        <v>0.37767615314596026</v>
      </c>
      <c r="Y1844" s="9">
        <v>395</v>
      </c>
      <c r="Z1844" s="9">
        <v>281</v>
      </c>
      <c r="AA1844" s="9">
        <v>281</v>
      </c>
      <c r="AB1844">
        <v>0</v>
      </c>
      <c r="AC1844" s="11">
        <v>-0.98091136426785219</v>
      </c>
      <c r="AD1844" s="9">
        <v>357.93446327683614</v>
      </c>
      <c r="AE1844" s="8">
        <v>-0.10223642172523961</v>
      </c>
    </row>
    <row r="1845" spans="1:31" x14ac:dyDescent="0.35">
      <c r="A1845" s="6" t="s">
        <v>1866</v>
      </c>
      <c r="B1845" s="7">
        <v>1</v>
      </c>
      <c r="C1845" s="7">
        <v>5</v>
      </c>
      <c r="D1845" s="7">
        <v>9</v>
      </c>
      <c r="E1845" s="7">
        <v>3</v>
      </c>
      <c r="F1845">
        <v>7316</v>
      </c>
      <c r="G1845">
        <v>723</v>
      </c>
      <c r="H1845">
        <v>9.8800000000000008</v>
      </c>
      <c r="I1845">
        <v>595</v>
      </c>
      <c r="J1845">
        <v>8.1300000000000008</v>
      </c>
      <c r="K1845">
        <v>4404</v>
      </c>
      <c r="L1845">
        <v>1037</v>
      </c>
      <c r="M1845">
        <v>3367</v>
      </c>
      <c r="N1845">
        <v>1167.6500000000001</v>
      </c>
      <c r="O1845">
        <v>18.7</v>
      </c>
      <c r="P1845">
        <v>10.61</v>
      </c>
      <c r="Q1845">
        <v>1.91</v>
      </c>
      <c r="R1845">
        <v>0.86</v>
      </c>
      <c r="S1845">
        <v>1107</v>
      </c>
      <c r="T1845">
        <v>6166</v>
      </c>
      <c r="U1845">
        <v>13608</v>
      </c>
      <c r="V1845">
        <v>785</v>
      </c>
      <c r="W1845">
        <v>8.59</v>
      </c>
      <c r="X1845" s="10">
        <v>0.39076144836220278</v>
      </c>
      <c r="Y1845" s="9">
        <v>15200</v>
      </c>
      <c r="Z1845" s="9">
        <v>11750</v>
      </c>
      <c r="AA1845" s="9">
        <v>14250</v>
      </c>
      <c r="AB1845">
        <v>0.72463768115942029</v>
      </c>
      <c r="AC1845" s="11">
        <v>35.111141983884416</v>
      </c>
      <c r="AD1845" s="9">
        <v>12283.276836158191</v>
      </c>
      <c r="AE1845" s="8">
        <v>0.19246861924686193</v>
      </c>
    </row>
    <row r="1846" spans="1:31" x14ac:dyDescent="0.35">
      <c r="A1846" s="6" t="s">
        <v>1867</v>
      </c>
      <c r="B1846" s="7">
        <v>2</v>
      </c>
      <c r="C1846" s="7">
        <v>2</v>
      </c>
      <c r="D1846" s="7">
        <v>3</v>
      </c>
      <c r="E1846" s="7">
        <v>11</v>
      </c>
      <c r="F1846">
        <v>116</v>
      </c>
      <c r="G1846">
        <v>16</v>
      </c>
      <c r="H1846">
        <v>14.19</v>
      </c>
      <c r="I1846">
        <v>16</v>
      </c>
      <c r="J1846">
        <v>14.13</v>
      </c>
      <c r="K1846">
        <v>320</v>
      </c>
      <c r="L1846">
        <v>121</v>
      </c>
      <c r="M1846">
        <v>199</v>
      </c>
      <c r="N1846">
        <v>1005.12</v>
      </c>
      <c r="O1846">
        <v>18.34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 s="10">
        <v>0.28772463956527394</v>
      </c>
      <c r="Y1846" s="9">
        <v>59600</v>
      </c>
      <c r="Z1846" s="9">
        <v>25100</v>
      </c>
      <c r="AA1846" s="9">
        <v>45850</v>
      </c>
      <c r="AB1846">
        <v>0.60144927536231885</v>
      </c>
      <c r="AC1846" s="11">
        <v>250.23339816615726</v>
      </c>
      <c r="AD1846" s="9">
        <v>37254.548022598865</v>
      </c>
      <c r="AE1846" s="8">
        <v>0.82669322709163351</v>
      </c>
    </row>
    <row r="1847" spans="1:31" x14ac:dyDescent="0.35">
      <c r="A1847" s="6" t="s">
        <v>1868</v>
      </c>
      <c r="B1847" s="7">
        <v>0</v>
      </c>
      <c r="C1847" s="7">
        <v>7</v>
      </c>
      <c r="D1847" s="7">
        <v>0</v>
      </c>
      <c r="E1847" s="7">
        <v>11</v>
      </c>
      <c r="F1847">
        <v>90</v>
      </c>
      <c r="G1847">
        <v>-28</v>
      </c>
      <c r="H1847">
        <v>-30.85</v>
      </c>
      <c r="I1847">
        <v>-250</v>
      </c>
      <c r="J1847">
        <v>-277.91000000000003</v>
      </c>
      <c r="K1847">
        <v>358</v>
      </c>
      <c r="L1847">
        <v>66</v>
      </c>
      <c r="M1847">
        <v>292</v>
      </c>
      <c r="N1847">
        <v>35.06</v>
      </c>
      <c r="O1847">
        <v>-116.07</v>
      </c>
      <c r="P1847">
        <v>0</v>
      </c>
      <c r="Q1847">
        <v>5.48</v>
      </c>
      <c r="R1847">
        <v>3.79</v>
      </c>
      <c r="S1847">
        <v>-872</v>
      </c>
      <c r="T1847">
        <v>217</v>
      </c>
      <c r="U1847">
        <v>314</v>
      </c>
      <c r="V1847">
        <v>-21</v>
      </c>
      <c r="W1847">
        <v>-26.73</v>
      </c>
      <c r="X1847" s="10">
        <v>0.40842126389100036</v>
      </c>
      <c r="Y1847" s="9">
        <v>1310</v>
      </c>
      <c r="Z1847" s="9">
        <v>908</v>
      </c>
      <c r="AA1847" s="9">
        <v>1120</v>
      </c>
      <c r="AB1847">
        <v>0.52736318407960203</v>
      </c>
      <c r="AC1847" s="11">
        <v>-4.4417338149485959</v>
      </c>
      <c r="AD1847" s="9">
        <v>1161.5395480225989</v>
      </c>
      <c r="AE1847" s="8">
        <v>-8.8495575221238937E-3</v>
      </c>
    </row>
    <row r="1848" spans="1:31" x14ac:dyDescent="0.35">
      <c r="A1848" s="6" t="s">
        <v>1869</v>
      </c>
      <c r="B1848" s="7">
        <v>11</v>
      </c>
      <c r="C1848" s="7">
        <v>2</v>
      </c>
      <c r="D1848" s="7">
        <v>0</v>
      </c>
      <c r="E1848" s="7">
        <v>5</v>
      </c>
      <c r="F1848">
        <v>158</v>
      </c>
      <c r="G1848">
        <v>0</v>
      </c>
      <c r="H1848">
        <v>0.23</v>
      </c>
      <c r="I1848">
        <v>5</v>
      </c>
      <c r="J1848">
        <v>3.15</v>
      </c>
      <c r="K1848">
        <v>245</v>
      </c>
      <c r="L1848">
        <v>132</v>
      </c>
      <c r="M1848">
        <v>113</v>
      </c>
      <c r="N1848">
        <v>159.01</v>
      </c>
      <c r="O1848">
        <v>6.44</v>
      </c>
      <c r="P1848">
        <v>95.86</v>
      </c>
      <c r="Q1848">
        <v>7.49</v>
      </c>
      <c r="R1848">
        <v>3</v>
      </c>
      <c r="S1848">
        <v>35</v>
      </c>
      <c r="T1848">
        <v>448</v>
      </c>
      <c r="U1848">
        <v>1117</v>
      </c>
      <c r="V1848">
        <v>2</v>
      </c>
      <c r="W1848">
        <v>352.85</v>
      </c>
      <c r="X1848" s="10">
        <v>0.2139676930067263</v>
      </c>
      <c r="Y1848" s="9">
        <v>8580</v>
      </c>
      <c r="Z1848" s="9">
        <v>4710</v>
      </c>
      <c r="AA1848" s="9">
        <v>6360</v>
      </c>
      <c r="AB1848">
        <v>0.4263565891472868</v>
      </c>
      <c r="AC1848" s="11">
        <v>24.215337593776049</v>
      </c>
      <c r="AD1848" s="9">
        <v>5966.7655367231637</v>
      </c>
      <c r="AE1848" s="8">
        <v>0.3503184713375796</v>
      </c>
    </row>
    <row r="1849" spans="1:31" x14ac:dyDescent="0.35">
      <c r="A1849" s="6" t="s">
        <v>1870</v>
      </c>
      <c r="B1849" s="7">
        <v>8</v>
      </c>
      <c r="C1849" s="7">
        <v>9</v>
      </c>
      <c r="D1849" s="7">
        <v>1</v>
      </c>
      <c r="E1849" s="7">
        <v>0</v>
      </c>
      <c r="F1849">
        <v>8395</v>
      </c>
      <c r="G1849">
        <v>291</v>
      </c>
      <c r="H1849">
        <v>3.46</v>
      </c>
      <c r="I1849">
        <v>184</v>
      </c>
      <c r="J1849">
        <v>2.2000000000000002</v>
      </c>
      <c r="K1849">
        <v>7076</v>
      </c>
      <c r="L1849">
        <v>4256</v>
      </c>
      <c r="M1849">
        <v>2820</v>
      </c>
      <c r="N1849">
        <v>1451.83</v>
      </c>
      <c r="O1849">
        <v>6.99</v>
      </c>
      <c r="P1849">
        <v>25.42</v>
      </c>
      <c r="Q1849">
        <v>1.76</v>
      </c>
      <c r="R1849">
        <v>0.56000000000000005</v>
      </c>
      <c r="S1849">
        <v>531</v>
      </c>
      <c r="T1849">
        <v>7651</v>
      </c>
      <c r="U1849">
        <v>24170</v>
      </c>
      <c r="V1849">
        <v>335</v>
      </c>
      <c r="W1849">
        <v>19.239999999999998</v>
      </c>
      <c r="X1849" s="10">
        <v>2.0461643100382104E-2</v>
      </c>
      <c r="Y1849" s="9">
        <v>14850</v>
      </c>
      <c r="Z1849" s="9">
        <v>12300</v>
      </c>
      <c r="AA1849" s="9">
        <v>13100</v>
      </c>
      <c r="AB1849">
        <v>0.31372549019607843</v>
      </c>
      <c r="AC1849" s="11">
        <v>4.8180050013892766</v>
      </c>
      <c r="AD1849" s="9">
        <v>13434.717514124293</v>
      </c>
      <c r="AE1849" s="8">
        <v>-1.1320754716981131E-2</v>
      </c>
    </row>
    <row r="1850" spans="1:31" x14ac:dyDescent="0.35">
      <c r="A1850" s="6" t="s">
        <v>1871</v>
      </c>
      <c r="B1850" s="7">
        <v>3</v>
      </c>
      <c r="C1850" s="7">
        <v>9</v>
      </c>
      <c r="D1850" s="7">
        <v>4</v>
      </c>
      <c r="E1850" s="7">
        <v>2</v>
      </c>
      <c r="F1850">
        <v>4049</v>
      </c>
      <c r="G1850">
        <v>226</v>
      </c>
      <c r="H1850">
        <v>5.59</v>
      </c>
      <c r="I1850">
        <v>169</v>
      </c>
      <c r="J1850">
        <v>4.18</v>
      </c>
      <c r="K1850">
        <v>3948</v>
      </c>
      <c r="L1850">
        <v>2601</v>
      </c>
      <c r="M1850">
        <v>1347</v>
      </c>
      <c r="N1850">
        <v>223.85</v>
      </c>
      <c r="O1850">
        <v>13.06</v>
      </c>
      <c r="P1850">
        <v>5.99</v>
      </c>
      <c r="Q1850">
        <v>0.76</v>
      </c>
      <c r="R1850">
        <v>0.25</v>
      </c>
      <c r="S1850">
        <v>213</v>
      </c>
      <c r="T1850">
        <v>1669</v>
      </c>
      <c r="U1850">
        <v>5099</v>
      </c>
      <c r="V1850">
        <v>257</v>
      </c>
      <c r="W1850">
        <v>10.28</v>
      </c>
      <c r="X1850" s="10">
        <v>0.56986370286602672</v>
      </c>
      <c r="Y1850" s="9">
        <v>1445</v>
      </c>
      <c r="Z1850" s="9">
        <v>1205</v>
      </c>
      <c r="AA1850" s="9">
        <v>1330</v>
      </c>
      <c r="AB1850">
        <v>0.52083333333333337</v>
      </c>
      <c r="AC1850" s="11">
        <v>2.3735759933314817</v>
      </c>
      <c r="AD1850" s="9">
        <v>1261.189265536723</v>
      </c>
      <c r="AE1850" s="8">
        <v>2.7027027027027029E-2</v>
      </c>
    </row>
    <row r="1851" spans="1:31" x14ac:dyDescent="0.35">
      <c r="A1851" s="6" t="s">
        <v>1872</v>
      </c>
      <c r="B1851" s="7">
        <v>2</v>
      </c>
      <c r="C1851" s="7">
        <v>11</v>
      </c>
      <c r="D1851" s="7">
        <v>4</v>
      </c>
      <c r="E1851" s="7">
        <v>1</v>
      </c>
      <c r="F1851">
        <v>341</v>
      </c>
      <c r="G1851">
        <v>10</v>
      </c>
      <c r="H1851">
        <v>2.82</v>
      </c>
      <c r="I1851">
        <v>-4</v>
      </c>
      <c r="J1851">
        <v>-1.1499999999999999</v>
      </c>
      <c r="K1851">
        <v>701</v>
      </c>
      <c r="L1851">
        <v>280</v>
      </c>
      <c r="M1851">
        <v>421</v>
      </c>
      <c r="N1851">
        <v>811.77</v>
      </c>
      <c r="O1851">
        <v>-0.93</v>
      </c>
      <c r="P1851">
        <v>0</v>
      </c>
      <c r="Q1851">
        <v>1.32</v>
      </c>
      <c r="R1851">
        <v>1.61</v>
      </c>
      <c r="S1851">
        <v>-43</v>
      </c>
      <c r="T1851">
        <v>4494</v>
      </c>
      <c r="U1851">
        <v>3694</v>
      </c>
      <c r="V1851">
        <v>18</v>
      </c>
      <c r="W1851">
        <v>38.64</v>
      </c>
      <c r="X1851" s="10">
        <v>0.49891993305690308</v>
      </c>
      <c r="Y1851" s="9">
        <v>6670</v>
      </c>
      <c r="Z1851" s="9">
        <v>4840</v>
      </c>
      <c r="AA1851" s="9">
        <v>4955</v>
      </c>
      <c r="AB1851">
        <v>6.2841530054644809E-2</v>
      </c>
      <c r="AC1851" s="11">
        <v>-17.948457904973601</v>
      </c>
      <c r="AD1851" s="9">
        <v>5985.8446327683614</v>
      </c>
      <c r="AE1851" s="8">
        <v>-0.15443686006825938</v>
      </c>
    </row>
    <row r="1852" spans="1:31" x14ac:dyDescent="0.35">
      <c r="A1852" s="6" t="s">
        <v>1873</v>
      </c>
      <c r="B1852" s="7">
        <v>1</v>
      </c>
      <c r="C1852" s="7">
        <v>12</v>
      </c>
      <c r="D1852" s="7">
        <v>1</v>
      </c>
      <c r="E1852" s="7">
        <v>4</v>
      </c>
      <c r="F1852">
        <v>15550</v>
      </c>
      <c r="G1852">
        <v>2146</v>
      </c>
      <c r="H1852">
        <v>13.8</v>
      </c>
      <c r="I1852">
        <v>8099</v>
      </c>
      <c r="J1852">
        <v>52.08</v>
      </c>
      <c r="K1852">
        <v>44394</v>
      </c>
      <c r="L1852">
        <v>30444</v>
      </c>
      <c r="M1852">
        <v>13950</v>
      </c>
      <c r="N1852">
        <v>550.24</v>
      </c>
      <c r="O1852">
        <v>102.57</v>
      </c>
      <c r="P1852">
        <v>0.49</v>
      </c>
      <c r="Q1852">
        <v>0.4</v>
      </c>
      <c r="R1852">
        <v>0.26</v>
      </c>
      <c r="S1852">
        <v>5282</v>
      </c>
      <c r="T1852">
        <v>6479</v>
      </c>
      <c r="U1852">
        <v>10142</v>
      </c>
      <c r="V1852">
        <v>3694</v>
      </c>
      <c r="W1852">
        <v>5.48</v>
      </c>
      <c r="X1852" s="10">
        <v>0.4901832748172853</v>
      </c>
      <c r="Y1852" s="9">
        <v>3630</v>
      </c>
      <c r="Z1852" s="9">
        <v>2505</v>
      </c>
      <c r="AA1852" s="9">
        <v>3065</v>
      </c>
      <c r="AB1852">
        <v>0.49777777777777776</v>
      </c>
      <c r="AC1852" s="11">
        <v>12.70325090302862</v>
      </c>
      <c r="AD1852" s="9">
        <v>2484.5508474576272</v>
      </c>
      <c r="AE1852" s="8">
        <v>0.16984732824427481</v>
      </c>
    </row>
    <row r="1853" spans="1:31" x14ac:dyDescent="0.35">
      <c r="A1853" s="6" t="s">
        <v>1874</v>
      </c>
      <c r="B1853" s="7">
        <v>8</v>
      </c>
      <c r="C1853" s="7">
        <v>4</v>
      </c>
      <c r="D1853" s="7">
        <v>2</v>
      </c>
      <c r="E1853" s="7">
        <v>4</v>
      </c>
      <c r="F1853">
        <v>1092</v>
      </c>
      <c r="G1853">
        <v>28</v>
      </c>
      <c r="H1853">
        <v>2.54</v>
      </c>
      <c r="I1853">
        <v>16</v>
      </c>
      <c r="J1853">
        <v>1.47</v>
      </c>
      <c r="K1853">
        <v>1878</v>
      </c>
      <c r="L1853">
        <v>1226</v>
      </c>
      <c r="M1853">
        <v>652</v>
      </c>
      <c r="N1853">
        <v>179.42</v>
      </c>
      <c r="O1853">
        <v>2.4500000000000002</v>
      </c>
      <c r="P1853">
        <v>57.21</v>
      </c>
      <c r="Q1853">
        <v>1.63</v>
      </c>
      <c r="R1853">
        <v>0.83</v>
      </c>
      <c r="S1853">
        <v>34</v>
      </c>
      <c r="T1853">
        <v>1196</v>
      </c>
      <c r="U1853">
        <v>2344</v>
      </c>
      <c r="V1853">
        <v>56</v>
      </c>
      <c r="W1853">
        <v>20.23</v>
      </c>
      <c r="X1853" s="10">
        <v>0.81755644010870165</v>
      </c>
      <c r="Y1853" s="9">
        <v>4695</v>
      </c>
      <c r="Z1853" s="9">
        <v>1900</v>
      </c>
      <c r="AA1853" s="9">
        <v>4465</v>
      </c>
      <c r="AB1853">
        <v>0.91771019677996424</v>
      </c>
      <c r="AC1853" s="11">
        <v>38.181300361211449</v>
      </c>
      <c r="AD1853" s="9">
        <v>1538.8870056497174</v>
      </c>
      <c r="AE1853" s="8">
        <v>1.2956298200514138</v>
      </c>
    </row>
    <row r="1854" spans="1:31" x14ac:dyDescent="0.35">
      <c r="A1854" s="6" t="s">
        <v>1875</v>
      </c>
      <c r="B1854" s="7">
        <v>5</v>
      </c>
      <c r="C1854" s="7">
        <v>9</v>
      </c>
      <c r="D1854" s="7">
        <v>4</v>
      </c>
      <c r="E1854" s="7">
        <v>0</v>
      </c>
      <c r="F1854">
        <v>2199</v>
      </c>
      <c r="G1854">
        <v>204</v>
      </c>
      <c r="H1854">
        <v>9.2799999999999994</v>
      </c>
      <c r="I1854">
        <v>248</v>
      </c>
      <c r="J1854">
        <v>11.25</v>
      </c>
      <c r="K1854">
        <v>3747</v>
      </c>
      <c r="L1854">
        <v>458</v>
      </c>
      <c r="M1854">
        <v>3289</v>
      </c>
      <c r="N1854">
        <v>2576.62</v>
      </c>
      <c r="O1854">
        <v>7.76</v>
      </c>
      <c r="P1854">
        <v>12.06</v>
      </c>
      <c r="Q1854">
        <v>1.1100000000000001</v>
      </c>
      <c r="R1854">
        <v>1.36</v>
      </c>
      <c r="S1854">
        <v>2608</v>
      </c>
      <c r="T1854">
        <v>28366</v>
      </c>
      <c r="U1854">
        <v>23169</v>
      </c>
      <c r="V1854">
        <v>263</v>
      </c>
      <c r="W1854">
        <v>13.77</v>
      </c>
      <c r="X1854" s="10">
        <v>1.8732056881920187E-2</v>
      </c>
      <c r="Y1854" s="9">
        <v>33050</v>
      </c>
      <c r="Z1854" s="9">
        <v>29200</v>
      </c>
      <c r="AA1854" s="9">
        <v>33050</v>
      </c>
      <c r="AB1854">
        <v>1</v>
      </c>
      <c r="AC1854" s="11">
        <v>-6.2308974715198708</v>
      </c>
      <c r="AD1854" s="9">
        <v>30885.875706214687</v>
      </c>
      <c r="AE1854" s="8">
        <v>3.6050156739811913E-2</v>
      </c>
    </row>
    <row r="1855" spans="1:31" x14ac:dyDescent="0.35">
      <c r="A1855" s="6" t="s">
        <v>1876</v>
      </c>
      <c r="B1855" s="7">
        <v>3</v>
      </c>
      <c r="C1855" s="7">
        <v>3</v>
      </c>
      <c r="D1855" s="7">
        <v>2</v>
      </c>
      <c r="E1855" s="7">
        <v>10</v>
      </c>
      <c r="F1855">
        <v>2111</v>
      </c>
      <c r="G1855">
        <v>-138</v>
      </c>
      <c r="H1855">
        <v>-6.53</v>
      </c>
      <c r="I1855">
        <v>-236</v>
      </c>
      <c r="J1855">
        <v>-11.2</v>
      </c>
      <c r="K1855">
        <v>4777</v>
      </c>
      <c r="L1855">
        <v>3118</v>
      </c>
      <c r="M1855">
        <v>1659</v>
      </c>
      <c r="N1855">
        <v>160.53</v>
      </c>
      <c r="O1855">
        <v>-16.739999999999998</v>
      </c>
      <c r="P1855">
        <v>0</v>
      </c>
      <c r="Q1855">
        <v>0.61</v>
      </c>
      <c r="R1855">
        <v>0.44</v>
      </c>
      <c r="S1855">
        <v>-201</v>
      </c>
      <c r="T1855">
        <v>1288</v>
      </c>
      <c r="U1855">
        <v>1795</v>
      </c>
      <c r="V1855">
        <v>-81</v>
      </c>
      <c r="W1855">
        <v>-40.299999999999997</v>
      </c>
      <c r="X1855" s="10">
        <v>8.6184553063442512E-2</v>
      </c>
      <c r="Y1855" s="9">
        <v>785</v>
      </c>
      <c r="Z1855" s="9">
        <v>707</v>
      </c>
      <c r="AA1855" s="9">
        <v>730</v>
      </c>
      <c r="AB1855">
        <v>0.29487179487179488</v>
      </c>
      <c r="AC1855" s="11">
        <v>-0.31714365101417058</v>
      </c>
      <c r="AD1855" s="9">
        <v>747.90621468926554</v>
      </c>
      <c r="AE1855" s="8">
        <v>-6.4102564102564097E-2</v>
      </c>
    </row>
    <row r="1856" spans="1:31" x14ac:dyDescent="0.35">
      <c r="A1856" s="6" t="s">
        <v>1877</v>
      </c>
      <c r="B1856" s="7">
        <v>0</v>
      </c>
      <c r="C1856" s="7">
        <v>0</v>
      </c>
      <c r="D1856" s="7">
        <v>0</v>
      </c>
      <c r="E1856" s="7">
        <v>18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 s="10">
        <v>8.6184553063442512E-2</v>
      </c>
      <c r="Y1856" s="9">
        <v>690</v>
      </c>
      <c r="Z1856" s="9">
        <v>690</v>
      </c>
      <c r="AA1856" s="9">
        <v>690</v>
      </c>
      <c r="AC1856" s="11">
        <v>0</v>
      </c>
      <c r="AD1856" s="9">
        <v>690</v>
      </c>
      <c r="AE1856" s="8">
        <v>0</v>
      </c>
    </row>
    <row r="1857" spans="1:31" x14ac:dyDescent="0.35">
      <c r="A1857" s="6" t="s">
        <v>1878</v>
      </c>
      <c r="B1857" s="7">
        <v>5</v>
      </c>
      <c r="C1857" s="7">
        <v>3</v>
      </c>
      <c r="D1857" s="7">
        <v>6</v>
      </c>
      <c r="E1857" s="7">
        <v>4</v>
      </c>
      <c r="F1857">
        <v>2372</v>
      </c>
      <c r="G1857">
        <v>-3</v>
      </c>
      <c r="H1857">
        <v>-0.11</v>
      </c>
      <c r="I1857">
        <v>-18</v>
      </c>
      <c r="J1857">
        <v>-0.74</v>
      </c>
      <c r="K1857">
        <v>1603</v>
      </c>
      <c r="L1857">
        <v>1038</v>
      </c>
      <c r="M1857">
        <v>565</v>
      </c>
      <c r="N1857">
        <v>203.63</v>
      </c>
      <c r="O1857">
        <v>-4.67</v>
      </c>
      <c r="P1857">
        <v>0</v>
      </c>
      <c r="Q1857">
        <v>0.85</v>
      </c>
      <c r="R1857">
        <v>0.16</v>
      </c>
      <c r="S1857">
        <v>-58</v>
      </c>
      <c r="T1857">
        <v>1468</v>
      </c>
      <c r="U1857">
        <v>7843</v>
      </c>
      <c r="V1857">
        <v>90</v>
      </c>
      <c r="W1857">
        <v>10.59</v>
      </c>
      <c r="X1857" s="10">
        <v>0.85423100564604393</v>
      </c>
      <c r="Y1857" s="9">
        <v>1510</v>
      </c>
      <c r="Z1857" s="9">
        <v>1205</v>
      </c>
      <c r="AA1857" s="9">
        <v>1455</v>
      </c>
      <c r="AB1857">
        <v>0.81967213114754101</v>
      </c>
      <c r="AC1857" s="11">
        <v>5.5362600722422899</v>
      </c>
      <c r="AD1857" s="9">
        <v>1173.9774011299435</v>
      </c>
      <c r="AE1857" s="8">
        <v>0.19262295081967212</v>
      </c>
    </row>
    <row r="1858" spans="1:31" x14ac:dyDescent="0.35">
      <c r="A1858" s="6" t="s">
        <v>1879</v>
      </c>
      <c r="B1858" s="7">
        <v>9</v>
      </c>
      <c r="C1858" s="7">
        <v>0</v>
      </c>
      <c r="D1858" s="7">
        <v>4</v>
      </c>
      <c r="E1858" s="7">
        <v>5</v>
      </c>
      <c r="F1858">
        <v>5350</v>
      </c>
      <c r="G1858">
        <v>-132</v>
      </c>
      <c r="H1858">
        <v>-2.46</v>
      </c>
      <c r="I1858">
        <v>110</v>
      </c>
      <c r="J1858">
        <v>2.0699999999999998</v>
      </c>
      <c r="K1858">
        <v>4766</v>
      </c>
      <c r="L1858">
        <v>1849</v>
      </c>
      <c r="M1858">
        <v>2917</v>
      </c>
      <c r="N1858">
        <v>2678.4</v>
      </c>
      <c r="O1858">
        <v>3.84</v>
      </c>
      <c r="P1858">
        <v>34.22</v>
      </c>
      <c r="Q1858">
        <v>1.31</v>
      </c>
      <c r="R1858">
        <v>0.71</v>
      </c>
      <c r="S1858">
        <v>526</v>
      </c>
      <c r="T1858">
        <v>13737</v>
      </c>
      <c r="U1858">
        <v>25476</v>
      </c>
      <c r="V1858">
        <v>103</v>
      </c>
      <c r="W1858">
        <v>41.16</v>
      </c>
      <c r="X1858" s="10">
        <v>4.3618299447559862E-4</v>
      </c>
      <c r="Y1858" s="9">
        <v>18300</v>
      </c>
      <c r="Z1858" s="9">
        <v>16200</v>
      </c>
      <c r="AA1858" s="9">
        <v>16700</v>
      </c>
      <c r="AB1858">
        <v>0.23809523809523808</v>
      </c>
      <c r="AC1858" s="11">
        <v>0.73075854404001184</v>
      </c>
      <c r="AD1858" s="9">
        <v>17169.378531073449</v>
      </c>
      <c r="AE1858" s="8">
        <v>-5.113636363636364E-2</v>
      </c>
    </row>
    <row r="1859" spans="1:31" x14ac:dyDescent="0.35">
      <c r="A1859" s="6" t="s">
        <v>1880</v>
      </c>
      <c r="B1859" s="7">
        <v>8</v>
      </c>
      <c r="C1859" s="7">
        <v>5</v>
      </c>
      <c r="D1859" s="7">
        <v>4</v>
      </c>
      <c r="E1859" s="7">
        <v>1</v>
      </c>
      <c r="F1859">
        <v>128</v>
      </c>
      <c r="G1859">
        <v>57</v>
      </c>
      <c r="H1859">
        <v>44.28</v>
      </c>
      <c r="I1859">
        <v>35</v>
      </c>
      <c r="J1859">
        <v>27.73</v>
      </c>
      <c r="K1859">
        <v>2018</v>
      </c>
      <c r="L1859">
        <v>828</v>
      </c>
      <c r="M1859">
        <v>1189</v>
      </c>
      <c r="N1859">
        <v>1541.94</v>
      </c>
      <c r="O1859">
        <v>3.01</v>
      </c>
      <c r="P1859">
        <v>11.82</v>
      </c>
      <c r="Q1859">
        <v>0.36</v>
      </c>
      <c r="R1859">
        <v>3.28</v>
      </c>
      <c r="S1859">
        <v>247</v>
      </c>
      <c r="T1859">
        <v>8106</v>
      </c>
      <c r="U1859">
        <v>889</v>
      </c>
      <c r="V1859">
        <v>60</v>
      </c>
      <c r="W1859">
        <v>19.29</v>
      </c>
      <c r="X1859" s="10">
        <v>0.79418463220663338</v>
      </c>
      <c r="Y1859" s="9">
        <v>3210</v>
      </c>
      <c r="Z1859" s="9">
        <v>2875</v>
      </c>
      <c r="AA1859" s="9">
        <v>3165</v>
      </c>
      <c r="AB1859">
        <v>0.86567164179104472</v>
      </c>
      <c r="AC1859" s="11">
        <v>6.3617671575437624</v>
      </c>
      <c r="AD1859" s="9">
        <v>2826.4661016949153</v>
      </c>
      <c r="AE1859" s="8">
        <v>7.2881355932203393E-2</v>
      </c>
    </row>
    <row r="1860" spans="1:31" x14ac:dyDescent="0.35">
      <c r="A1860" s="6" t="s">
        <v>1881</v>
      </c>
      <c r="B1860" s="7">
        <v>6</v>
      </c>
      <c r="C1860" s="7">
        <v>1</v>
      </c>
      <c r="D1860" s="7">
        <v>3</v>
      </c>
      <c r="E1860" s="7">
        <v>8</v>
      </c>
      <c r="F1860">
        <v>514</v>
      </c>
      <c r="G1860">
        <v>8</v>
      </c>
      <c r="H1860">
        <v>1.49</v>
      </c>
      <c r="I1860">
        <v>4</v>
      </c>
      <c r="J1860">
        <v>0.86</v>
      </c>
      <c r="K1860">
        <v>597</v>
      </c>
      <c r="L1860">
        <v>220</v>
      </c>
      <c r="M1860">
        <v>377</v>
      </c>
      <c r="N1860">
        <v>543.83000000000004</v>
      </c>
      <c r="O1860">
        <v>1.17</v>
      </c>
      <c r="P1860">
        <v>74.86</v>
      </c>
      <c r="Q1860">
        <v>0.89</v>
      </c>
      <c r="R1860">
        <v>0.64</v>
      </c>
      <c r="S1860">
        <v>37</v>
      </c>
      <c r="T1860">
        <v>3127</v>
      </c>
      <c r="U1860">
        <v>4357</v>
      </c>
      <c r="V1860">
        <v>23</v>
      </c>
      <c r="W1860">
        <v>17.05</v>
      </c>
      <c r="X1860" s="10">
        <v>0.801469107195524</v>
      </c>
      <c r="Y1860" s="9">
        <v>3420</v>
      </c>
      <c r="Z1860" s="9">
        <v>2680</v>
      </c>
      <c r="AA1860" s="9">
        <v>3340</v>
      </c>
      <c r="AB1860">
        <v>0.89189189189189189</v>
      </c>
      <c r="AC1860" s="11">
        <v>12.917199222006111</v>
      </c>
      <c r="AD1860" s="9">
        <v>2582.3587570621471</v>
      </c>
      <c r="AE1860" s="8">
        <v>0.21014492753623187</v>
      </c>
    </row>
    <row r="1861" spans="1:31" x14ac:dyDescent="0.35">
      <c r="A1861" s="6" t="s">
        <v>1882</v>
      </c>
      <c r="B1861" s="7">
        <v>12</v>
      </c>
      <c r="C1861" s="7">
        <v>3</v>
      </c>
      <c r="D1861" s="7">
        <v>2</v>
      </c>
      <c r="E1861" s="7">
        <v>1</v>
      </c>
      <c r="F1861">
        <v>558</v>
      </c>
      <c r="G1861">
        <v>77</v>
      </c>
      <c r="H1861">
        <v>13.77</v>
      </c>
      <c r="I1861">
        <v>61</v>
      </c>
      <c r="J1861">
        <v>10.98</v>
      </c>
      <c r="K1861">
        <v>501</v>
      </c>
      <c r="L1861">
        <v>84</v>
      </c>
      <c r="M1861">
        <v>417</v>
      </c>
      <c r="N1861">
        <v>144.80000000000001</v>
      </c>
      <c r="O1861">
        <v>22.35</v>
      </c>
      <c r="P1861">
        <v>7.48</v>
      </c>
      <c r="Q1861">
        <v>1.78</v>
      </c>
      <c r="R1861">
        <v>0.82</v>
      </c>
      <c r="S1861">
        <v>248</v>
      </c>
      <c r="T1861">
        <v>1040</v>
      </c>
      <c r="U1861">
        <v>2263</v>
      </c>
      <c r="V1861">
        <v>103</v>
      </c>
      <c r="W1861">
        <v>7.18</v>
      </c>
      <c r="X1861" s="10">
        <v>0.23435504455014902</v>
      </c>
      <c r="Y1861" s="9">
        <v>2220</v>
      </c>
      <c r="Z1861" s="9">
        <v>1665</v>
      </c>
      <c r="AA1861" s="9">
        <v>2220</v>
      </c>
      <c r="AB1861">
        <v>1</v>
      </c>
      <c r="AC1861" s="11">
        <v>3.0693248124479027</v>
      </c>
      <c r="AD1861" s="9">
        <v>1883.9689265536722</v>
      </c>
      <c r="AE1861" s="8">
        <v>0.32537313432835818</v>
      </c>
    </row>
    <row r="1862" spans="1:31" x14ac:dyDescent="0.35">
      <c r="A1862" s="6" t="s">
        <v>1883</v>
      </c>
      <c r="B1862" s="7">
        <v>4</v>
      </c>
      <c r="C1862" s="7">
        <v>0</v>
      </c>
      <c r="D1862" s="7">
        <v>5</v>
      </c>
      <c r="E1862" s="7">
        <v>9</v>
      </c>
      <c r="F1862">
        <v>9215</v>
      </c>
      <c r="G1862">
        <v>478</v>
      </c>
      <c r="H1862">
        <v>5.19</v>
      </c>
      <c r="I1862">
        <v>203</v>
      </c>
      <c r="J1862">
        <v>2.21</v>
      </c>
      <c r="K1862">
        <v>7210</v>
      </c>
      <c r="L1862">
        <v>2987</v>
      </c>
      <c r="M1862">
        <v>4223</v>
      </c>
      <c r="N1862">
        <v>457.01</v>
      </c>
      <c r="O1862">
        <v>4.91</v>
      </c>
      <c r="P1862">
        <v>39.549999999999997</v>
      </c>
      <c r="Q1862">
        <v>2.13</v>
      </c>
      <c r="R1862">
        <v>0.87</v>
      </c>
      <c r="S1862">
        <v>134</v>
      </c>
      <c r="T1862">
        <v>2488</v>
      </c>
      <c r="U1862">
        <v>6071</v>
      </c>
      <c r="V1862">
        <v>864</v>
      </c>
      <c r="W1862">
        <v>9.33</v>
      </c>
      <c r="X1862" s="10">
        <v>0.36972981786018627</v>
      </c>
      <c r="Y1862" s="9">
        <v>6160</v>
      </c>
      <c r="Z1862" s="9">
        <v>5130</v>
      </c>
      <c r="AA1862" s="9">
        <v>5590</v>
      </c>
      <c r="AB1862">
        <v>0.44660194174757284</v>
      </c>
      <c r="AC1862" s="11">
        <v>9.667129758266185</v>
      </c>
      <c r="AD1862" s="9">
        <v>5359.1525423728817</v>
      </c>
      <c r="AE1862" s="8">
        <v>6.4761904761904757E-2</v>
      </c>
    </row>
    <row r="1863" spans="1:31" x14ac:dyDescent="0.35">
      <c r="A1863" s="6" t="s">
        <v>1884</v>
      </c>
      <c r="B1863" s="7">
        <v>7</v>
      </c>
      <c r="C1863" s="7">
        <v>0</v>
      </c>
      <c r="D1863" s="7">
        <v>0</v>
      </c>
      <c r="E1863" s="7">
        <v>11</v>
      </c>
      <c r="F1863">
        <v>8020</v>
      </c>
      <c r="G1863">
        <v>85</v>
      </c>
      <c r="H1863">
        <v>1.06</v>
      </c>
      <c r="I1863">
        <v>-19</v>
      </c>
      <c r="J1863">
        <v>-0.23</v>
      </c>
      <c r="K1863">
        <v>4238</v>
      </c>
      <c r="L1863">
        <v>2574</v>
      </c>
      <c r="M1863">
        <v>1665</v>
      </c>
      <c r="N1863">
        <v>454.89</v>
      </c>
      <c r="O1863">
        <v>-1.1200000000000001</v>
      </c>
      <c r="P1863">
        <v>0</v>
      </c>
      <c r="Q1863">
        <v>0.5</v>
      </c>
      <c r="R1863">
        <v>0.1</v>
      </c>
      <c r="S1863">
        <v>-313</v>
      </c>
      <c r="T1863">
        <v>26707</v>
      </c>
      <c r="U1863">
        <v>133664</v>
      </c>
      <c r="V1863">
        <v>268</v>
      </c>
      <c r="W1863">
        <v>8.1199999999999992</v>
      </c>
      <c r="X1863" s="10">
        <v>0.84575140499350698</v>
      </c>
      <c r="Y1863" s="9">
        <v>14700</v>
      </c>
      <c r="Z1863" s="9">
        <v>13100</v>
      </c>
      <c r="AA1863" s="9">
        <v>14700</v>
      </c>
      <c r="AB1863">
        <v>1</v>
      </c>
      <c r="AC1863" s="11">
        <v>24.98471797721589</v>
      </c>
      <c r="AD1863" s="9">
        <v>13266.29943502825</v>
      </c>
      <c r="AE1863" s="8">
        <v>9.2936802973977689E-2</v>
      </c>
    </row>
    <row r="1864" spans="1:31" x14ac:dyDescent="0.35">
      <c r="A1864" s="6" t="s">
        <v>1885</v>
      </c>
      <c r="B1864" s="7">
        <v>0</v>
      </c>
      <c r="C1864" s="7">
        <v>1</v>
      </c>
      <c r="D1864" s="7">
        <v>5</v>
      </c>
      <c r="E1864" s="7">
        <v>12</v>
      </c>
      <c r="F1864">
        <v>4322</v>
      </c>
      <c r="G1864">
        <v>-171</v>
      </c>
      <c r="H1864">
        <v>-3.96</v>
      </c>
      <c r="I1864">
        <v>-1005</v>
      </c>
      <c r="J1864">
        <v>-23.25</v>
      </c>
      <c r="K1864">
        <v>2237</v>
      </c>
      <c r="L1864">
        <v>1742</v>
      </c>
      <c r="M1864">
        <v>495</v>
      </c>
      <c r="N1864">
        <v>137.69999999999999</v>
      </c>
      <c r="O1864">
        <v>-99.18</v>
      </c>
      <c r="P1864">
        <v>0</v>
      </c>
      <c r="Q1864">
        <v>2.57</v>
      </c>
      <c r="R1864">
        <v>0.28000000000000003</v>
      </c>
      <c r="S1864">
        <v>-2414</v>
      </c>
      <c r="T1864">
        <v>1130</v>
      </c>
      <c r="U1864">
        <v>10380</v>
      </c>
      <c r="V1864">
        <v>-126</v>
      </c>
      <c r="W1864">
        <v>-16.59</v>
      </c>
      <c r="X1864" s="10">
        <v>0.32350797290706884</v>
      </c>
      <c r="Y1864" s="9">
        <v>3110</v>
      </c>
      <c r="Z1864" s="9">
        <v>2460</v>
      </c>
      <c r="AA1864" s="9">
        <v>2615</v>
      </c>
      <c r="AB1864">
        <v>0.23846153846153847</v>
      </c>
      <c r="AC1864" s="11">
        <v>-4.4449847179772153</v>
      </c>
      <c r="AD1864" s="9">
        <v>2912.9887005649716</v>
      </c>
      <c r="AE1864" s="8">
        <v>-8.5664335664335664E-2</v>
      </c>
    </row>
    <row r="1865" spans="1:31" x14ac:dyDescent="0.35">
      <c r="A1865" s="6" t="s">
        <v>1886</v>
      </c>
      <c r="B1865" s="7">
        <v>5</v>
      </c>
      <c r="C1865" s="7">
        <v>10</v>
      </c>
      <c r="D1865" s="7">
        <v>2</v>
      </c>
      <c r="E1865" s="7">
        <v>1</v>
      </c>
      <c r="F1865">
        <v>13306</v>
      </c>
      <c r="G1865">
        <v>882</v>
      </c>
      <c r="H1865">
        <v>6.63</v>
      </c>
      <c r="I1865">
        <v>705</v>
      </c>
      <c r="J1865">
        <v>5.3</v>
      </c>
      <c r="K1865">
        <v>6474</v>
      </c>
      <c r="L1865">
        <v>1400</v>
      </c>
      <c r="M1865">
        <v>5074</v>
      </c>
      <c r="N1865">
        <v>1618.12</v>
      </c>
      <c r="O1865">
        <v>14.75</v>
      </c>
      <c r="P1865">
        <v>11.73</v>
      </c>
      <c r="Q1865">
        <v>1.66</v>
      </c>
      <c r="R1865">
        <v>0.62</v>
      </c>
      <c r="S1865">
        <v>11942</v>
      </c>
      <c r="T1865">
        <v>84179</v>
      </c>
      <c r="U1865">
        <v>225252</v>
      </c>
      <c r="V1865">
        <v>1017</v>
      </c>
      <c r="W1865">
        <v>8.14</v>
      </c>
      <c r="X1865" s="10">
        <v>0.1202233339862156</v>
      </c>
      <c r="Y1865" s="9">
        <v>148400</v>
      </c>
      <c r="Z1865" s="9">
        <v>130100</v>
      </c>
      <c r="AA1865" s="9">
        <v>138800</v>
      </c>
      <c r="AB1865">
        <v>0.47540983606557374</v>
      </c>
      <c r="AC1865" s="11">
        <v>81.308696860238953</v>
      </c>
      <c r="AD1865" s="9">
        <v>135765.08474576272</v>
      </c>
      <c r="AE1865" s="8">
        <v>-8.5714285714285719E-3</v>
      </c>
    </row>
    <row r="1866" spans="1:31" x14ac:dyDescent="0.35">
      <c r="A1866" s="6" t="s">
        <v>1887</v>
      </c>
      <c r="B1866" s="7">
        <v>1</v>
      </c>
      <c r="C1866" s="7">
        <v>2</v>
      </c>
      <c r="D1866" s="7">
        <v>2</v>
      </c>
      <c r="E1866" s="7">
        <v>13</v>
      </c>
      <c r="F1866">
        <v>6186</v>
      </c>
      <c r="G1866">
        <v>-1884</v>
      </c>
      <c r="H1866">
        <v>-30.46</v>
      </c>
      <c r="I1866">
        <v>-2792</v>
      </c>
      <c r="J1866">
        <v>-45.14</v>
      </c>
      <c r="K1866">
        <v>7458</v>
      </c>
      <c r="L1866">
        <v>5299</v>
      </c>
      <c r="M1866">
        <v>2159</v>
      </c>
      <c r="N1866">
        <v>138.41</v>
      </c>
      <c r="O1866">
        <v>-159.19</v>
      </c>
      <c r="P1866">
        <v>0</v>
      </c>
      <c r="Q1866">
        <v>2.7</v>
      </c>
      <c r="R1866">
        <v>0.39</v>
      </c>
      <c r="S1866">
        <v>-3533</v>
      </c>
      <c r="T1866">
        <v>1129</v>
      </c>
      <c r="U1866">
        <v>7826</v>
      </c>
      <c r="V1866">
        <v>-1709</v>
      </c>
      <c r="W1866">
        <v>-3.25</v>
      </c>
      <c r="X1866" s="10">
        <v>0.41274565891759102</v>
      </c>
      <c r="Y1866" s="9">
        <v>4145</v>
      </c>
      <c r="Z1866" s="9">
        <v>3045</v>
      </c>
      <c r="AA1866" s="9">
        <v>3850</v>
      </c>
      <c r="AB1866">
        <v>0.73181818181818181</v>
      </c>
      <c r="AC1866" s="11">
        <v>10.632953598221732</v>
      </c>
      <c r="AD1866" s="9">
        <v>3256.5282485875705</v>
      </c>
      <c r="AE1866" s="8">
        <v>0.19751166407465007</v>
      </c>
    </row>
    <row r="1867" spans="1:31" x14ac:dyDescent="0.35">
      <c r="A1867" s="6" t="s">
        <v>1888</v>
      </c>
      <c r="B1867" s="7">
        <v>3</v>
      </c>
      <c r="C1867" s="7">
        <v>1</v>
      </c>
      <c r="D1867" s="7">
        <v>4</v>
      </c>
      <c r="E1867" s="7">
        <v>10</v>
      </c>
      <c r="F1867">
        <v>23</v>
      </c>
      <c r="G1867">
        <v>6</v>
      </c>
      <c r="H1867">
        <v>27.43</v>
      </c>
      <c r="I1867">
        <v>7</v>
      </c>
      <c r="J1867">
        <v>32.520000000000003</v>
      </c>
      <c r="K1867">
        <v>251</v>
      </c>
      <c r="L1867">
        <v>9</v>
      </c>
      <c r="M1867">
        <v>242</v>
      </c>
      <c r="N1867">
        <v>891.45</v>
      </c>
      <c r="O1867">
        <v>12.56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 s="10">
        <v>0.37890222512850025</v>
      </c>
      <c r="Y1867" s="9">
        <v>16000</v>
      </c>
      <c r="Z1867" s="9">
        <v>11300</v>
      </c>
      <c r="AA1867" s="9">
        <v>11750</v>
      </c>
      <c r="AB1867">
        <v>9.5744680851063829E-2</v>
      </c>
      <c r="AC1867" s="11">
        <v>-61.868743047830925</v>
      </c>
      <c r="AD1867" s="9">
        <v>15078.36114200964</v>
      </c>
      <c r="AE1867" s="8">
        <v>0</v>
      </c>
    </row>
    <row r="1868" spans="1:31" x14ac:dyDescent="0.35">
      <c r="A1868" s="6" t="s">
        <v>1889</v>
      </c>
      <c r="B1868" s="7">
        <v>1</v>
      </c>
      <c r="C1868" s="7">
        <v>3</v>
      </c>
      <c r="D1868" s="7">
        <v>0</v>
      </c>
      <c r="E1868" s="7">
        <v>14</v>
      </c>
      <c r="F1868">
        <v>60</v>
      </c>
      <c r="G1868">
        <v>-28</v>
      </c>
      <c r="H1868">
        <v>-46.74</v>
      </c>
      <c r="I1868">
        <v>-58</v>
      </c>
      <c r="J1868">
        <v>-95.45</v>
      </c>
      <c r="K1868">
        <v>122</v>
      </c>
      <c r="L1868">
        <v>42</v>
      </c>
      <c r="M1868">
        <v>80</v>
      </c>
      <c r="N1868">
        <v>64.45</v>
      </c>
      <c r="O1868">
        <v>-79.84</v>
      </c>
      <c r="P1868">
        <v>0</v>
      </c>
      <c r="Q1868">
        <v>4.99</v>
      </c>
      <c r="R1868">
        <v>5.54</v>
      </c>
      <c r="S1868">
        <v>-667</v>
      </c>
      <c r="T1868">
        <v>775</v>
      </c>
      <c r="U1868">
        <v>698</v>
      </c>
      <c r="V1868">
        <v>-26</v>
      </c>
      <c r="W1868">
        <v>-14.88</v>
      </c>
      <c r="X1868" s="10">
        <v>2.2100068612427276E-2</v>
      </c>
      <c r="Y1868" s="9">
        <v>4675</v>
      </c>
      <c r="Z1868" s="9">
        <v>3640</v>
      </c>
      <c r="AA1868" s="9">
        <v>4115</v>
      </c>
      <c r="AB1868">
        <v>0.45893719806763283</v>
      </c>
      <c r="AC1868" s="11">
        <v>1.6044734648513477</v>
      </c>
      <c r="AD1868" s="9">
        <v>3842.4802259887006</v>
      </c>
      <c r="AE1868" s="8">
        <v>6.4683053040103494E-2</v>
      </c>
    </row>
    <row r="1869" spans="1:31" x14ac:dyDescent="0.35">
      <c r="A1869" s="6" t="s">
        <v>1890</v>
      </c>
      <c r="B1869" s="7">
        <v>2</v>
      </c>
      <c r="C1869" s="7">
        <v>3</v>
      </c>
      <c r="D1869" s="7">
        <v>0</v>
      </c>
      <c r="E1869" s="7">
        <v>13</v>
      </c>
      <c r="F1869">
        <v>99</v>
      </c>
      <c r="G1869">
        <v>-51</v>
      </c>
      <c r="H1869">
        <v>-51.4</v>
      </c>
      <c r="I1869">
        <v>-60</v>
      </c>
      <c r="J1869">
        <v>-60.89</v>
      </c>
      <c r="K1869">
        <v>362</v>
      </c>
      <c r="L1869">
        <v>119</v>
      </c>
      <c r="M1869">
        <v>243</v>
      </c>
      <c r="N1869">
        <v>391.4</v>
      </c>
      <c r="O1869">
        <v>-41.24</v>
      </c>
      <c r="P1869">
        <v>0</v>
      </c>
      <c r="Q1869">
        <v>5.04</v>
      </c>
      <c r="R1869">
        <v>4.74</v>
      </c>
      <c r="S1869">
        <v>-1439</v>
      </c>
      <c r="T1869">
        <v>2224</v>
      </c>
      <c r="U1869">
        <v>2361</v>
      </c>
      <c r="V1869">
        <v>-56</v>
      </c>
      <c r="W1869">
        <v>-19.739999999999998</v>
      </c>
      <c r="X1869" s="10">
        <v>0.16224263849661935</v>
      </c>
      <c r="Y1869" s="9">
        <v>8110</v>
      </c>
      <c r="Z1869" s="9">
        <v>4695</v>
      </c>
      <c r="AA1869" s="9">
        <v>7880</v>
      </c>
      <c r="AB1869">
        <v>0.93265007320644222</v>
      </c>
      <c r="AC1869" s="11">
        <v>26.11558766323979</v>
      </c>
      <c r="AD1869" s="9">
        <v>5213.9745762711864</v>
      </c>
      <c r="AE1869" s="8">
        <v>0.2709677419354839</v>
      </c>
    </row>
    <row r="1870" spans="1:31" x14ac:dyDescent="0.35">
      <c r="A1870" s="6" t="s">
        <v>1891</v>
      </c>
      <c r="B1870" s="7">
        <v>10</v>
      </c>
      <c r="C1870" s="7">
        <v>1</v>
      </c>
      <c r="D1870" s="7">
        <v>4</v>
      </c>
      <c r="E1870" s="7">
        <v>3</v>
      </c>
      <c r="F1870">
        <v>33</v>
      </c>
      <c r="G1870">
        <v>-1</v>
      </c>
      <c r="H1870">
        <v>-2.14</v>
      </c>
      <c r="I1870">
        <v>-3</v>
      </c>
      <c r="J1870">
        <v>-10.44</v>
      </c>
      <c r="K1870">
        <v>219</v>
      </c>
      <c r="L1870">
        <v>34</v>
      </c>
      <c r="M1870">
        <v>184</v>
      </c>
      <c r="N1870">
        <v>99.88</v>
      </c>
      <c r="O1870">
        <v>-7.65</v>
      </c>
      <c r="P1870">
        <v>0</v>
      </c>
      <c r="Q1870">
        <v>4.24</v>
      </c>
      <c r="R1870">
        <v>5.18</v>
      </c>
      <c r="S1870">
        <v>-76</v>
      </c>
      <c r="T1870">
        <v>905</v>
      </c>
      <c r="U1870">
        <v>740</v>
      </c>
      <c r="V1870">
        <v>0</v>
      </c>
      <c r="W1870">
        <v>-9155.7800000000007</v>
      </c>
      <c r="X1870" s="10">
        <v>0.19318053478854999</v>
      </c>
      <c r="Y1870" s="9">
        <v>2595</v>
      </c>
      <c r="Z1870" s="9">
        <v>1730</v>
      </c>
      <c r="AA1870" s="9">
        <v>2090</v>
      </c>
      <c r="AB1870">
        <v>0.41618497109826591</v>
      </c>
      <c r="AC1870" s="11">
        <v>-5.3282856348985828</v>
      </c>
      <c r="AD1870" s="9">
        <v>2287.2627118644068</v>
      </c>
      <c r="AE1870" s="8">
        <v>-8.3333333333333329E-2</v>
      </c>
    </row>
    <row r="1871" spans="1:31" x14ac:dyDescent="0.35">
      <c r="A1871" s="6" t="s">
        <v>1892</v>
      </c>
      <c r="B1871" s="7">
        <v>2</v>
      </c>
      <c r="C1871" s="7">
        <v>3</v>
      </c>
      <c r="D1871" s="7">
        <v>2</v>
      </c>
      <c r="E1871" s="7">
        <v>11</v>
      </c>
      <c r="F1871">
        <v>424</v>
      </c>
      <c r="G1871">
        <v>2</v>
      </c>
      <c r="H1871">
        <v>0.53</v>
      </c>
      <c r="I1871">
        <v>-2</v>
      </c>
      <c r="J1871">
        <v>-0.56999999999999995</v>
      </c>
      <c r="K1871">
        <v>817</v>
      </c>
      <c r="L1871">
        <v>404</v>
      </c>
      <c r="M1871">
        <v>413</v>
      </c>
      <c r="N1871">
        <v>933.19</v>
      </c>
      <c r="O1871">
        <v>-0.78</v>
      </c>
      <c r="P1871">
        <v>0</v>
      </c>
      <c r="Q1871">
        <v>0.51</v>
      </c>
      <c r="R1871">
        <v>0.36</v>
      </c>
      <c r="S1871">
        <v>-40</v>
      </c>
      <c r="T1871">
        <v>5053</v>
      </c>
      <c r="U1871">
        <v>7065</v>
      </c>
      <c r="V1871">
        <v>25</v>
      </c>
      <c r="W1871">
        <v>19.79</v>
      </c>
      <c r="X1871" s="10">
        <v>0.35065580729063994</v>
      </c>
      <c r="Y1871" s="9">
        <v>3800</v>
      </c>
      <c r="Z1871" s="9">
        <v>2655</v>
      </c>
      <c r="AA1871" s="9">
        <v>3310</v>
      </c>
      <c r="AB1871">
        <v>0.57205240174672489</v>
      </c>
      <c r="AC1871" s="11">
        <v>9.890247290914143</v>
      </c>
      <c r="AD1871" s="9">
        <v>2937.8474576271187</v>
      </c>
      <c r="AE1871" s="8">
        <v>0.19279279279279279</v>
      </c>
    </row>
    <row r="1872" spans="1:31" x14ac:dyDescent="0.35">
      <c r="A1872" s="6" t="s">
        <v>1893</v>
      </c>
      <c r="B1872" s="7">
        <v>1</v>
      </c>
      <c r="C1872" s="7">
        <v>0</v>
      </c>
      <c r="D1872" s="7">
        <v>7</v>
      </c>
      <c r="E1872" s="7">
        <v>10</v>
      </c>
      <c r="F1872">
        <v>124</v>
      </c>
      <c r="G1872">
        <v>-13</v>
      </c>
      <c r="H1872">
        <v>-10.3</v>
      </c>
      <c r="I1872">
        <v>-7</v>
      </c>
      <c r="J1872">
        <v>-5.57</v>
      </c>
      <c r="K1872">
        <v>313</v>
      </c>
      <c r="L1872">
        <v>78</v>
      </c>
      <c r="M1872">
        <v>235</v>
      </c>
      <c r="N1872">
        <v>1299.1099999999999</v>
      </c>
      <c r="O1872">
        <v>-3.83</v>
      </c>
      <c r="P1872">
        <v>0</v>
      </c>
      <c r="Q1872">
        <v>0.79</v>
      </c>
      <c r="R1872">
        <v>0.81</v>
      </c>
      <c r="S1872">
        <v>-296</v>
      </c>
      <c r="T1872">
        <v>5453</v>
      </c>
      <c r="U1872">
        <v>5320</v>
      </c>
      <c r="V1872">
        <v>-10</v>
      </c>
      <c r="W1872">
        <v>-17.82</v>
      </c>
      <c r="X1872" s="10">
        <v>0.70281457967266292</v>
      </c>
      <c r="Y1872" s="9">
        <v>5120</v>
      </c>
      <c r="Z1872" s="9">
        <v>3445</v>
      </c>
      <c r="AA1872" s="9">
        <v>4420</v>
      </c>
      <c r="AB1872">
        <v>0.58208955223880599</v>
      </c>
      <c r="AC1872" s="11">
        <v>17.900527924423454</v>
      </c>
      <c r="AD1872" s="9">
        <v>3478.3672316384182</v>
      </c>
      <c r="AE1872" s="8">
        <v>0.1421188630490956</v>
      </c>
    </row>
    <row r="1873" spans="1:31" x14ac:dyDescent="0.35">
      <c r="A1873" s="6" t="s">
        <v>1894</v>
      </c>
      <c r="B1873" s="7">
        <v>9</v>
      </c>
      <c r="C1873" s="7">
        <v>2</v>
      </c>
      <c r="D1873" s="7">
        <v>2</v>
      </c>
      <c r="E1873" s="7">
        <v>5</v>
      </c>
      <c r="F1873">
        <v>431</v>
      </c>
      <c r="G1873">
        <v>225</v>
      </c>
      <c r="H1873">
        <v>52.31</v>
      </c>
      <c r="I1873">
        <v>184</v>
      </c>
      <c r="J1873">
        <v>42.82</v>
      </c>
      <c r="K1873">
        <v>9138</v>
      </c>
      <c r="L1873">
        <v>7398</v>
      </c>
      <c r="M1873">
        <v>1739</v>
      </c>
      <c r="N1873">
        <v>1107.67</v>
      </c>
      <c r="O1873">
        <v>22.39</v>
      </c>
      <c r="P1873">
        <v>1.17</v>
      </c>
      <c r="Q1873">
        <v>0.31</v>
      </c>
      <c r="R1873">
        <v>0.5</v>
      </c>
      <c r="S1873">
        <v>3070</v>
      </c>
      <c r="T1873">
        <v>11526</v>
      </c>
      <c r="U1873">
        <v>7172</v>
      </c>
      <c r="V1873">
        <v>0</v>
      </c>
      <c r="W1873">
        <v>0</v>
      </c>
      <c r="X1873" s="10">
        <v>0.73474691872050035</v>
      </c>
      <c r="Y1873" s="9">
        <v>6000</v>
      </c>
      <c r="Z1873" s="9">
        <v>3590</v>
      </c>
      <c r="AA1873" s="9">
        <v>5930</v>
      </c>
      <c r="AB1873">
        <v>0.97095435684647302</v>
      </c>
      <c r="AC1873" s="11">
        <v>33.290358432898017</v>
      </c>
      <c r="AD1873" s="9">
        <v>3583.9774011299432</v>
      </c>
      <c r="AE1873" s="8">
        <v>0.65181058495821731</v>
      </c>
    </row>
    <row r="1874" spans="1:31" x14ac:dyDescent="0.35">
      <c r="A1874" s="6" t="s">
        <v>1895</v>
      </c>
      <c r="B1874" s="7">
        <v>8</v>
      </c>
      <c r="C1874" s="7">
        <v>8</v>
      </c>
      <c r="D1874" s="7">
        <v>2</v>
      </c>
      <c r="E1874" s="7">
        <v>0</v>
      </c>
      <c r="F1874">
        <v>740</v>
      </c>
      <c r="G1874">
        <v>320</v>
      </c>
      <c r="H1874">
        <v>43.3</v>
      </c>
      <c r="I1874">
        <v>619</v>
      </c>
      <c r="J1874">
        <v>83.68</v>
      </c>
      <c r="K1874">
        <v>3894</v>
      </c>
      <c r="L1874">
        <v>1747</v>
      </c>
      <c r="M1874">
        <v>2147</v>
      </c>
      <c r="N1874">
        <v>1049.6400000000001</v>
      </c>
      <c r="O1874">
        <v>33.44</v>
      </c>
      <c r="P1874">
        <v>6.66</v>
      </c>
      <c r="Q1874">
        <v>2.0099999999999998</v>
      </c>
      <c r="R1874">
        <v>5.58</v>
      </c>
      <c r="S1874">
        <v>16660</v>
      </c>
      <c r="T1874">
        <v>55360</v>
      </c>
      <c r="U1874">
        <v>19909</v>
      </c>
      <c r="V1874">
        <v>351</v>
      </c>
      <c r="W1874">
        <v>15.68</v>
      </c>
      <c r="X1874" s="10">
        <v>0.60743542710948872</v>
      </c>
      <c r="Y1874" s="9">
        <v>153000</v>
      </c>
      <c r="Z1874" s="9">
        <v>100000</v>
      </c>
      <c r="AA1874" s="9">
        <v>131500</v>
      </c>
      <c r="AB1874">
        <v>0.59433962264150941</v>
      </c>
      <c r="AC1874" s="11">
        <v>690.12225618227296</v>
      </c>
      <c r="AD1874" s="9">
        <v>106942.93785310735</v>
      </c>
      <c r="AE1874" s="8">
        <v>0.17410714285714285</v>
      </c>
    </row>
    <row r="1875" spans="1:31" x14ac:dyDescent="0.35">
      <c r="A1875" s="6" t="s">
        <v>1896</v>
      </c>
      <c r="B1875" s="7">
        <v>7</v>
      </c>
      <c r="C1875" s="7">
        <v>0</v>
      </c>
      <c r="D1875" s="7">
        <v>6</v>
      </c>
      <c r="E1875" s="7">
        <v>5</v>
      </c>
      <c r="F1875">
        <v>210</v>
      </c>
      <c r="G1875">
        <v>3</v>
      </c>
      <c r="H1875">
        <v>1.35</v>
      </c>
      <c r="I1875">
        <v>9</v>
      </c>
      <c r="J1875">
        <v>4.08</v>
      </c>
      <c r="K1875">
        <v>893</v>
      </c>
      <c r="L1875">
        <v>330</v>
      </c>
      <c r="M1875">
        <v>563</v>
      </c>
      <c r="N1875">
        <v>1059.28</v>
      </c>
      <c r="O1875">
        <v>6.09</v>
      </c>
      <c r="P1875">
        <v>7.89</v>
      </c>
      <c r="Q1875">
        <v>0.5</v>
      </c>
      <c r="R1875">
        <v>0.32</v>
      </c>
      <c r="S1875">
        <v>356</v>
      </c>
      <c r="T1875">
        <v>5604</v>
      </c>
      <c r="U1875">
        <v>8760</v>
      </c>
      <c r="V1875">
        <v>49</v>
      </c>
      <c r="W1875">
        <v>8.1300000000000008</v>
      </c>
      <c r="X1875" s="10">
        <v>0.5071356237153084</v>
      </c>
      <c r="Y1875" s="9">
        <v>3190</v>
      </c>
      <c r="Z1875" s="9">
        <v>2570</v>
      </c>
      <c r="AA1875" s="9">
        <v>2895</v>
      </c>
      <c r="AB1875">
        <v>0.52419354838709675</v>
      </c>
      <c r="AC1875" s="11">
        <v>7.9508196721311473</v>
      </c>
      <c r="AD1875" s="9">
        <v>2654</v>
      </c>
      <c r="AE1875" s="8">
        <v>-3.5000000000000003E-2</v>
      </c>
    </row>
    <row r="1876" spans="1:31" x14ac:dyDescent="0.35">
      <c r="A1876" s="6" t="s">
        <v>1897</v>
      </c>
      <c r="B1876" s="7">
        <v>8</v>
      </c>
      <c r="C1876" s="7">
        <v>2</v>
      </c>
      <c r="D1876" s="7">
        <v>8</v>
      </c>
      <c r="E1876" s="7">
        <v>0</v>
      </c>
      <c r="F1876">
        <v>511</v>
      </c>
      <c r="G1876">
        <v>59</v>
      </c>
      <c r="H1876">
        <v>11.48</v>
      </c>
      <c r="I1876">
        <v>47</v>
      </c>
      <c r="J1876">
        <v>9.25</v>
      </c>
      <c r="K1876">
        <v>942</v>
      </c>
      <c r="L1876">
        <v>70</v>
      </c>
      <c r="M1876">
        <v>872</v>
      </c>
      <c r="N1876">
        <v>1976.76</v>
      </c>
      <c r="O1876">
        <v>5.5</v>
      </c>
      <c r="P1876">
        <v>17.3</v>
      </c>
      <c r="Q1876">
        <v>0.99</v>
      </c>
      <c r="R1876">
        <v>1.6</v>
      </c>
      <c r="S1876">
        <v>563</v>
      </c>
      <c r="T1876">
        <v>9857</v>
      </c>
      <c r="U1876">
        <v>6084</v>
      </c>
      <c r="V1876">
        <v>84</v>
      </c>
      <c r="W1876">
        <v>9.7799999999999994</v>
      </c>
      <c r="X1876" s="10">
        <v>0.18476398300736582</v>
      </c>
      <c r="Y1876" s="9">
        <v>11800</v>
      </c>
      <c r="Z1876" s="9">
        <v>9150</v>
      </c>
      <c r="AA1876" s="9">
        <v>9940</v>
      </c>
      <c r="AB1876">
        <v>0.2981132075471698</v>
      </c>
      <c r="AC1876" s="11">
        <v>17.233676021116977</v>
      </c>
      <c r="AD1876" s="9">
        <v>9797.7062146892658</v>
      </c>
      <c r="AE1876" s="8">
        <v>2.1582733812949641E-2</v>
      </c>
    </row>
    <row r="1877" spans="1:31" x14ac:dyDescent="0.35">
      <c r="A1877" s="6" t="s">
        <v>1898</v>
      </c>
      <c r="B1877" s="7">
        <v>6</v>
      </c>
      <c r="C1877" s="7">
        <v>4</v>
      </c>
      <c r="D1877" s="7">
        <v>4</v>
      </c>
      <c r="E1877" s="7">
        <v>4</v>
      </c>
      <c r="F1877">
        <v>22434</v>
      </c>
      <c r="G1877">
        <v>1298</v>
      </c>
      <c r="H1877">
        <v>5.78</v>
      </c>
      <c r="I1877">
        <v>933</v>
      </c>
      <c r="J1877">
        <v>4.16</v>
      </c>
      <c r="K1877">
        <v>25066</v>
      </c>
      <c r="L1877">
        <v>13816</v>
      </c>
      <c r="M1877">
        <v>11250</v>
      </c>
      <c r="N1877">
        <v>702.99</v>
      </c>
      <c r="O1877">
        <v>8.56</v>
      </c>
      <c r="P1877">
        <v>7.52</v>
      </c>
      <c r="Q1877">
        <v>0.63</v>
      </c>
      <c r="R1877">
        <v>0.31</v>
      </c>
      <c r="S1877">
        <v>3331</v>
      </c>
      <c r="T1877">
        <v>39453</v>
      </c>
      <c r="U1877">
        <v>80084</v>
      </c>
      <c r="V1877">
        <v>1876</v>
      </c>
      <c r="W1877">
        <v>9.14</v>
      </c>
      <c r="X1877" s="10">
        <v>7.2027169071642527E-2</v>
      </c>
      <c r="Y1877" s="9">
        <v>25850</v>
      </c>
      <c r="Z1877" s="9">
        <v>22500</v>
      </c>
      <c r="AA1877" s="9">
        <v>24650</v>
      </c>
      <c r="AB1877">
        <v>0.64179104477611937</v>
      </c>
      <c r="AC1877" s="11">
        <v>14.473464851347597</v>
      </c>
      <c r="AD1877" s="9">
        <v>23778.5593220339</v>
      </c>
      <c r="AE1877" s="8">
        <v>-2.1825396825396824E-2</v>
      </c>
    </row>
    <row r="1878" spans="1:31" x14ac:dyDescent="0.35">
      <c r="A1878" s="6" t="s">
        <v>1899</v>
      </c>
      <c r="B1878" s="7">
        <v>10</v>
      </c>
      <c r="C1878" s="7">
        <v>5</v>
      </c>
      <c r="D1878" s="7">
        <v>2</v>
      </c>
      <c r="E1878" s="7">
        <v>1</v>
      </c>
      <c r="F1878">
        <v>1204</v>
      </c>
      <c r="G1878">
        <v>164</v>
      </c>
      <c r="H1878">
        <v>13.66</v>
      </c>
      <c r="I1878">
        <v>221</v>
      </c>
      <c r="J1878">
        <v>18.38</v>
      </c>
      <c r="K1878">
        <v>4772</v>
      </c>
      <c r="L1878">
        <v>510</v>
      </c>
      <c r="M1878">
        <v>4262</v>
      </c>
      <c r="N1878">
        <v>907.32</v>
      </c>
      <c r="O1878">
        <v>5.28</v>
      </c>
      <c r="P1878">
        <v>12.57</v>
      </c>
      <c r="Q1878">
        <v>0.79</v>
      </c>
      <c r="R1878">
        <v>2.31</v>
      </c>
      <c r="S1878">
        <v>3408</v>
      </c>
      <c r="T1878">
        <v>53979</v>
      </c>
      <c r="U1878">
        <v>18542</v>
      </c>
      <c r="V1878">
        <v>203</v>
      </c>
      <c r="W1878">
        <v>16.54</v>
      </c>
      <c r="X1878" s="10">
        <v>0.17794624571566589</v>
      </c>
      <c r="Y1878" s="9">
        <v>43500</v>
      </c>
      <c r="Z1878" s="9">
        <v>37500</v>
      </c>
      <c r="AA1878" s="9">
        <v>40450</v>
      </c>
      <c r="AB1878">
        <v>0.49166666666666664</v>
      </c>
      <c r="AC1878" s="11">
        <v>-35.080577938316203</v>
      </c>
      <c r="AD1878" s="9">
        <v>41600.790960451981</v>
      </c>
      <c r="AE1878" s="8">
        <v>-4.935370152761457E-2</v>
      </c>
    </row>
    <row r="1879" spans="1:31" x14ac:dyDescent="0.35">
      <c r="A1879" s="6" t="s">
        <v>1900</v>
      </c>
      <c r="B1879" s="7">
        <v>9</v>
      </c>
      <c r="C1879" s="7">
        <v>0</v>
      </c>
      <c r="D1879" s="7">
        <v>7</v>
      </c>
      <c r="E1879" s="7">
        <v>2</v>
      </c>
      <c r="F1879">
        <v>340</v>
      </c>
      <c r="G1879">
        <v>36</v>
      </c>
      <c r="H1879">
        <v>10.58</v>
      </c>
      <c r="I1879">
        <v>28</v>
      </c>
      <c r="J1879">
        <v>8.3800000000000008</v>
      </c>
      <c r="K1879">
        <v>340</v>
      </c>
      <c r="L1879">
        <v>123</v>
      </c>
      <c r="M1879">
        <v>217</v>
      </c>
      <c r="N1879">
        <v>631.57000000000005</v>
      </c>
      <c r="O1879">
        <v>14.02</v>
      </c>
      <c r="P1879">
        <v>6.68</v>
      </c>
      <c r="Q1879">
        <v>0.92</v>
      </c>
      <c r="R1879">
        <v>0.56000000000000005</v>
      </c>
      <c r="S1879">
        <v>484</v>
      </c>
      <c r="T1879">
        <v>3516</v>
      </c>
      <c r="U1879">
        <v>5773</v>
      </c>
      <c r="V1879">
        <v>46</v>
      </c>
      <c r="W1879">
        <v>5.69</v>
      </c>
      <c r="X1879" s="10">
        <v>0.90364670081068932</v>
      </c>
      <c r="Y1879" s="9">
        <v>4485</v>
      </c>
      <c r="Z1879" s="9">
        <v>3030</v>
      </c>
      <c r="AA1879" s="9">
        <v>4390</v>
      </c>
      <c r="AB1879">
        <v>0.93470790378006874</v>
      </c>
      <c r="AC1879" s="11">
        <v>24.047235343150874</v>
      </c>
      <c r="AD1879" s="9">
        <v>3088.7259887005648</v>
      </c>
      <c r="AE1879" s="8">
        <v>0.32628398791540786</v>
      </c>
    </row>
    <row r="1880" spans="1:31" x14ac:dyDescent="0.35">
      <c r="A1880" s="6" t="s">
        <v>1901</v>
      </c>
      <c r="B1880" s="7">
        <v>5</v>
      </c>
      <c r="C1880" s="7">
        <v>9</v>
      </c>
      <c r="D1880" s="7">
        <v>3</v>
      </c>
      <c r="E1880" s="7">
        <v>1</v>
      </c>
      <c r="F1880">
        <v>880</v>
      </c>
      <c r="G1880">
        <v>178</v>
      </c>
      <c r="H1880">
        <v>20.23</v>
      </c>
      <c r="I1880">
        <v>160</v>
      </c>
      <c r="J1880">
        <v>18.21</v>
      </c>
      <c r="K1880">
        <v>1242</v>
      </c>
      <c r="L1880">
        <v>223</v>
      </c>
      <c r="M1880">
        <v>1019</v>
      </c>
      <c r="N1880">
        <v>2170.62</v>
      </c>
      <c r="O1880">
        <v>16.989999999999998</v>
      </c>
      <c r="P1880">
        <v>4.7300000000000004</v>
      </c>
      <c r="Q1880">
        <v>0.79</v>
      </c>
      <c r="R1880">
        <v>0.86</v>
      </c>
      <c r="S1880">
        <v>1829</v>
      </c>
      <c r="T1880">
        <v>10950</v>
      </c>
      <c r="U1880">
        <v>10042</v>
      </c>
      <c r="V1880">
        <v>186</v>
      </c>
      <c r="W1880">
        <v>4.18</v>
      </c>
      <c r="X1880" s="10">
        <v>0.37581932549500652</v>
      </c>
      <c r="Y1880" s="9">
        <v>10600</v>
      </c>
      <c r="Z1880" s="9">
        <v>8530</v>
      </c>
      <c r="AA1880" s="9">
        <v>9600</v>
      </c>
      <c r="AB1880">
        <v>0.51690821256038644</v>
      </c>
      <c r="AC1880" s="11">
        <v>18.933314809669355</v>
      </c>
      <c r="AD1880" s="9">
        <v>9022.7005649717503</v>
      </c>
      <c r="AE1880" s="8">
        <v>9.9656357388316158E-2</v>
      </c>
    </row>
    <row r="1881" spans="1:31" x14ac:dyDescent="0.35">
      <c r="A1881" s="6" t="s">
        <v>1902</v>
      </c>
      <c r="B1881" s="7">
        <v>7</v>
      </c>
      <c r="C1881" s="7">
        <v>0</v>
      </c>
      <c r="D1881" s="7">
        <v>1</v>
      </c>
      <c r="E1881" s="7">
        <v>10</v>
      </c>
      <c r="F1881">
        <v>296</v>
      </c>
      <c r="G1881">
        <v>20</v>
      </c>
      <c r="H1881">
        <v>6.86</v>
      </c>
      <c r="I1881">
        <v>20</v>
      </c>
      <c r="J1881">
        <v>6.65</v>
      </c>
      <c r="K1881">
        <v>380</v>
      </c>
      <c r="L1881">
        <v>36</v>
      </c>
      <c r="M1881">
        <v>344</v>
      </c>
      <c r="N1881">
        <v>1135.06</v>
      </c>
      <c r="O1881">
        <v>5.86</v>
      </c>
      <c r="P1881">
        <v>8.3699999999999992</v>
      </c>
      <c r="Q1881">
        <v>0.61</v>
      </c>
      <c r="R1881">
        <v>0.56000000000000005</v>
      </c>
      <c r="S1881">
        <v>411</v>
      </c>
      <c r="T1881">
        <v>5674</v>
      </c>
      <c r="U1881">
        <v>6181</v>
      </c>
      <c r="V1881">
        <v>23</v>
      </c>
      <c r="W1881">
        <v>9.1</v>
      </c>
      <c r="X1881" s="10">
        <v>0.64218446418133568</v>
      </c>
      <c r="Y1881" s="9">
        <v>5300</v>
      </c>
      <c r="Z1881" s="9">
        <v>3380</v>
      </c>
      <c r="AA1881" s="9">
        <v>4360</v>
      </c>
      <c r="AB1881">
        <v>0.51041666666666663</v>
      </c>
      <c r="AC1881" s="11">
        <v>21.278966379549878</v>
      </c>
      <c r="AD1881" s="9">
        <v>3200.8248587570624</v>
      </c>
      <c r="AE1881" s="8">
        <v>0.28994082840236685</v>
      </c>
    </row>
    <row r="1882" spans="1:31" x14ac:dyDescent="0.35">
      <c r="A1882" s="6" t="s">
        <v>1903</v>
      </c>
      <c r="B1882" s="7">
        <v>1</v>
      </c>
      <c r="C1882" s="7">
        <v>2</v>
      </c>
      <c r="D1882" s="7">
        <v>6</v>
      </c>
      <c r="E1882" s="7">
        <v>9</v>
      </c>
      <c r="F1882">
        <v>59</v>
      </c>
      <c r="G1882">
        <v>-9</v>
      </c>
      <c r="H1882">
        <v>-14.94</v>
      </c>
      <c r="I1882">
        <v>-32</v>
      </c>
      <c r="J1882">
        <v>-53.79</v>
      </c>
      <c r="K1882">
        <v>67</v>
      </c>
      <c r="L1882">
        <v>26</v>
      </c>
      <c r="M1882">
        <v>41</v>
      </c>
      <c r="N1882">
        <v>-61.47</v>
      </c>
      <c r="O1882">
        <v>-74.739999999999995</v>
      </c>
      <c r="P1882">
        <v>0</v>
      </c>
      <c r="Q1882">
        <v>1.2</v>
      </c>
      <c r="R1882">
        <v>0.62</v>
      </c>
      <c r="S1882">
        <v>-200</v>
      </c>
      <c r="T1882">
        <v>192</v>
      </c>
      <c r="U1882">
        <v>372</v>
      </c>
      <c r="V1882">
        <v>30</v>
      </c>
      <c r="W1882">
        <v>2.06</v>
      </c>
      <c r="X1882" s="10">
        <v>0.41678243956654631</v>
      </c>
      <c r="Y1882" s="9">
        <v>920</v>
      </c>
      <c r="Z1882" s="9">
        <v>230</v>
      </c>
      <c r="AA1882" s="9">
        <v>920</v>
      </c>
      <c r="AB1882">
        <v>1</v>
      </c>
      <c r="AC1882" s="11">
        <v>9.585996110030564</v>
      </c>
      <c r="AD1882" s="9">
        <v>512.62711864406788</v>
      </c>
      <c r="AE1882" s="8">
        <v>3</v>
      </c>
    </row>
    <row r="1883" spans="1:31" x14ac:dyDescent="0.35">
      <c r="A1883" s="6" t="s">
        <v>1904</v>
      </c>
      <c r="B1883" s="7">
        <v>0</v>
      </c>
      <c r="C1883" s="7">
        <v>2</v>
      </c>
      <c r="D1883" s="7">
        <v>7</v>
      </c>
      <c r="E1883" s="7">
        <v>9</v>
      </c>
      <c r="F1883">
        <v>94</v>
      </c>
      <c r="G1883">
        <v>-4</v>
      </c>
      <c r="H1883">
        <v>-3.78</v>
      </c>
      <c r="I1883">
        <v>13</v>
      </c>
      <c r="J1883">
        <v>13.52</v>
      </c>
      <c r="K1883">
        <v>723</v>
      </c>
      <c r="L1883">
        <v>18</v>
      </c>
      <c r="M1883">
        <v>705</v>
      </c>
      <c r="N1883">
        <v>1590.79</v>
      </c>
      <c r="O1883">
        <v>2.37</v>
      </c>
      <c r="P1883">
        <v>32.76</v>
      </c>
      <c r="Q1883">
        <v>0.89</v>
      </c>
      <c r="R1883">
        <v>0</v>
      </c>
      <c r="S1883">
        <v>203</v>
      </c>
      <c r="T1883">
        <v>7473</v>
      </c>
      <c r="U1883">
        <v>0</v>
      </c>
      <c r="V1883">
        <v>12</v>
      </c>
      <c r="W1883">
        <v>50.19</v>
      </c>
      <c r="X1883" s="10">
        <v>5.4758928613043011E-2</v>
      </c>
      <c r="Y1883" s="9">
        <v>6350</v>
      </c>
      <c r="Z1883" s="9">
        <v>5790</v>
      </c>
      <c r="AA1883" s="9">
        <v>6310</v>
      </c>
      <c r="AB1883">
        <v>0.9285714285714286</v>
      </c>
      <c r="AC1883" s="11">
        <v>1.9849958321756043</v>
      </c>
      <c r="AD1883" s="9">
        <v>6005.4576271186443</v>
      </c>
      <c r="AE1883" s="8">
        <v>8.0479452054794523E-2</v>
      </c>
    </row>
    <row r="1884" spans="1:31" x14ac:dyDescent="0.35">
      <c r="A1884" s="6" t="s">
        <v>1905</v>
      </c>
      <c r="B1884" s="7">
        <v>7</v>
      </c>
      <c r="C1884" s="7">
        <v>8</v>
      </c>
      <c r="D1884" s="7">
        <v>1</v>
      </c>
      <c r="E1884" s="7">
        <v>2</v>
      </c>
      <c r="F1884">
        <v>79</v>
      </c>
      <c r="G1884">
        <v>5</v>
      </c>
      <c r="H1884">
        <v>6.53</v>
      </c>
      <c r="I1884">
        <v>21</v>
      </c>
      <c r="J1884">
        <v>26.2</v>
      </c>
      <c r="K1884">
        <v>749</v>
      </c>
      <c r="L1884">
        <v>709</v>
      </c>
      <c r="M1884">
        <v>40</v>
      </c>
      <c r="N1884">
        <v>181.3</v>
      </c>
      <c r="O1884">
        <v>63.8</v>
      </c>
      <c r="P1884">
        <v>6.77</v>
      </c>
      <c r="Q1884">
        <v>4.3899999999999997</v>
      </c>
      <c r="R1884">
        <v>1.76</v>
      </c>
      <c r="S1884">
        <v>824</v>
      </c>
      <c r="T1884">
        <v>1272</v>
      </c>
      <c r="U1884">
        <v>3167</v>
      </c>
      <c r="V1884">
        <v>10</v>
      </c>
      <c r="W1884">
        <v>16.170000000000002</v>
      </c>
      <c r="X1884" s="10">
        <v>0.80411238437346844</v>
      </c>
      <c r="Y1884" s="9">
        <v>11000</v>
      </c>
      <c r="Z1884" s="9">
        <v>5380</v>
      </c>
      <c r="AA1884" s="9">
        <v>9490</v>
      </c>
      <c r="AB1884">
        <v>0.73131672597864772</v>
      </c>
      <c r="AC1884" s="11">
        <v>72.80216726868575</v>
      </c>
      <c r="AD1884" s="9">
        <v>5663.7005649717521</v>
      </c>
      <c r="AE1884" s="8">
        <v>0.76394052044609662</v>
      </c>
    </row>
    <row r="1885" spans="1:31" x14ac:dyDescent="0.35">
      <c r="A1885" s="6" t="s">
        <v>1906</v>
      </c>
      <c r="B1885" s="7">
        <v>0</v>
      </c>
      <c r="C1885" s="7">
        <v>1</v>
      </c>
      <c r="D1885" s="7">
        <v>7</v>
      </c>
      <c r="E1885" s="7">
        <v>10</v>
      </c>
      <c r="F1885">
        <v>1401</v>
      </c>
      <c r="G1885">
        <v>-366</v>
      </c>
      <c r="H1885">
        <v>-26.12</v>
      </c>
      <c r="I1885">
        <v>-133</v>
      </c>
      <c r="J1885">
        <v>-9.4700000000000006</v>
      </c>
      <c r="K1885">
        <v>1780</v>
      </c>
      <c r="L1885">
        <v>864</v>
      </c>
      <c r="M1885">
        <v>915</v>
      </c>
      <c r="N1885">
        <v>1623.06</v>
      </c>
      <c r="O1885">
        <v>-13.62</v>
      </c>
      <c r="P1885">
        <v>0</v>
      </c>
      <c r="Q1885">
        <v>0.75</v>
      </c>
      <c r="R1885">
        <v>0.44</v>
      </c>
      <c r="S1885">
        <v>-1144</v>
      </c>
      <c r="T1885">
        <v>7184</v>
      </c>
      <c r="U1885">
        <v>12085</v>
      </c>
      <c r="V1885">
        <v>-277</v>
      </c>
      <c r="W1885">
        <v>-4.34</v>
      </c>
      <c r="X1885" s="10">
        <v>0.34460856583608784</v>
      </c>
      <c r="Y1885" s="9">
        <v>7550</v>
      </c>
      <c r="Z1885" s="9">
        <v>4900</v>
      </c>
      <c r="AA1885" s="9">
        <v>6340</v>
      </c>
      <c r="AB1885">
        <v>0.54339622641509433</v>
      </c>
      <c r="AC1885" s="11">
        <v>26.298833009169211</v>
      </c>
      <c r="AD1885" s="9">
        <v>5210.4689265536717</v>
      </c>
      <c r="AE1885" s="8">
        <v>0.19622641509433963</v>
      </c>
    </row>
    <row r="1886" spans="1:31" x14ac:dyDescent="0.35">
      <c r="A1886" s="6" t="s">
        <v>1907</v>
      </c>
      <c r="B1886" s="7">
        <v>4</v>
      </c>
      <c r="C1886" s="7">
        <v>2</v>
      </c>
      <c r="D1886" s="7">
        <v>10</v>
      </c>
      <c r="E1886" s="7">
        <v>2</v>
      </c>
      <c r="F1886">
        <v>781</v>
      </c>
      <c r="G1886">
        <v>25</v>
      </c>
      <c r="H1886">
        <v>3.14</v>
      </c>
      <c r="I1886">
        <v>10</v>
      </c>
      <c r="J1886">
        <v>1.28</v>
      </c>
      <c r="K1886">
        <v>696</v>
      </c>
      <c r="L1886">
        <v>332</v>
      </c>
      <c r="M1886">
        <v>364</v>
      </c>
      <c r="N1886">
        <v>299.45</v>
      </c>
      <c r="O1886">
        <v>2.79</v>
      </c>
      <c r="P1886">
        <v>34.64</v>
      </c>
      <c r="Q1886">
        <v>1.65</v>
      </c>
      <c r="R1886">
        <v>0.45</v>
      </c>
      <c r="S1886">
        <v>55</v>
      </c>
      <c r="T1886">
        <v>1152</v>
      </c>
      <c r="U1886">
        <v>4280</v>
      </c>
      <c r="V1886">
        <v>67</v>
      </c>
      <c r="W1886">
        <v>6.59</v>
      </c>
      <c r="X1886" s="10">
        <v>9.8425625016695202E-4</v>
      </c>
      <c r="Y1886" s="9">
        <v>2085</v>
      </c>
      <c r="Z1886" s="9">
        <v>1695</v>
      </c>
      <c r="AA1886" s="9">
        <v>2085</v>
      </c>
      <c r="AB1886">
        <v>1</v>
      </c>
      <c r="AC1886" s="11">
        <v>0.14017782717421501</v>
      </c>
      <c r="AD1886" s="9">
        <v>1883.8079096045196</v>
      </c>
      <c r="AE1886" s="8">
        <v>8.877284595300261E-2</v>
      </c>
    </row>
    <row r="1887" spans="1:31" x14ac:dyDescent="0.35">
      <c r="A1887" s="6" t="s">
        <v>1908</v>
      </c>
      <c r="B1887" s="7">
        <v>4</v>
      </c>
      <c r="C1887" s="7">
        <v>9</v>
      </c>
      <c r="D1887" s="7">
        <v>1</v>
      </c>
      <c r="E1887" s="7">
        <v>4</v>
      </c>
      <c r="F1887">
        <v>1741</v>
      </c>
      <c r="G1887">
        <v>4</v>
      </c>
      <c r="H1887">
        <v>0.23</v>
      </c>
      <c r="I1887">
        <v>-2</v>
      </c>
      <c r="J1887">
        <v>-0.11</v>
      </c>
      <c r="K1887">
        <v>480</v>
      </c>
      <c r="L1887">
        <v>252</v>
      </c>
      <c r="M1887">
        <v>228</v>
      </c>
      <c r="N1887">
        <v>558.04</v>
      </c>
      <c r="O1887">
        <v>-0.82</v>
      </c>
      <c r="P1887">
        <v>0</v>
      </c>
      <c r="Q1887">
        <v>1.03</v>
      </c>
      <c r="R1887">
        <v>0.13</v>
      </c>
      <c r="S1887">
        <v>-27</v>
      </c>
      <c r="T1887">
        <v>3241</v>
      </c>
      <c r="U1887">
        <v>25159</v>
      </c>
      <c r="V1887">
        <v>5</v>
      </c>
      <c r="W1887">
        <v>48.24</v>
      </c>
      <c r="X1887" s="10">
        <v>2.1506849338991465E-2</v>
      </c>
      <c r="Y1887" s="9">
        <v>3360</v>
      </c>
      <c r="Z1887" s="9">
        <v>2700</v>
      </c>
      <c r="AA1887" s="9">
        <v>3000</v>
      </c>
      <c r="AB1887">
        <v>0.45454545454545453</v>
      </c>
      <c r="AC1887" s="11">
        <v>-1.4484579049736035</v>
      </c>
      <c r="AD1887" s="9">
        <v>3044.5112994350284</v>
      </c>
      <c r="AE1887" s="8">
        <v>-8.5365853658536592E-2</v>
      </c>
    </row>
    <row r="1888" spans="1:31" x14ac:dyDescent="0.35">
      <c r="A1888" s="6" t="s">
        <v>1909</v>
      </c>
      <c r="B1888" s="7">
        <v>2</v>
      </c>
      <c r="C1888" s="7">
        <v>0</v>
      </c>
      <c r="D1888" s="7">
        <v>5</v>
      </c>
      <c r="E1888" s="7">
        <v>11</v>
      </c>
      <c r="F1888">
        <v>300</v>
      </c>
      <c r="G1888">
        <v>-9</v>
      </c>
      <c r="H1888">
        <v>-3.02</v>
      </c>
      <c r="I1888">
        <v>6</v>
      </c>
      <c r="J1888">
        <v>1.89</v>
      </c>
      <c r="K1888">
        <v>503</v>
      </c>
      <c r="L1888">
        <v>114</v>
      </c>
      <c r="M1888">
        <v>389</v>
      </c>
      <c r="N1888">
        <v>1012.41</v>
      </c>
      <c r="O1888">
        <v>1.46</v>
      </c>
      <c r="P1888">
        <v>58.56</v>
      </c>
      <c r="Q1888">
        <v>0.88</v>
      </c>
      <c r="R1888">
        <v>1.1100000000000001</v>
      </c>
      <c r="S1888">
        <v>80</v>
      </c>
      <c r="T1888">
        <v>5340</v>
      </c>
      <c r="U1888">
        <v>4227</v>
      </c>
      <c r="V1888">
        <v>-2</v>
      </c>
      <c r="W1888">
        <v>-144.53</v>
      </c>
      <c r="X1888" s="10">
        <v>0.74607013110072318</v>
      </c>
      <c r="Y1888" s="9">
        <v>5850</v>
      </c>
      <c r="Z1888" s="9">
        <v>4430</v>
      </c>
      <c r="AA1888" s="9">
        <v>5740</v>
      </c>
      <c r="AB1888">
        <v>0.92253521126760563</v>
      </c>
      <c r="AC1888" s="11">
        <v>20.757154765212565</v>
      </c>
      <c r="AD1888" s="9">
        <v>4656.073446327684</v>
      </c>
      <c r="AE1888" s="8">
        <v>0.23440860215053763</v>
      </c>
    </row>
    <row r="1889" spans="1:31" x14ac:dyDescent="0.35">
      <c r="A1889" s="6" t="s">
        <v>1910</v>
      </c>
      <c r="B1889" s="7">
        <v>3</v>
      </c>
      <c r="C1889" s="7">
        <v>0</v>
      </c>
      <c r="D1889" s="7">
        <v>4</v>
      </c>
      <c r="E1889" s="7">
        <v>11</v>
      </c>
      <c r="F1889">
        <v>550</v>
      </c>
      <c r="G1889">
        <v>-29</v>
      </c>
      <c r="H1889">
        <v>-5.23</v>
      </c>
      <c r="I1889">
        <v>-48</v>
      </c>
      <c r="J1889">
        <v>-8.68</v>
      </c>
      <c r="K1889">
        <v>535</v>
      </c>
      <c r="L1889">
        <v>189</v>
      </c>
      <c r="M1889">
        <v>346</v>
      </c>
      <c r="N1889">
        <v>83.03</v>
      </c>
      <c r="O1889">
        <v>-12.91</v>
      </c>
      <c r="P1889">
        <v>0</v>
      </c>
      <c r="Q1889">
        <v>0.36</v>
      </c>
      <c r="R1889">
        <v>0.23</v>
      </c>
      <c r="S1889">
        <v>-126</v>
      </c>
      <c r="T1889">
        <v>915</v>
      </c>
      <c r="U1889">
        <v>1455</v>
      </c>
      <c r="V1889">
        <v>2</v>
      </c>
      <c r="W1889">
        <v>52.78</v>
      </c>
      <c r="X1889" s="10">
        <v>0.31944244063356225</v>
      </c>
      <c r="Y1889" s="9">
        <v>477</v>
      </c>
      <c r="Z1889" s="9">
        <v>329</v>
      </c>
      <c r="AA1889" s="9">
        <v>456</v>
      </c>
      <c r="AB1889">
        <v>0.85810810810810811</v>
      </c>
      <c r="AC1889" s="11">
        <v>1.0651847735482076</v>
      </c>
      <c r="AD1889" s="9">
        <v>350.47853107344633</v>
      </c>
      <c r="AE1889" s="8">
        <v>0.37349397590361444</v>
      </c>
    </row>
    <row r="1890" spans="1:31" x14ac:dyDescent="0.35">
      <c r="A1890" s="6" t="s">
        <v>1911</v>
      </c>
      <c r="B1890" s="7">
        <v>11</v>
      </c>
      <c r="C1890" s="7">
        <v>4</v>
      </c>
      <c r="D1890" s="7">
        <v>3</v>
      </c>
      <c r="E1890" s="7">
        <v>0</v>
      </c>
      <c r="F1890">
        <v>1344</v>
      </c>
      <c r="G1890">
        <v>166</v>
      </c>
      <c r="H1890">
        <v>12.37</v>
      </c>
      <c r="I1890">
        <v>163</v>
      </c>
      <c r="J1890">
        <v>12.1</v>
      </c>
      <c r="K1890">
        <v>1893</v>
      </c>
      <c r="L1890">
        <v>219</v>
      </c>
      <c r="M1890">
        <v>1673</v>
      </c>
      <c r="N1890">
        <v>1546.17</v>
      </c>
      <c r="O1890">
        <v>10.39</v>
      </c>
      <c r="P1890">
        <v>18.22</v>
      </c>
      <c r="Q1890">
        <v>1.82</v>
      </c>
      <c r="R1890">
        <v>2.21</v>
      </c>
      <c r="S1890">
        <v>807</v>
      </c>
      <c r="T1890">
        <v>8087</v>
      </c>
      <c r="U1890">
        <v>6665</v>
      </c>
      <c r="V1890">
        <v>182</v>
      </c>
      <c r="W1890">
        <v>16.43</v>
      </c>
      <c r="X1890" s="10">
        <v>0.8586679607991472</v>
      </c>
      <c r="Y1890" s="9">
        <v>14700</v>
      </c>
      <c r="Z1890" s="9">
        <v>12150</v>
      </c>
      <c r="AA1890" s="9">
        <v>12150</v>
      </c>
      <c r="AB1890">
        <v>0</v>
      </c>
      <c r="AC1890" s="11">
        <v>-34.777716032231176</v>
      </c>
      <c r="AD1890" s="9">
        <v>14763.22033898305</v>
      </c>
      <c r="AE1890" s="8">
        <v>-0.1678082191780822</v>
      </c>
    </row>
    <row r="1891" spans="1:31" x14ac:dyDescent="0.35">
      <c r="A1891" s="6" t="s">
        <v>1912</v>
      </c>
      <c r="B1891" s="7">
        <v>6</v>
      </c>
      <c r="C1891" s="7">
        <v>1</v>
      </c>
      <c r="D1891" s="7">
        <v>8</v>
      </c>
      <c r="E1891" s="7">
        <v>3</v>
      </c>
      <c r="F1891">
        <v>425</v>
      </c>
      <c r="G1891">
        <v>50</v>
      </c>
      <c r="H1891">
        <v>11.65</v>
      </c>
      <c r="I1891">
        <v>43</v>
      </c>
      <c r="J1891">
        <v>10.14</v>
      </c>
      <c r="K1891">
        <v>1164</v>
      </c>
      <c r="L1891">
        <v>75</v>
      </c>
      <c r="M1891">
        <v>1089</v>
      </c>
      <c r="N1891">
        <v>1284.56</v>
      </c>
      <c r="O1891">
        <v>4.1100000000000003</v>
      </c>
      <c r="P1891">
        <v>14.01</v>
      </c>
      <c r="Q1891">
        <v>0.59</v>
      </c>
      <c r="R1891">
        <v>1.42</v>
      </c>
      <c r="S1891">
        <v>287</v>
      </c>
      <c r="T1891">
        <v>6818</v>
      </c>
      <c r="U1891">
        <v>2827</v>
      </c>
      <c r="V1891">
        <v>53</v>
      </c>
      <c r="W1891">
        <v>11.98</v>
      </c>
      <c r="X1891" s="10">
        <v>0.56301409637508126</v>
      </c>
      <c r="Y1891" s="9">
        <v>5590</v>
      </c>
      <c r="Z1891" s="9">
        <v>4020</v>
      </c>
      <c r="AA1891" s="9">
        <v>4755</v>
      </c>
      <c r="AB1891">
        <v>0.46815286624203822</v>
      </c>
      <c r="AC1891" s="11">
        <v>14.33425951653237</v>
      </c>
      <c r="AD1891" s="9">
        <v>4437.4717514124295</v>
      </c>
      <c r="AE1891" s="8">
        <v>0.16830466830466831</v>
      </c>
    </row>
    <row r="1892" spans="1:31" x14ac:dyDescent="0.35">
      <c r="A1892" s="6" t="s">
        <v>1913</v>
      </c>
      <c r="B1892" s="7">
        <v>4</v>
      </c>
      <c r="C1892" s="7">
        <v>9</v>
      </c>
      <c r="D1892" s="7">
        <v>4</v>
      </c>
      <c r="E1892" s="7">
        <v>1</v>
      </c>
      <c r="F1892">
        <v>834</v>
      </c>
      <c r="G1892">
        <v>84</v>
      </c>
      <c r="H1892">
        <v>10.11</v>
      </c>
      <c r="I1892">
        <v>72</v>
      </c>
      <c r="J1892">
        <v>8.6199999999999992</v>
      </c>
      <c r="K1892">
        <v>972</v>
      </c>
      <c r="L1892">
        <v>406</v>
      </c>
      <c r="M1892">
        <v>566</v>
      </c>
      <c r="N1892">
        <v>1409.75</v>
      </c>
      <c r="O1892">
        <v>18.21</v>
      </c>
      <c r="P1892">
        <v>5.25</v>
      </c>
      <c r="Q1892">
        <v>0.91</v>
      </c>
      <c r="R1892">
        <v>0</v>
      </c>
      <c r="S1892">
        <v>1277</v>
      </c>
      <c r="T1892">
        <v>7350</v>
      </c>
      <c r="U1892">
        <v>0</v>
      </c>
      <c r="V1892">
        <v>119</v>
      </c>
      <c r="W1892">
        <v>4.3</v>
      </c>
      <c r="X1892" s="10">
        <v>2.8601062073312311E-2</v>
      </c>
      <c r="Y1892" s="9">
        <v>9480</v>
      </c>
      <c r="Z1892" s="9">
        <v>7900</v>
      </c>
      <c r="AA1892" s="9">
        <v>8740</v>
      </c>
      <c r="AB1892">
        <v>0.53164556962025311</v>
      </c>
      <c r="AC1892" s="11">
        <v>2.390664073353709</v>
      </c>
      <c r="AD1892" s="9">
        <v>8741.7514124293775</v>
      </c>
      <c r="AE1892" s="8">
        <v>0.10632911392405063</v>
      </c>
    </row>
    <row r="1893" spans="1:31" x14ac:dyDescent="0.35">
      <c r="A1893" s="6" t="s">
        <v>1914</v>
      </c>
      <c r="B1893" s="7">
        <v>1</v>
      </c>
      <c r="C1893" s="7">
        <v>3</v>
      </c>
      <c r="D1893" s="7">
        <v>4</v>
      </c>
      <c r="E1893" s="7">
        <v>10</v>
      </c>
      <c r="F1893">
        <v>31</v>
      </c>
      <c r="G1893">
        <v>-41</v>
      </c>
      <c r="H1893">
        <v>-130.06</v>
      </c>
      <c r="I1893">
        <v>-48</v>
      </c>
      <c r="J1893">
        <v>-153.13</v>
      </c>
      <c r="K1893">
        <v>329</v>
      </c>
      <c r="L1893">
        <v>93</v>
      </c>
      <c r="M1893">
        <v>236</v>
      </c>
      <c r="N1893">
        <v>0.32</v>
      </c>
      <c r="O1893">
        <v>-28.42</v>
      </c>
      <c r="P1893">
        <v>0</v>
      </c>
      <c r="Q1893">
        <v>1.81</v>
      </c>
      <c r="R1893">
        <v>8.48</v>
      </c>
      <c r="S1893">
        <v>-165</v>
      </c>
      <c r="T1893">
        <v>500</v>
      </c>
      <c r="U1893">
        <v>107</v>
      </c>
      <c r="V1893">
        <v>-51</v>
      </c>
      <c r="W1893">
        <v>-9.5</v>
      </c>
      <c r="X1893" s="10">
        <v>0.49258300562394475</v>
      </c>
      <c r="Y1893" s="9">
        <v>1200</v>
      </c>
      <c r="Z1893" s="9">
        <v>790</v>
      </c>
      <c r="AA1893" s="9">
        <v>1085</v>
      </c>
      <c r="AB1893">
        <v>0.71951219512195119</v>
      </c>
      <c r="AC1893" s="11">
        <v>3.7168380105584884</v>
      </c>
      <c r="AD1893" s="9">
        <v>856.91977401129941</v>
      </c>
      <c r="AE1893" s="8">
        <v>0.29629629629629628</v>
      </c>
    </row>
    <row r="1894" spans="1:31" x14ac:dyDescent="0.35">
      <c r="A1894" s="6" t="s">
        <v>1915</v>
      </c>
      <c r="B1894" s="7">
        <v>3</v>
      </c>
      <c r="C1894" s="7">
        <v>9</v>
      </c>
      <c r="D1894" s="7">
        <v>5</v>
      </c>
      <c r="E1894" s="7">
        <v>1</v>
      </c>
      <c r="F1894">
        <v>1158</v>
      </c>
      <c r="G1894">
        <v>78</v>
      </c>
      <c r="H1894">
        <v>6.71</v>
      </c>
      <c r="I1894">
        <v>46</v>
      </c>
      <c r="J1894">
        <v>3.95</v>
      </c>
      <c r="K1894">
        <v>534</v>
      </c>
      <c r="L1894">
        <v>256</v>
      </c>
      <c r="M1894">
        <v>278</v>
      </c>
      <c r="N1894">
        <v>166.4</v>
      </c>
      <c r="O1894">
        <v>17.53</v>
      </c>
      <c r="P1894">
        <v>8.82</v>
      </c>
      <c r="Q1894">
        <v>1.63</v>
      </c>
      <c r="R1894">
        <v>0.35</v>
      </c>
      <c r="S1894">
        <v>217</v>
      </c>
      <c r="T1894">
        <v>1174</v>
      </c>
      <c r="U1894">
        <v>5502</v>
      </c>
      <c r="V1894">
        <v>91</v>
      </c>
      <c r="W1894">
        <v>6.74</v>
      </c>
      <c r="X1894" s="10">
        <v>2.4146118003862873E-2</v>
      </c>
      <c r="Y1894" s="9">
        <v>1920</v>
      </c>
      <c r="Z1894" s="9">
        <v>1730</v>
      </c>
      <c r="AA1894" s="9">
        <v>1830</v>
      </c>
      <c r="AB1894">
        <v>0.52631578947368418</v>
      </c>
      <c r="AC1894" s="11">
        <v>-0.41344818005001388</v>
      </c>
      <c r="AD1894" s="9">
        <v>1856.2768361581921</v>
      </c>
      <c r="AE1894" s="8">
        <v>-4.6875E-2</v>
      </c>
    </row>
    <row r="1895" spans="1:31" x14ac:dyDescent="0.35">
      <c r="A1895" s="6" t="s">
        <v>1916</v>
      </c>
      <c r="B1895" s="7">
        <v>6</v>
      </c>
      <c r="C1895" s="7">
        <v>0</v>
      </c>
      <c r="D1895" s="7">
        <v>4</v>
      </c>
      <c r="E1895" s="7">
        <v>8</v>
      </c>
      <c r="F1895">
        <v>782</v>
      </c>
      <c r="G1895">
        <v>53</v>
      </c>
      <c r="H1895">
        <v>6.78</v>
      </c>
      <c r="I1895">
        <v>50</v>
      </c>
      <c r="J1895">
        <v>6.33</v>
      </c>
      <c r="K1895">
        <v>1030</v>
      </c>
      <c r="L1895">
        <v>175</v>
      </c>
      <c r="M1895">
        <v>855</v>
      </c>
      <c r="N1895">
        <v>1610.08</v>
      </c>
      <c r="O1895">
        <v>7.86</v>
      </c>
      <c r="P1895">
        <v>11.33</v>
      </c>
      <c r="Q1895">
        <v>0.88</v>
      </c>
      <c r="R1895">
        <v>0.72</v>
      </c>
      <c r="S1895">
        <v>660</v>
      </c>
      <c r="T1895">
        <v>8524</v>
      </c>
      <c r="U1895">
        <v>10423</v>
      </c>
      <c r="V1895">
        <v>94</v>
      </c>
      <c r="W1895">
        <v>7.95</v>
      </c>
      <c r="X1895" s="10">
        <v>0.6471662935271596</v>
      </c>
      <c r="Y1895" s="9">
        <v>8360</v>
      </c>
      <c r="Z1895" s="9">
        <v>6840</v>
      </c>
      <c r="AA1895" s="9">
        <v>8090</v>
      </c>
      <c r="AB1895">
        <v>0.82236842105263153</v>
      </c>
      <c r="AC1895" s="11">
        <v>19.095304251180885</v>
      </c>
      <c r="AD1895" s="9">
        <v>7030.593220338983</v>
      </c>
      <c r="AE1895" s="8">
        <v>0.15902578796561603</v>
      </c>
    </row>
    <row r="1896" spans="1:31" x14ac:dyDescent="0.35">
      <c r="A1896" s="6" t="s">
        <v>1917</v>
      </c>
      <c r="B1896" s="7">
        <v>7</v>
      </c>
      <c r="C1896" s="7">
        <v>2</v>
      </c>
      <c r="D1896" s="7">
        <v>9</v>
      </c>
      <c r="E1896" s="7">
        <v>0</v>
      </c>
      <c r="F1896">
        <v>498</v>
      </c>
      <c r="G1896">
        <v>19</v>
      </c>
      <c r="H1896">
        <v>3.72</v>
      </c>
      <c r="I1896">
        <v>16</v>
      </c>
      <c r="J1896">
        <v>3.12</v>
      </c>
      <c r="K1896">
        <v>589</v>
      </c>
      <c r="L1896">
        <v>218</v>
      </c>
      <c r="M1896">
        <v>372</v>
      </c>
      <c r="N1896">
        <v>190.36</v>
      </c>
      <c r="O1896">
        <v>4.2</v>
      </c>
      <c r="P1896">
        <v>37.21</v>
      </c>
      <c r="Q1896">
        <v>1.56</v>
      </c>
      <c r="R1896">
        <v>1.1499999999999999</v>
      </c>
      <c r="S1896">
        <v>61</v>
      </c>
      <c r="T1896">
        <v>1456</v>
      </c>
      <c r="U1896">
        <v>1968</v>
      </c>
      <c r="V1896">
        <v>27</v>
      </c>
      <c r="W1896">
        <v>25.54</v>
      </c>
      <c r="X1896" s="10">
        <v>0.6097351352560817</v>
      </c>
      <c r="Y1896" s="9">
        <v>2840</v>
      </c>
      <c r="Z1896" s="9">
        <v>2060</v>
      </c>
      <c r="AA1896" s="9">
        <v>2770</v>
      </c>
      <c r="AB1896">
        <v>0.91025641025641024</v>
      </c>
      <c r="AC1896" s="11">
        <v>9.6447624340094489</v>
      </c>
      <c r="AD1896" s="9">
        <v>2031.7514124293784</v>
      </c>
      <c r="AE1896" s="8">
        <v>0.24774774774774774</v>
      </c>
    </row>
    <row r="1897" spans="1:31" x14ac:dyDescent="0.35">
      <c r="A1897" s="6" t="s">
        <v>1918</v>
      </c>
      <c r="B1897" s="7">
        <v>5</v>
      </c>
      <c r="C1897" s="7">
        <v>1</v>
      </c>
      <c r="D1897" s="7">
        <v>0</v>
      </c>
      <c r="E1897" s="7">
        <v>12</v>
      </c>
      <c r="F1897">
        <v>175</v>
      </c>
      <c r="G1897">
        <v>8</v>
      </c>
      <c r="H1897">
        <v>4.7300000000000004</v>
      </c>
      <c r="I1897">
        <v>-24</v>
      </c>
      <c r="J1897">
        <v>-13.79</v>
      </c>
      <c r="K1897">
        <v>295</v>
      </c>
      <c r="L1897">
        <v>45</v>
      </c>
      <c r="M1897">
        <v>250</v>
      </c>
      <c r="N1897">
        <v>811.65</v>
      </c>
      <c r="O1897">
        <v>-8.9499999999999993</v>
      </c>
      <c r="P1897">
        <v>0</v>
      </c>
      <c r="Q1897">
        <v>1.3</v>
      </c>
      <c r="R1897">
        <v>1.52</v>
      </c>
      <c r="S1897">
        <v>-396</v>
      </c>
      <c r="T1897">
        <v>3370</v>
      </c>
      <c r="U1897">
        <v>2871</v>
      </c>
      <c r="V1897">
        <v>16</v>
      </c>
      <c r="W1897">
        <v>19.3</v>
      </c>
      <c r="X1897" s="10">
        <v>0.50994274300659603</v>
      </c>
      <c r="Y1897" s="9">
        <v>5760</v>
      </c>
      <c r="Z1897" s="9">
        <v>4255</v>
      </c>
      <c r="AA1897" s="9">
        <v>4800</v>
      </c>
      <c r="AB1897">
        <v>0.36212624584717606</v>
      </c>
      <c r="AC1897" s="11">
        <v>14.41386496248958</v>
      </c>
      <c r="AD1897" s="9">
        <v>4300.4604519774011</v>
      </c>
      <c r="AE1897" s="8">
        <v>0.10726643598615918</v>
      </c>
    </row>
    <row r="1898" spans="1:31" x14ac:dyDescent="0.35">
      <c r="A1898" s="6" t="s">
        <v>1919</v>
      </c>
      <c r="B1898" s="7">
        <v>0</v>
      </c>
      <c r="C1898" s="7">
        <v>11</v>
      </c>
      <c r="D1898" s="7">
        <v>4</v>
      </c>
      <c r="E1898" s="7">
        <v>3</v>
      </c>
      <c r="F1898">
        <v>313</v>
      </c>
      <c r="G1898">
        <v>19</v>
      </c>
      <c r="H1898">
        <v>5.93</v>
      </c>
      <c r="I1898">
        <v>27</v>
      </c>
      <c r="J1898">
        <v>8.5500000000000007</v>
      </c>
      <c r="K1898">
        <v>1090</v>
      </c>
      <c r="L1898">
        <v>299</v>
      </c>
      <c r="M1898">
        <v>791</v>
      </c>
      <c r="N1898">
        <v>447.34</v>
      </c>
      <c r="O1898">
        <v>4.6399999999999997</v>
      </c>
      <c r="P1898">
        <v>8.0500000000000007</v>
      </c>
      <c r="Q1898">
        <v>0.38</v>
      </c>
      <c r="R1898">
        <v>0.69</v>
      </c>
      <c r="S1898">
        <v>128</v>
      </c>
      <c r="T1898">
        <v>2729</v>
      </c>
      <c r="U1898">
        <v>1501</v>
      </c>
      <c r="V1898">
        <v>48</v>
      </c>
      <c r="W1898">
        <v>10.06</v>
      </c>
      <c r="X1898" s="10">
        <v>0.79105542038818277</v>
      </c>
      <c r="Y1898" s="9">
        <v>1480</v>
      </c>
      <c r="Z1898" s="9">
        <v>906</v>
      </c>
      <c r="AA1898" s="9">
        <v>1480</v>
      </c>
      <c r="AB1898">
        <v>1</v>
      </c>
      <c r="AC1898" s="11">
        <v>7.167129758266185</v>
      </c>
      <c r="AD1898" s="9">
        <v>841.28587570621482</v>
      </c>
      <c r="AE1898" s="8">
        <v>0.58968850698174002</v>
      </c>
    </row>
    <row r="1899" spans="1:31" x14ac:dyDescent="0.35">
      <c r="A1899" s="6" t="s">
        <v>1920</v>
      </c>
      <c r="B1899" s="7">
        <v>10</v>
      </c>
      <c r="C1899" s="7">
        <v>1</v>
      </c>
      <c r="D1899" s="7">
        <v>2</v>
      </c>
      <c r="E1899" s="7">
        <v>5</v>
      </c>
      <c r="F1899">
        <v>3068</v>
      </c>
      <c r="G1899">
        <v>957</v>
      </c>
      <c r="H1899">
        <v>31.21</v>
      </c>
      <c r="I1899">
        <v>943</v>
      </c>
      <c r="J1899">
        <v>30.74</v>
      </c>
      <c r="K1899">
        <v>184241</v>
      </c>
      <c r="L1899">
        <v>42684</v>
      </c>
      <c r="M1899">
        <v>141557</v>
      </c>
      <c r="N1899">
        <v>876.61</v>
      </c>
      <c r="O1899">
        <v>0.67</v>
      </c>
      <c r="P1899">
        <v>123.55</v>
      </c>
      <c r="Q1899">
        <v>0.66</v>
      </c>
      <c r="R1899">
        <v>30.25</v>
      </c>
      <c r="S1899">
        <v>259</v>
      </c>
      <c r="T1899">
        <v>48814</v>
      </c>
      <c r="U1899">
        <v>1058</v>
      </c>
      <c r="V1899">
        <v>0</v>
      </c>
      <c r="W1899">
        <v>0</v>
      </c>
      <c r="X1899" s="10">
        <v>0.63836149889160565</v>
      </c>
      <c r="Y1899" s="9">
        <v>33850</v>
      </c>
      <c r="Z1899" s="9">
        <v>28050</v>
      </c>
      <c r="AA1899" s="9">
        <v>28600</v>
      </c>
      <c r="AB1899">
        <v>9.4827586206896547E-2</v>
      </c>
      <c r="AC1899" s="11">
        <v>-79.863851069741614</v>
      </c>
      <c r="AD1899" s="9">
        <v>33019.180790960454</v>
      </c>
      <c r="AE1899" s="8">
        <v>-0.12135176651305683</v>
      </c>
    </row>
    <row r="1900" spans="1:31" x14ac:dyDescent="0.35">
      <c r="A1900" s="6" t="s">
        <v>1921</v>
      </c>
      <c r="B1900" s="7">
        <v>2</v>
      </c>
      <c r="C1900" s="7">
        <v>15</v>
      </c>
      <c r="D1900" s="7">
        <v>1</v>
      </c>
      <c r="E1900" s="7">
        <v>0</v>
      </c>
      <c r="F1900">
        <v>2597</v>
      </c>
      <c r="G1900">
        <v>256</v>
      </c>
      <c r="H1900">
        <v>9.8699999999999992</v>
      </c>
      <c r="I1900">
        <v>90</v>
      </c>
      <c r="J1900">
        <v>3.46</v>
      </c>
      <c r="K1900">
        <v>3450</v>
      </c>
      <c r="L1900">
        <v>2051</v>
      </c>
      <c r="M1900">
        <v>1400</v>
      </c>
      <c r="N1900">
        <v>1206.6400000000001</v>
      </c>
      <c r="O1900">
        <v>6.79</v>
      </c>
      <c r="P1900">
        <v>24.22</v>
      </c>
      <c r="Q1900">
        <v>1.64</v>
      </c>
      <c r="R1900">
        <v>0.84</v>
      </c>
      <c r="S1900">
        <v>415</v>
      </c>
      <c r="T1900">
        <v>6115</v>
      </c>
      <c r="U1900">
        <v>12006</v>
      </c>
      <c r="V1900">
        <v>491</v>
      </c>
      <c r="W1900">
        <v>7.76</v>
      </c>
      <c r="X1900" s="10">
        <v>1.7944900663620689E-2</v>
      </c>
      <c r="Y1900" s="9">
        <v>11900</v>
      </c>
      <c r="Z1900" s="9">
        <v>9690</v>
      </c>
      <c r="AA1900" s="9">
        <v>9700</v>
      </c>
      <c r="AB1900">
        <v>4.5248868778280547E-3</v>
      </c>
      <c r="AC1900" s="11">
        <v>4.0213948318977497</v>
      </c>
      <c r="AD1900" s="9">
        <v>10545.847457627118</v>
      </c>
      <c r="AE1900" s="8">
        <v>-7.164790174002047E-3</v>
      </c>
    </row>
    <row r="1901" spans="1:31" x14ac:dyDescent="0.35">
      <c r="A1901" s="6" t="s">
        <v>1922</v>
      </c>
      <c r="B1901" s="7">
        <v>0</v>
      </c>
      <c r="C1901" s="7">
        <v>0</v>
      </c>
      <c r="D1901" s="7">
        <v>0</v>
      </c>
      <c r="E1901" s="7">
        <v>18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 s="10">
        <v>0.87363625152862945</v>
      </c>
      <c r="Y1901" s="9">
        <v>2390</v>
      </c>
      <c r="Z1901" s="9">
        <v>2005</v>
      </c>
      <c r="AA1901" s="9">
        <v>2245</v>
      </c>
      <c r="AB1901">
        <v>0.62337662337662336</v>
      </c>
      <c r="AC1901" s="11">
        <v>6.0094470686301742</v>
      </c>
      <c r="AD1901" s="9">
        <v>1992.5451977401131</v>
      </c>
      <c r="AE1901" s="8">
        <v>0.11970074812967581</v>
      </c>
    </row>
    <row r="1902" spans="1:31" x14ac:dyDescent="0.35">
      <c r="A1902" s="6" t="s">
        <v>1923</v>
      </c>
      <c r="B1902" s="7">
        <v>0</v>
      </c>
      <c r="C1902" s="7">
        <v>0</v>
      </c>
      <c r="D1902" s="7">
        <v>0</v>
      </c>
      <c r="E1902" s="7">
        <v>18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 s="10">
        <v>0.81152554163597257</v>
      </c>
      <c r="Y1902" s="9">
        <v>2575</v>
      </c>
      <c r="Z1902" s="9">
        <v>2025</v>
      </c>
      <c r="AA1902" s="9">
        <v>2570</v>
      </c>
      <c r="AB1902">
        <v>0.99090909090909096</v>
      </c>
      <c r="AC1902" s="11">
        <v>9.1046123923312017</v>
      </c>
      <c r="AD1902" s="9">
        <v>2130.2259887005648</v>
      </c>
      <c r="AE1902" s="8">
        <v>0.26600985221674878</v>
      </c>
    </row>
    <row r="1903" spans="1:31" x14ac:dyDescent="0.35">
      <c r="A1903" s="6" t="s">
        <v>1924</v>
      </c>
      <c r="B1903" s="7">
        <v>0</v>
      </c>
      <c r="C1903" s="7">
        <v>6</v>
      </c>
      <c r="D1903" s="7">
        <v>0</v>
      </c>
      <c r="E1903" s="7">
        <v>12</v>
      </c>
      <c r="F1903">
        <v>0</v>
      </c>
      <c r="G1903">
        <v>-1</v>
      </c>
      <c r="H1903">
        <v>0</v>
      </c>
      <c r="I1903">
        <v>0</v>
      </c>
      <c r="J1903">
        <v>0</v>
      </c>
      <c r="K1903">
        <v>59</v>
      </c>
      <c r="L1903">
        <v>7</v>
      </c>
      <c r="M1903">
        <v>52</v>
      </c>
      <c r="N1903">
        <v>1809.72</v>
      </c>
      <c r="O1903">
        <v>-0.31</v>
      </c>
      <c r="P1903">
        <v>0</v>
      </c>
      <c r="Q1903">
        <v>1.18</v>
      </c>
      <c r="R1903">
        <v>0</v>
      </c>
      <c r="S1903">
        <v>-8</v>
      </c>
      <c r="T1903">
        <v>1910</v>
      </c>
      <c r="U1903">
        <v>0</v>
      </c>
      <c r="V1903">
        <v>-1</v>
      </c>
      <c r="W1903">
        <v>-62.23</v>
      </c>
      <c r="X1903" s="10">
        <v>0.85746620703757748</v>
      </c>
      <c r="Y1903" s="9">
        <v>4100</v>
      </c>
      <c r="Z1903" s="9">
        <v>2260</v>
      </c>
      <c r="AA1903" s="9">
        <v>3385</v>
      </c>
      <c r="AB1903">
        <v>0.61141304347826086</v>
      </c>
      <c r="AC1903" s="11">
        <v>32.666574048346767</v>
      </c>
      <c r="AD1903" s="9">
        <v>2150.3361581920899</v>
      </c>
      <c r="AE1903" s="8">
        <v>0.48464912280701755</v>
      </c>
    </row>
    <row r="1904" spans="1:31" x14ac:dyDescent="0.35">
      <c r="A1904" s="6" t="s">
        <v>1925</v>
      </c>
      <c r="B1904" s="7">
        <v>6</v>
      </c>
      <c r="C1904" s="7">
        <v>3</v>
      </c>
      <c r="D1904" s="7">
        <v>6</v>
      </c>
      <c r="E1904" s="7">
        <v>3</v>
      </c>
      <c r="F1904">
        <v>3154</v>
      </c>
      <c r="G1904">
        <v>314</v>
      </c>
      <c r="H1904">
        <v>9.9600000000000009</v>
      </c>
      <c r="I1904">
        <v>281</v>
      </c>
      <c r="J1904">
        <v>8.92</v>
      </c>
      <c r="K1904">
        <v>3646</v>
      </c>
      <c r="L1904">
        <v>1999</v>
      </c>
      <c r="M1904">
        <v>1647</v>
      </c>
      <c r="N1904">
        <v>3376.62</v>
      </c>
      <c r="O1904">
        <v>16.52</v>
      </c>
      <c r="P1904">
        <v>31.11</v>
      </c>
      <c r="Q1904">
        <v>5.81</v>
      </c>
      <c r="R1904">
        <v>2.77</v>
      </c>
      <c r="S1904">
        <v>2504</v>
      </c>
      <c r="T1904">
        <v>13416</v>
      </c>
      <c r="U1904">
        <v>28090</v>
      </c>
      <c r="V1904">
        <v>368</v>
      </c>
      <c r="W1904">
        <v>24.62</v>
      </c>
      <c r="X1904" s="10">
        <v>0.90419130467434805</v>
      </c>
      <c r="Y1904" s="9">
        <v>112000</v>
      </c>
      <c r="Z1904" s="9">
        <v>76500</v>
      </c>
      <c r="AA1904" s="9">
        <v>109500</v>
      </c>
      <c r="AB1904">
        <v>0.92957746478873238</v>
      </c>
      <c r="AC1904" s="11">
        <v>528.16060016671292</v>
      </c>
      <c r="AD1904" s="9">
        <v>76846.101694915254</v>
      </c>
      <c r="AE1904" s="8">
        <v>0.43137254901960786</v>
      </c>
    </row>
    <row r="1905" spans="1:31" x14ac:dyDescent="0.35">
      <c r="A1905" s="6" t="s">
        <v>1926</v>
      </c>
      <c r="B1905" s="7">
        <v>0</v>
      </c>
      <c r="C1905" s="7">
        <v>3</v>
      </c>
      <c r="D1905" s="7">
        <v>14</v>
      </c>
      <c r="E1905" s="7">
        <v>1</v>
      </c>
      <c r="F1905">
        <v>7541</v>
      </c>
      <c r="G1905">
        <v>-18</v>
      </c>
      <c r="H1905">
        <v>-0.24</v>
      </c>
      <c r="I1905">
        <v>-83</v>
      </c>
      <c r="J1905">
        <v>-1.1000000000000001</v>
      </c>
      <c r="K1905">
        <v>5297</v>
      </c>
      <c r="L1905">
        <v>3330</v>
      </c>
      <c r="M1905">
        <v>1966</v>
      </c>
      <c r="N1905">
        <v>629.14</v>
      </c>
      <c r="O1905">
        <v>-4.12</v>
      </c>
      <c r="P1905">
        <v>0</v>
      </c>
      <c r="Q1905">
        <v>1.18</v>
      </c>
      <c r="R1905">
        <v>0.3</v>
      </c>
      <c r="S1905">
        <v>-153</v>
      </c>
      <c r="T1905">
        <v>3603</v>
      </c>
      <c r="U1905">
        <v>13979</v>
      </c>
      <c r="V1905">
        <v>359</v>
      </c>
      <c r="W1905">
        <v>11.51</v>
      </c>
      <c r="X1905" s="10">
        <v>0.75702449997388677</v>
      </c>
      <c r="Y1905" s="9">
        <v>5510</v>
      </c>
      <c r="Z1905" s="9">
        <v>4130</v>
      </c>
      <c r="AA1905" s="9">
        <v>5160</v>
      </c>
      <c r="AB1905">
        <v>0.74637681159420288</v>
      </c>
      <c r="AC1905" s="11">
        <v>20.519727702139484</v>
      </c>
      <c r="AD1905" s="9">
        <v>4096.3983050847455</v>
      </c>
      <c r="AE1905" s="8">
        <v>0.14666666666666667</v>
      </c>
    </row>
    <row r="1906" spans="1:31" x14ac:dyDescent="0.35">
      <c r="A1906" s="6" t="s">
        <v>1927</v>
      </c>
      <c r="B1906" s="7">
        <v>5</v>
      </c>
      <c r="C1906" s="7">
        <v>1</v>
      </c>
      <c r="D1906" s="7">
        <v>10</v>
      </c>
      <c r="E1906" s="7">
        <v>2</v>
      </c>
      <c r="F1906">
        <v>132</v>
      </c>
      <c r="G1906">
        <v>107</v>
      </c>
      <c r="H1906">
        <v>80.650000000000006</v>
      </c>
      <c r="I1906">
        <v>-52</v>
      </c>
      <c r="J1906">
        <v>-39.369999999999997</v>
      </c>
      <c r="K1906">
        <v>2397</v>
      </c>
      <c r="L1906">
        <v>176</v>
      </c>
      <c r="M1906">
        <v>2221</v>
      </c>
      <c r="N1906">
        <v>412.27</v>
      </c>
      <c r="O1906">
        <v>-2.31</v>
      </c>
      <c r="P1906">
        <v>0</v>
      </c>
      <c r="Q1906">
        <v>2.02</v>
      </c>
      <c r="R1906">
        <v>32.4</v>
      </c>
      <c r="S1906">
        <v>-61</v>
      </c>
      <c r="T1906">
        <v>2465</v>
      </c>
      <c r="U1906">
        <v>154</v>
      </c>
      <c r="V1906">
        <v>113</v>
      </c>
      <c r="W1906">
        <v>39.450000000000003</v>
      </c>
      <c r="X1906" s="10">
        <v>0.77564474848996146</v>
      </c>
      <c r="Y1906" s="9">
        <v>6580</v>
      </c>
      <c r="Z1906" s="9">
        <v>4795</v>
      </c>
      <c r="AA1906" s="9">
        <v>5660</v>
      </c>
      <c r="AB1906">
        <v>0.484593837535014</v>
      </c>
      <c r="AC1906" s="11">
        <v>25.256321200333424</v>
      </c>
      <c r="AD1906" s="9">
        <v>4798.9322033898306</v>
      </c>
      <c r="AE1906" s="8">
        <v>0.18039624608967675</v>
      </c>
    </row>
    <row r="1907" spans="1:31" x14ac:dyDescent="0.35">
      <c r="A1907" s="6" t="s">
        <v>1928</v>
      </c>
      <c r="B1907" s="7">
        <v>5</v>
      </c>
      <c r="C1907" s="7">
        <v>3</v>
      </c>
      <c r="D1907" s="7">
        <v>9</v>
      </c>
      <c r="E1907" s="7">
        <v>1</v>
      </c>
      <c r="F1907">
        <v>43</v>
      </c>
      <c r="G1907">
        <v>28</v>
      </c>
      <c r="H1907">
        <v>66.010000000000005</v>
      </c>
      <c r="I1907">
        <v>28</v>
      </c>
      <c r="J1907">
        <v>66.430000000000007</v>
      </c>
      <c r="K1907">
        <v>641</v>
      </c>
      <c r="L1907">
        <v>4</v>
      </c>
      <c r="M1907">
        <v>638</v>
      </c>
      <c r="N1907">
        <v>-2.23</v>
      </c>
      <c r="O1907">
        <v>5.93</v>
      </c>
      <c r="P1907">
        <v>14.43</v>
      </c>
      <c r="Q1907">
        <v>0.86</v>
      </c>
      <c r="R1907">
        <v>9.61</v>
      </c>
      <c r="S1907">
        <v>291</v>
      </c>
      <c r="T1907">
        <v>4888</v>
      </c>
      <c r="U1907">
        <v>437</v>
      </c>
      <c r="V1907">
        <v>38</v>
      </c>
      <c r="W1907">
        <v>14.53</v>
      </c>
      <c r="X1907" s="10">
        <v>0.7145664024070556</v>
      </c>
      <c r="Y1907" s="9">
        <v>4180</v>
      </c>
      <c r="Z1907" s="9">
        <v>3800</v>
      </c>
      <c r="AA1907" s="9">
        <v>3895</v>
      </c>
      <c r="AB1907">
        <v>0.25</v>
      </c>
      <c r="AC1907" s="11">
        <v>-5.0369547096415674</v>
      </c>
      <c r="AD1907" s="9">
        <v>4134.7937853107342</v>
      </c>
      <c r="AE1907" s="8">
        <v>-5.8041112454655382E-2</v>
      </c>
    </row>
    <row r="1908" spans="1:31" x14ac:dyDescent="0.35">
      <c r="A1908" s="6" t="s">
        <v>1929</v>
      </c>
      <c r="B1908" s="7">
        <v>2</v>
      </c>
      <c r="C1908" s="7">
        <v>1</v>
      </c>
      <c r="D1908" s="7">
        <v>6</v>
      </c>
      <c r="E1908" s="7">
        <v>9</v>
      </c>
      <c r="F1908">
        <v>39</v>
      </c>
      <c r="G1908">
        <v>34</v>
      </c>
      <c r="H1908">
        <v>89.16</v>
      </c>
      <c r="I1908">
        <v>-82</v>
      </c>
      <c r="J1908">
        <v>-212.01</v>
      </c>
      <c r="K1908">
        <v>585</v>
      </c>
      <c r="L1908">
        <v>40</v>
      </c>
      <c r="M1908">
        <v>545</v>
      </c>
      <c r="N1908">
        <v>-18.29</v>
      </c>
      <c r="O1908">
        <v>-18.14</v>
      </c>
      <c r="P1908">
        <v>0</v>
      </c>
      <c r="Q1908">
        <v>0.92</v>
      </c>
      <c r="R1908">
        <v>9.68</v>
      </c>
      <c r="S1908">
        <v>-820</v>
      </c>
      <c r="T1908">
        <v>4085</v>
      </c>
      <c r="U1908">
        <v>387</v>
      </c>
      <c r="V1908">
        <v>46</v>
      </c>
      <c r="W1908">
        <v>10.87</v>
      </c>
      <c r="X1908" s="10">
        <v>0.35055798902723317</v>
      </c>
      <c r="Y1908" s="9">
        <v>3765</v>
      </c>
      <c r="Z1908" s="9">
        <v>3270</v>
      </c>
      <c r="AA1908" s="9">
        <v>3370</v>
      </c>
      <c r="AB1908">
        <v>0.20202020202020202</v>
      </c>
      <c r="AC1908" s="11">
        <v>-3.0565434843011947</v>
      </c>
      <c r="AD1908" s="9">
        <v>3535.4745762711864</v>
      </c>
      <c r="AE1908" s="8">
        <v>-3.5765379113018601E-2</v>
      </c>
    </row>
    <row r="1909" spans="1:31" x14ac:dyDescent="0.35">
      <c r="A1909" s="6" t="s">
        <v>1930</v>
      </c>
      <c r="B1909" s="7">
        <v>7</v>
      </c>
      <c r="C1909" s="7">
        <v>2</v>
      </c>
      <c r="D1909" s="7">
        <v>4</v>
      </c>
      <c r="E1909" s="7">
        <v>5</v>
      </c>
      <c r="F1909">
        <v>52</v>
      </c>
      <c r="G1909">
        <v>42</v>
      </c>
      <c r="H1909">
        <v>80.78</v>
      </c>
      <c r="I1909">
        <v>42</v>
      </c>
      <c r="J1909">
        <v>80.84</v>
      </c>
      <c r="K1909">
        <v>796</v>
      </c>
      <c r="L1909">
        <v>5</v>
      </c>
      <c r="M1909">
        <v>791</v>
      </c>
      <c r="N1909">
        <v>-2.06</v>
      </c>
      <c r="O1909">
        <v>7.08</v>
      </c>
      <c r="P1909">
        <v>10.29</v>
      </c>
      <c r="Q1909">
        <v>0.72</v>
      </c>
      <c r="R1909">
        <v>8.33</v>
      </c>
      <c r="S1909">
        <v>344</v>
      </c>
      <c r="T1909">
        <v>4897</v>
      </c>
      <c r="U1909">
        <v>425</v>
      </c>
      <c r="V1909">
        <v>56</v>
      </c>
      <c r="W1909">
        <v>10.29</v>
      </c>
      <c r="X1909" s="10">
        <v>6.9111820857099757E-2</v>
      </c>
      <c r="Y1909" s="9">
        <v>3970</v>
      </c>
      <c r="Z1909" s="9">
        <v>3385</v>
      </c>
      <c r="AA1909" s="9">
        <v>3595</v>
      </c>
      <c r="AB1909">
        <v>0.35897435897435898</v>
      </c>
      <c r="AC1909" s="11">
        <v>-1.5700194498471798</v>
      </c>
      <c r="AD1909" s="9">
        <v>3712.4689265536726</v>
      </c>
      <c r="AE1909" s="8">
        <v>-7.4646074646074645E-2</v>
      </c>
    </row>
    <row r="1910" spans="1:31" x14ac:dyDescent="0.35">
      <c r="A1910" s="6" t="s">
        <v>1931</v>
      </c>
      <c r="B1910" s="7">
        <v>9</v>
      </c>
      <c r="C1910" s="7">
        <v>0</v>
      </c>
      <c r="D1910" s="7">
        <v>9</v>
      </c>
      <c r="E1910" s="7">
        <v>0</v>
      </c>
      <c r="F1910">
        <v>51</v>
      </c>
      <c r="G1910">
        <v>42</v>
      </c>
      <c r="H1910">
        <v>80.88</v>
      </c>
      <c r="I1910">
        <v>42</v>
      </c>
      <c r="J1910">
        <v>80.900000000000006</v>
      </c>
      <c r="K1910">
        <v>747</v>
      </c>
      <c r="L1910">
        <v>5</v>
      </c>
      <c r="M1910">
        <v>742</v>
      </c>
      <c r="N1910">
        <v>-0.4</v>
      </c>
      <c r="O1910">
        <v>7.52</v>
      </c>
      <c r="P1910">
        <v>11.42</v>
      </c>
      <c r="Q1910">
        <v>0.85</v>
      </c>
      <c r="R1910">
        <v>9.24</v>
      </c>
      <c r="S1910">
        <v>372</v>
      </c>
      <c r="T1910">
        <v>4980</v>
      </c>
      <c r="U1910">
        <v>460</v>
      </c>
      <c r="V1910">
        <v>55</v>
      </c>
      <c r="W1910">
        <v>11.42</v>
      </c>
      <c r="X1910" s="10">
        <v>0.17177895318142683</v>
      </c>
      <c r="Y1910" s="9">
        <v>3985</v>
      </c>
      <c r="Z1910" s="9">
        <v>3680</v>
      </c>
      <c r="AA1910" s="9">
        <v>3895</v>
      </c>
      <c r="AB1910">
        <v>0.70491803278688525</v>
      </c>
      <c r="AC1910" s="11">
        <v>-1.8780216726868575</v>
      </c>
      <c r="AD1910" s="9">
        <v>3899.9463276836159</v>
      </c>
      <c r="AE1910" s="8">
        <v>-1.2820512820512821E-3</v>
      </c>
    </row>
    <row r="1911" spans="1:31" x14ac:dyDescent="0.35">
      <c r="A1911" s="6" t="s">
        <v>1932</v>
      </c>
      <c r="B1911" s="7">
        <v>13</v>
      </c>
      <c r="C1911" s="7">
        <v>3</v>
      </c>
      <c r="D1911" s="7">
        <v>0</v>
      </c>
      <c r="E1911" s="7">
        <v>2</v>
      </c>
      <c r="F1911">
        <v>165</v>
      </c>
      <c r="G1911">
        <v>59</v>
      </c>
      <c r="H1911">
        <v>35.950000000000003</v>
      </c>
      <c r="I1911">
        <v>49</v>
      </c>
      <c r="J1911">
        <v>29.64</v>
      </c>
      <c r="K1911">
        <v>197</v>
      </c>
      <c r="L1911">
        <v>32</v>
      </c>
      <c r="M1911">
        <v>164</v>
      </c>
      <c r="N1911">
        <v>1396.7</v>
      </c>
      <c r="O1911">
        <v>53.55</v>
      </c>
      <c r="P1911">
        <v>19.54</v>
      </c>
      <c r="Q1911">
        <v>7.91</v>
      </c>
      <c r="R1911">
        <v>5.79</v>
      </c>
      <c r="S1911">
        <v>3020</v>
      </c>
      <c r="T1911">
        <v>7457</v>
      </c>
      <c r="U1911">
        <v>10188</v>
      </c>
      <c r="V1911">
        <v>0</v>
      </c>
      <c r="W1911">
        <v>0</v>
      </c>
      <c r="X1911" s="10">
        <v>1.7620314612846258E-2</v>
      </c>
      <c r="Y1911" s="9">
        <v>150000</v>
      </c>
      <c r="Z1911" s="9">
        <v>90000</v>
      </c>
      <c r="AA1911" s="9">
        <v>120000</v>
      </c>
      <c r="AB1911">
        <v>0.5</v>
      </c>
      <c r="AC1911" s="11">
        <v>100.11392053348163</v>
      </c>
      <c r="AD1911" s="9">
        <v>125304.85875706215</v>
      </c>
      <c r="AE1911" s="8">
        <v>0.31147540983606559</v>
      </c>
    </row>
    <row r="1912" spans="1:31" x14ac:dyDescent="0.35">
      <c r="A1912" s="6" t="s">
        <v>1933</v>
      </c>
      <c r="B1912" s="7">
        <v>14</v>
      </c>
      <c r="C1912" s="7">
        <v>0</v>
      </c>
      <c r="D1912" s="7">
        <v>0</v>
      </c>
      <c r="E1912" s="7">
        <v>4</v>
      </c>
      <c r="F1912">
        <v>1828</v>
      </c>
      <c r="G1912">
        <v>459</v>
      </c>
      <c r="H1912">
        <v>25.12</v>
      </c>
      <c r="I1912">
        <v>356</v>
      </c>
      <c r="J1912">
        <v>19.46</v>
      </c>
      <c r="K1912">
        <v>2983</v>
      </c>
      <c r="L1912">
        <v>561</v>
      </c>
      <c r="M1912">
        <v>2422</v>
      </c>
      <c r="N1912">
        <v>3458.44</v>
      </c>
      <c r="O1912">
        <v>15.64</v>
      </c>
      <c r="P1912">
        <v>12.32</v>
      </c>
      <c r="Q1912">
        <v>1.86</v>
      </c>
      <c r="R1912">
        <v>2.4</v>
      </c>
      <c r="S1912">
        <v>2613</v>
      </c>
      <c r="T1912">
        <v>17299</v>
      </c>
      <c r="U1912">
        <v>13428</v>
      </c>
      <c r="V1912">
        <v>495</v>
      </c>
      <c r="W1912">
        <v>8.85</v>
      </c>
      <c r="X1912" s="10">
        <v>1.6705226179864637E-2</v>
      </c>
      <c r="Y1912" s="9">
        <v>33000</v>
      </c>
      <c r="Z1912" s="9">
        <v>26150</v>
      </c>
      <c r="AA1912" s="9">
        <v>28850</v>
      </c>
      <c r="AB1912">
        <v>0.39416058394160586</v>
      </c>
      <c r="AC1912" s="11">
        <v>-10.290358432898028</v>
      </c>
      <c r="AD1912" s="9">
        <v>29211.355932203391</v>
      </c>
      <c r="AE1912" s="8">
        <v>-9.7026604068857589E-2</v>
      </c>
    </row>
    <row r="1913" spans="1:31" x14ac:dyDescent="0.35">
      <c r="A1913" s="6" t="s">
        <v>1934</v>
      </c>
      <c r="B1913" s="7">
        <v>4</v>
      </c>
      <c r="C1913" s="7">
        <v>3</v>
      </c>
      <c r="D1913" s="7">
        <v>4</v>
      </c>
      <c r="E1913" s="7">
        <v>7</v>
      </c>
      <c r="F1913">
        <v>622</v>
      </c>
      <c r="G1913">
        <v>64</v>
      </c>
      <c r="H1913">
        <v>10.28</v>
      </c>
      <c r="I1913">
        <v>74</v>
      </c>
      <c r="J1913">
        <v>11.9</v>
      </c>
      <c r="K1913">
        <v>789</v>
      </c>
      <c r="L1913">
        <v>112</v>
      </c>
      <c r="M1913">
        <v>677</v>
      </c>
      <c r="N1913">
        <v>890.21</v>
      </c>
      <c r="O1913">
        <v>11.25</v>
      </c>
      <c r="P1913">
        <v>18.47</v>
      </c>
      <c r="Q1913">
        <v>2.1800000000000002</v>
      </c>
      <c r="R1913">
        <v>2.2000000000000002</v>
      </c>
      <c r="S1913">
        <v>523</v>
      </c>
      <c r="T1913">
        <v>4431</v>
      </c>
      <c r="U1913">
        <v>4393</v>
      </c>
      <c r="V1913">
        <v>70</v>
      </c>
      <c r="W1913">
        <v>20.54</v>
      </c>
      <c r="X1913" s="10">
        <v>0.41449001875852964</v>
      </c>
      <c r="Y1913" s="9">
        <v>10600</v>
      </c>
      <c r="Z1913" s="9">
        <v>8380</v>
      </c>
      <c r="AA1913" s="9">
        <v>8800</v>
      </c>
      <c r="AB1913">
        <v>0.1891891891891892</v>
      </c>
      <c r="AC1913" s="11">
        <v>-20.180605723812175</v>
      </c>
      <c r="AD1913" s="9">
        <v>9844.8418079096045</v>
      </c>
      <c r="AE1913" s="8">
        <v>-0.11735205616850551</v>
      </c>
    </row>
    <row r="1914" spans="1:31" x14ac:dyDescent="0.35">
      <c r="A1914" s="6" t="s">
        <v>1935</v>
      </c>
      <c r="B1914" s="7">
        <v>6</v>
      </c>
      <c r="C1914" s="7">
        <v>5</v>
      </c>
      <c r="D1914" s="7">
        <v>5</v>
      </c>
      <c r="E1914" s="7">
        <v>2</v>
      </c>
      <c r="F1914">
        <v>315</v>
      </c>
      <c r="G1914">
        <v>23</v>
      </c>
      <c r="H1914">
        <v>7.35</v>
      </c>
      <c r="I1914">
        <v>30</v>
      </c>
      <c r="J1914">
        <v>9.39</v>
      </c>
      <c r="K1914">
        <v>639</v>
      </c>
      <c r="L1914">
        <v>177</v>
      </c>
      <c r="M1914">
        <v>461</v>
      </c>
      <c r="N1914">
        <v>425.46</v>
      </c>
      <c r="O1914">
        <v>7.13</v>
      </c>
      <c r="P1914">
        <v>9.33</v>
      </c>
      <c r="Q1914">
        <v>0.8</v>
      </c>
      <c r="R1914">
        <v>0.88</v>
      </c>
      <c r="S1914">
        <v>225</v>
      </c>
      <c r="T1914">
        <v>2621</v>
      </c>
      <c r="U1914">
        <v>2399</v>
      </c>
      <c r="V1914">
        <v>164</v>
      </c>
      <c r="W1914">
        <v>2.2400000000000002</v>
      </c>
      <c r="X1914" s="10">
        <v>0.1461022749726264</v>
      </c>
      <c r="Y1914" s="9">
        <v>2430</v>
      </c>
      <c r="Z1914" s="9">
        <v>1880</v>
      </c>
      <c r="AA1914" s="9">
        <v>2065</v>
      </c>
      <c r="AB1914">
        <v>0.33636363636363636</v>
      </c>
      <c r="AC1914" s="11">
        <v>2.3188385662684077</v>
      </c>
      <c r="AD1914" s="9">
        <v>2062.0254237288136</v>
      </c>
      <c r="AE1914" s="8">
        <v>0</v>
      </c>
    </row>
    <row r="1915" spans="1:31" x14ac:dyDescent="0.35">
      <c r="A1915" s="6" t="s">
        <v>1936</v>
      </c>
      <c r="B1915" s="7">
        <v>2</v>
      </c>
      <c r="C1915" s="7">
        <v>0</v>
      </c>
      <c r="D1915" s="7">
        <v>3</v>
      </c>
      <c r="E1915" s="7">
        <v>13</v>
      </c>
      <c r="F1915">
        <v>352</v>
      </c>
      <c r="G1915">
        <v>-44</v>
      </c>
      <c r="H1915">
        <v>-12.64</v>
      </c>
      <c r="I1915">
        <v>-55</v>
      </c>
      <c r="J1915">
        <v>-15.54</v>
      </c>
      <c r="K1915">
        <v>537</v>
      </c>
      <c r="L1915">
        <v>251</v>
      </c>
      <c r="M1915">
        <v>286</v>
      </c>
      <c r="N1915">
        <v>449.51</v>
      </c>
      <c r="O1915">
        <v>-17.39</v>
      </c>
      <c r="P1915">
        <v>0</v>
      </c>
      <c r="Q1915">
        <v>1.35</v>
      </c>
      <c r="R1915">
        <v>0.98</v>
      </c>
      <c r="S1915">
        <v>-518</v>
      </c>
      <c r="T1915">
        <v>2424</v>
      </c>
      <c r="U1915">
        <v>3337</v>
      </c>
      <c r="V1915">
        <v>-10</v>
      </c>
      <c r="W1915">
        <v>-49.64</v>
      </c>
      <c r="X1915" s="10">
        <v>0.10133171660644959</v>
      </c>
      <c r="Y1915" s="9">
        <v>3765</v>
      </c>
      <c r="Z1915" s="9">
        <v>3155</v>
      </c>
      <c r="AA1915" s="9">
        <v>3415</v>
      </c>
      <c r="AB1915">
        <v>0.42622950819672129</v>
      </c>
      <c r="AC1915" s="11">
        <v>2.5664073353709358</v>
      </c>
      <c r="AD1915" s="9">
        <v>3382.8079096045199</v>
      </c>
      <c r="AE1915" s="8">
        <v>2.86144578313253E-2</v>
      </c>
    </row>
    <row r="1916" spans="1:31" x14ac:dyDescent="0.35">
      <c r="A1916" s="6" t="s">
        <v>1937</v>
      </c>
      <c r="B1916" s="7">
        <v>0</v>
      </c>
      <c r="C1916" s="7">
        <v>9</v>
      </c>
      <c r="D1916" s="7">
        <v>3</v>
      </c>
      <c r="E1916" s="7">
        <v>6</v>
      </c>
      <c r="F1916">
        <v>1908</v>
      </c>
      <c r="G1916">
        <v>31</v>
      </c>
      <c r="H1916">
        <v>1.61</v>
      </c>
      <c r="I1916">
        <v>-5</v>
      </c>
      <c r="J1916">
        <v>-0.25</v>
      </c>
      <c r="K1916">
        <v>2486</v>
      </c>
      <c r="L1916">
        <v>1173</v>
      </c>
      <c r="M1916">
        <v>1313</v>
      </c>
      <c r="N1916">
        <v>1213.1400000000001</v>
      </c>
      <c r="O1916">
        <v>-0.36</v>
      </c>
      <c r="P1916">
        <v>0</v>
      </c>
      <c r="Q1916">
        <v>0.24</v>
      </c>
      <c r="R1916">
        <v>0.17</v>
      </c>
      <c r="S1916">
        <v>-239</v>
      </c>
      <c r="T1916">
        <v>65499</v>
      </c>
      <c r="U1916">
        <v>95455</v>
      </c>
      <c r="V1916">
        <v>74</v>
      </c>
      <c r="W1916">
        <v>12.61</v>
      </c>
      <c r="X1916" s="10">
        <v>0.81416043150702067</v>
      </c>
      <c r="Y1916" s="9">
        <v>24050</v>
      </c>
      <c r="Z1916" s="9">
        <v>15700</v>
      </c>
      <c r="AA1916" s="9">
        <v>24050</v>
      </c>
      <c r="AB1916">
        <v>1</v>
      </c>
      <c r="AC1916" s="11">
        <v>106.17254792998055</v>
      </c>
      <c r="AD1916" s="9">
        <v>15749.237288135593</v>
      </c>
      <c r="AE1916" s="8">
        <v>0.52215189873417722</v>
      </c>
    </row>
    <row r="1917" spans="1:31" x14ac:dyDescent="0.35">
      <c r="A1917" s="6" t="s">
        <v>1938</v>
      </c>
      <c r="B1917" s="7">
        <v>0</v>
      </c>
      <c r="C1917" s="7">
        <v>2</v>
      </c>
      <c r="D1917" s="7">
        <v>15</v>
      </c>
      <c r="E1917" s="7">
        <v>1</v>
      </c>
      <c r="F1917">
        <v>324</v>
      </c>
      <c r="G1917">
        <v>-108</v>
      </c>
      <c r="H1917">
        <v>-33.33</v>
      </c>
      <c r="I1917">
        <v>-164</v>
      </c>
      <c r="J1917">
        <v>-50.44</v>
      </c>
      <c r="K1917">
        <v>593</v>
      </c>
      <c r="L1917">
        <v>283</v>
      </c>
      <c r="M1917">
        <v>311</v>
      </c>
      <c r="N1917">
        <v>42.07</v>
      </c>
      <c r="O1917">
        <v>-61.51</v>
      </c>
      <c r="P1917">
        <v>0</v>
      </c>
      <c r="Q1917">
        <v>2.0299999999999998</v>
      </c>
      <c r="R1917">
        <v>1.1200000000000001</v>
      </c>
      <c r="S1917">
        <v>-528</v>
      </c>
      <c r="T1917">
        <v>579</v>
      </c>
      <c r="U1917">
        <v>1048</v>
      </c>
      <c r="V1917">
        <v>-130</v>
      </c>
      <c r="W1917">
        <v>-5.09</v>
      </c>
      <c r="X1917" s="10">
        <v>0.39882585775939039</v>
      </c>
      <c r="Y1917" s="9">
        <v>1465</v>
      </c>
      <c r="Z1917" s="9">
        <v>1040</v>
      </c>
      <c r="AA1917" s="9">
        <v>1355</v>
      </c>
      <c r="AB1917">
        <v>0.74117647058823533</v>
      </c>
      <c r="AC1917" s="11">
        <v>3.9241455959988887</v>
      </c>
      <c r="AD1917" s="9">
        <v>1165.1468926553671</v>
      </c>
      <c r="AE1917" s="8">
        <v>0.28436018957345971</v>
      </c>
    </row>
    <row r="1918" spans="1:31" x14ac:dyDescent="0.35">
      <c r="A1918" s="6" t="s">
        <v>1939</v>
      </c>
      <c r="B1918" s="7">
        <v>0</v>
      </c>
      <c r="C1918" s="7">
        <v>0</v>
      </c>
      <c r="D1918" s="7">
        <v>0</v>
      </c>
      <c r="E1918" s="7">
        <v>18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 s="10">
        <v>0.81221374893759779</v>
      </c>
      <c r="Y1918" s="9">
        <v>2320</v>
      </c>
      <c r="Z1918" s="9">
        <v>2010</v>
      </c>
      <c r="AA1918" s="9">
        <v>2305</v>
      </c>
      <c r="AB1918">
        <v>0.95161290322580649</v>
      </c>
      <c r="AC1918" s="11">
        <v>4.1462906362878575</v>
      </c>
      <c r="AD1918" s="9">
        <v>2039.2881355932204</v>
      </c>
      <c r="AE1918" s="8">
        <v>0.14392059553349876</v>
      </c>
    </row>
    <row r="1919" spans="1:31" x14ac:dyDescent="0.35">
      <c r="A1919" s="6" t="s">
        <v>1940</v>
      </c>
      <c r="B1919" s="7">
        <v>5</v>
      </c>
      <c r="C1919" s="7">
        <v>3</v>
      </c>
      <c r="D1919" s="7">
        <v>8</v>
      </c>
      <c r="E1919" s="7">
        <v>2</v>
      </c>
      <c r="F1919">
        <v>569</v>
      </c>
      <c r="G1919">
        <v>79</v>
      </c>
      <c r="H1919">
        <v>13.86</v>
      </c>
      <c r="I1919">
        <v>78</v>
      </c>
      <c r="J1919">
        <v>13.77</v>
      </c>
      <c r="K1919">
        <v>1066</v>
      </c>
      <c r="L1919">
        <v>145</v>
      </c>
      <c r="M1919">
        <v>921</v>
      </c>
      <c r="N1919">
        <v>2497.4699999999998</v>
      </c>
      <c r="O1919">
        <v>8.81</v>
      </c>
      <c r="P1919">
        <v>12.49</v>
      </c>
      <c r="Q1919">
        <v>1.06</v>
      </c>
      <c r="R1919">
        <v>1.72</v>
      </c>
      <c r="S1919">
        <v>1105</v>
      </c>
      <c r="T1919">
        <v>12987</v>
      </c>
      <c r="U1919">
        <v>8026</v>
      </c>
      <c r="V1919">
        <v>88</v>
      </c>
      <c r="W1919">
        <v>11.11</v>
      </c>
      <c r="X1919" s="10">
        <v>0.61068791460654559</v>
      </c>
      <c r="Y1919" s="9">
        <v>15550</v>
      </c>
      <c r="Z1919" s="9">
        <v>13450</v>
      </c>
      <c r="AA1919" s="9">
        <v>15050</v>
      </c>
      <c r="AB1919">
        <v>0.76190476190476186</v>
      </c>
      <c r="AC1919" s="11">
        <v>24.469297026951931</v>
      </c>
      <c r="AD1919" s="9">
        <v>13391.186440677966</v>
      </c>
      <c r="AE1919" s="8">
        <v>7.8853046594982074E-2</v>
      </c>
    </row>
    <row r="1920" spans="1:31" x14ac:dyDescent="0.35">
      <c r="A1920" s="6" t="s">
        <v>1941</v>
      </c>
      <c r="B1920" s="7">
        <v>2</v>
      </c>
      <c r="C1920" s="7">
        <v>5</v>
      </c>
      <c r="D1920" s="7">
        <v>1</v>
      </c>
      <c r="E1920" s="7">
        <v>10</v>
      </c>
      <c r="F1920">
        <v>726</v>
      </c>
      <c r="G1920">
        <v>-53</v>
      </c>
      <c r="H1920">
        <v>-7.35</v>
      </c>
      <c r="I1920">
        <v>-61</v>
      </c>
      <c r="J1920">
        <v>-8.4</v>
      </c>
      <c r="K1920">
        <v>599</v>
      </c>
      <c r="L1920">
        <v>178</v>
      </c>
      <c r="M1920">
        <v>421</v>
      </c>
      <c r="N1920">
        <v>318.07</v>
      </c>
      <c r="O1920">
        <v>-13.48</v>
      </c>
      <c r="P1920">
        <v>0</v>
      </c>
      <c r="Q1920">
        <v>0.68</v>
      </c>
      <c r="R1920">
        <v>0.31</v>
      </c>
      <c r="S1920">
        <v>-1384</v>
      </c>
      <c r="T1920">
        <v>7567</v>
      </c>
      <c r="U1920">
        <v>16487</v>
      </c>
      <c r="V1920">
        <v>-39</v>
      </c>
      <c r="W1920">
        <v>-7.27</v>
      </c>
      <c r="X1920" s="10">
        <v>0.26244455627855906</v>
      </c>
      <c r="Y1920" s="9">
        <v>9000</v>
      </c>
      <c r="Z1920" s="9">
        <v>4510</v>
      </c>
      <c r="AA1920" s="9">
        <v>5690</v>
      </c>
      <c r="AB1920">
        <v>0.26280623608017817</v>
      </c>
      <c r="AC1920" s="11">
        <v>28.651153098082805</v>
      </c>
      <c r="AD1920" s="9">
        <v>4610.556497175141</v>
      </c>
      <c r="AE1920" s="8">
        <v>0.10485436893203884</v>
      </c>
    </row>
    <row r="1921" spans="1:31" x14ac:dyDescent="0.35">
      <c r="A1921" s="6" t="s">
        <v>1942</v>
      </c>
      <c r="B1921" s="7">
        <v>1</v>
      </c>
      <c r="C1921" s="7">
        <v>3</v>
      </c>
      <c r="D1921" s="7">
        <v>4</v>
      </c>
      <c r="E1921" s="7">
        <v>10</v>
      </c>
      <c r="F1921">
        <v>16056</v>
      </c>
      <c r="G1921">
        <v>953</v>
      </c>
      <c r="H1921">
        <v>5.94</v>
      </c>
      <c r="I1921">
        <v>313</v>
      </c>
      <c r="J1921">
        <v>1.95</v>
      </c>
      <c r="K1921">
        <v>33046</v>
      </c>
      <c r="L1921">
        <v>19317</v>
      </c>
      <c r="M1921">
        <v>13730</v>
      </c>
      <c r="N1921">
        <v>288.81</v>
      </c>
      <c r="O1921">
        <v>2.25</v>
      </c>
      <c r="P1921">
        <v>52.48</v>
      </c>
      <c r="Q1921">
        <v>1.41</v>
      </c>
      <c r="R1921">
        <v>1</v>
      </c>
      <c r="S1921">
        <v>443</v>
      </c>
      <c r="T1921">
        <v>16533</v>
      </c>
      <c r="U1921">
        <v>23256</v>
      </c>
      <c r="V1921">
        <v>2085</v>
      </c>
      <c r="W1921">
        <v>13.23</v>
      </c>
      <c r="X1921" s="10">
        <v>0.29083280452113547</v>
      </c>
      <c r="Y1921" s="9">
        <v>23550</v>
      </c>
      <c r="Z1921" s="9">
        <v>21550</v>
      </c>
      <c r="AA1921" s="9">
        <v>21950</v>
      </c>
      <c r="AB1921">
        <v>0.2</v>
      </c>
      <c r="AC1921" s="11">
        <v>-14.729091414281745</v>
      </c>
      <c r="AD1921" s="9">
        <v>23265.903954802263</v>
      </c>
      <c r="AE1921" s="8">
        <v>-5.9957173447537475E-2</v>
      </c>
    </row>
    <row r="1922" spans="1:31" x14ac:dyDescent="0.35">
      <c r="A1922" s="6" t="s">
        <v>1943</v>
      </c>
      <c r="B1922" s="7">
        <v>0</v>
      </c>
      <c r="C1922" s="7">
        <v>0</v>
      </c>
      <c r="D1922" s="7">
        <v>0</v>
      </c>
      <c r="E1922" s="7">
        <v>18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 s="10">
        <v>0.13060281768476759</v>
      </c>
      <c r="Y1922" s="9">
        <v>18100</v>
      </c>
      <c r="Z1922" s="9">
        <v>16950</v>
      </c>
      <c r="AA1922" s="9">
        <v>17600</v>
      </c>
      <c r="AB1922">
        <v>0.56521739130434778</v>
      </c>
      <c r="AC1922" s="11">
        <v>-6.0947485412614615</v>
      </c>
      <c r="AD1922" s="9">
        <v>17698.389830508473</v>
      </c>
      <c r="AE1922" s="8">
        <v>-2.7624309392265192E-2</v>
      </c>
    </row>
    <row r="1923" spans="1:31" x14ac:dyDescent="0.35">
      <c r="A1923" s="6" t="s">
        <v>1944</v>
      </c>
      <c r="B1923" s="7">
        <v>0</v>
      </c>
      <c r="C1923" s="7">
        <v>14</v>
      </c>
      <c r="D1923" s="7">
        <v>1</v>
      </c>
      <c r="E1923" s="7">
        <v>3</v>
      </c>
      <c r="F1923">
        <v>671</v>
      </c>
      <c r="G1923">
        <v>650</v>
      </c>
      <c r="H1923">
        <v>96.83</v>
      </c>
      <c r="I1923">
        <v>307</v>
      </c>
      <c r="J1923">
        <v>45.76</v>
      </c>
      <c r="K1923">
        <v>17773</v>
      </c>
      <c r="L1923">
        <v>8250</v>
      </c>
      <c r="M1923">
        <v>9523</v>
      </c>
      <c r="N1923">
        <v>774.68</v>
      </c>
      <c r="O1923">
        <v>3.27</v>
      </c>
      <c r="P1923">
        <v>8.6199999999999992</v>
      </c>
      <c r="Q1923">
        <v>0.3</v>
      </c>
      <c r="R1923">
        <v>4</v>
      </c>
      <c r="S1923">
        <v>1416</v>
      </c>
      <c r="T1923">
        <v>40200</v>
      </c>
      <c r="U1923">
        <v>3051</v>
      </c>
      <c r="V1923">
        <v>652</v>
      </c>
      <c r="W1923">
        <v>17.010000000000002</v>
      </c>
      <c r="X1923" s="10">
        <v>0.53477276252456318</v>
      </c>
      <c r="Y1923" s="9">
        <v>12950</v>
      </c>
      <c r="Z1923" s="9">
        <v>11400</v>
      </c>
      <c r="AA1923" s="9">
        <v>12300</v>
      </c>
      <c r="AB1923">
        <v>0.58064516129032262</v>
      </c>
      <c r="AC1923" s="11">
        <v>16.611558766323977</v>
      </c>
      <c r="AD1923" s="9">
        <v>11529.180790960452</v>
      </c>
      <c r="AE1923" s="8">
        <v>8.1967213114754103E-3</v>
      </c>
    </row>
    <row r="1924" spans="1:31" x14ac:dyDescent="0.35">
      <c r="A1924" s="6" t="s">
        <v>1945</v>
      </c>
      <c r="B1924" s="7">
        <v>0</v>
      </c>
      <c r="C1924" s="7">
        <v>0</v>
      </c>
      <c r="D1924" s="7">
        <v>0</v>
      </c>
      <c r="E1924" s="7">
        <v>18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 s="10">
        <v>0.41971380757389065</v>
      </c>
      <c r="Y1924" s="9">
        <v>9540</v>
      </c>
      <c r="Z1924" s="9">
        <v>8610</v>
      </c>
      <c r="AA1924" s="9">
        <v>9540</v>
      </c>
      <c r="AB1924">
        <v>1</v>
      </c>
      <c r="AC1924" s="11">
        <v>9.5818282856348986</v>
      </c>
      <c r="AD1924" s="9">
        <v>8606.2542372881362</v>
      </c>
      <c r="AE1924" s="8">
        <v>5.5309734513274339E-2</v>
      </c>
    </row>
    <row r="1925" spans="1:31" x14ac:dyDescent="0.35">
      <c r="A1925" s="6" t="s">
        <v>1946</v>
      </c>
      <c r="B1925" s="7">
        <v>9</v>
      </c>
      <c r="C1925" s="7">
        <v>7</v>
      </c>
      <c r="D1925" s="7">
        <v>2</v>
      </c>
      <c r="E1925" s="7">
        <v>0</v>
      </c>
      <c r="F1925">
        <v>761</v>
      </c>
      <c r="G1925">
        <v>37</v>
      </c>
      <c r="H1925">
        <v>4.93</v>
      </c>
      <c r="I1925">
        <v>34</v>
      </c>
      <c r="J1925">
        <v>4.4800000000000004</v>
      </c>
      <c r="K1925">
        <v>823</v>
      </c>
      <c r="L1925">
        <v>113</v>
      </c>
      <c r="M1925">
        <v>710</v>
      </c>
      <c r="N1925">
        <v>1015.64</v>
      </c>
      <c r="O1925">
        <v>4.9000000000000004</v>
      </c>
      <c r="P1925">
        <v>16.37</v>
      </c>
      <c r="Q1925">
        <v>0.81</v>
      </c>
      <c r="R1925">
        <v>0.73</v>
      </c>
      <c r="S1925">
        <v>271</v>
      </c>
      <c r="T1925">
        <v>5448</v>
      </c>
      <c r="U1925">
        <v>6053</v>
      </c>
      <c r="V1925">
        <v>60</v>
      </c>
      <c r="W1925">
        <v>9.4700000000000006</v>
      </c>
      <c r="X1925" s="10">
        <v>0.78836629093792843</v>
      </c>
      <c r="Y1925" s="9">
        <v>5880</v>
      </c>
      <c r="Z1925" s="9">
        <v>4200</v>
      </c>
      <c r="AA1925" s="9">
        <v>5850</v>
      </c>
      <c r="AB1925">
        <v>0.9821428571428571</v>
      </c>
      <c r="AC1925" s="11">
        <v>30.148374548485698</v>
      </c>
      <c r="AD1925" s="9">
        <v>4001.1412429378533</v>
      </c>
      <c r="AE1925" s="8">
        <v>0.32954545454545453</v>
      </c>
    </row>
    <row r="1926" spans="1:31" x14ac:dyDescent="0.35">
      <c r="A1926" s="6" t="s">
        <v>1947</v>
      </c>
      <c r="B1926" s="7">
        <v>6</v>
      </c>
      <c r="C1926" s="7">
        <v>2</v>
      </c>
      <c r="D1926" s="7">
        <v>3</v>
      </c>
      <c r="E1926" s="7">
        <v>7</v>
      </c>
      <c r="F1926">
        <v>546</v>
      </c>
      <c r="G1926">
        <v>22</v>
      </c>
      <c r="H1926">
        <v>4.01</v>
      </c>
      <c r="I1926">
        <v>30</v>
      </c>
      <c r="J1926">
        <v>5.47</v>
      </c>
      <c r="K1926">
        <v>785</v>
      </c>
      <c r="L1926">
        <v>349</v>
      </c>
      <c r="M1926">
        <v>436</v>
      </c>
      <c r="N1926">
        <v>374.23</v>
      </c>
      <c r="O1926">
        <v>7.11</v>
      </c>
      <c r="P1926">
        <v>9.4499999999999993</v>
      </c>
      <c r="Q1926">
        <v>0.66</v>
      </c>
      <c r="R1926">
        <v>0.52</v>
      </c>
      <c r="S1926">
        <v>163</v>
      </c>
      <c r="T1926">
        <v>2347</v>
      </c>
      <c r="U1926">
        <v>2977</v>
      </c>
      <c r="V1926">
        <v>26</v>
      </c>
      <c r="W1926">
        <v>20.74</v>
      </c>
      <c r="X1926" s="10">
        <v>0.46794734151354955</v>
      </c>
      <c r="Y1926" s="9">
        <v>1995</v>
      </c>
      <c r="Z1926" s="9">
        <v>1520</v>
      </c>
      <c r="AA1926" s="9">
        <v>1865</v>
      </c>
      <c r="AB1926">
        <v>0.72631578947368425</v>
      </c>
      <c r="AC1926" s="11">
        <v>5.0027785495971093</v>
      </c>
      <c r="AD1926" s="9">
        <v>1637.2485875706213</v>
      </c>
      <c r="AE1926" s="8">
        <v>0.22697368421052633</v>
      </c>
    </row>
    <row r="1927" spans="1:31" x14ac:dyDescent="0.35">
      <c r="A1927" s="6" t="s">
        <v>1948</v>
      </c>
      <c r="B1927" s="7">
        <v>0</v>
      </c>
      <c r="C1927" s="7">
        <v>6</v>
      </c>
      <c r="D1927" s="7">
        <v>0</v>
      </c>
      <c r="E1927" s="7">
        <v>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113</v>
      </c>
      <c r="L1927">
        <v>9</v>
      </c>
      <c r="M1927">
        <v>104</v>
      </c>
      <c r="N1927">
        <v>1794.99</v>
      </c>
      <c r="O1927">
        <v>-0.03</v>
      </c>
      <c r="P1927">
        <v>0</v>
      </c>
      <c r="Q1927">
        <v>1.06</v>
      </c>
      <c r="R1927">
        <v>0</v>
      </c>
      <c r="S1927">
        <v>-1</v>
      </c>
      <c r="T1927">
        <v>1895</v>
      </c>
      <c r="U1927">
        <v>0</v>
      </c>
      <c r="V1927">
        <v>0</v>
      </c>
      <c r="W1927">
        <v>-782.59</v>
      </c>
      <c r="X1927" s="10">
        <v>0.86102493500879573</v>
      </c>
      <c r="Y1927" s="9">
        <v>2315</v>
      </c>
      <c r="Z1927" s="9">
        <v>2005</v>
      </c>
      <c r="AA1927" s="9">
        <v>2250</v>
      </c>
      <c r="AB1927">
        <v>0.79032258064516125</v>
      </c>
      <c r="AC1927" s="11">
        <v>4.8546818560711316</v>
      </c>
      <c r="AD1927" s="9">
        <v>2016.0988700564969</v>
      </c>
      <c r="AE1927" s="8">
        <v>0.12219451371571072</v>
      </c>
    </row>
    <row r="1928" spans="1:31" x14ac:dyDescent="0.35">
      <c r="A1928" s="6" t="s">
        <v>1949</v>
      </c>
      <c r="B1928" s="7">
        <v>3</v>
      </c>
      <c r="C1928" s="7">
        <v>12</v>
      </c>
      <c r="D1928" s="7">
        <v>1</v>
      </c>
      <c r="E1928" s="7">
        <v>2</v>
      </c>
      <c r="F1928">
        <v>122</v>
      </c>
      <c r="G1928">
        <v>2</v>
      </c>
      <c r="H1928">
        <v>1.73</v>
      </c>
      <c r="I1928">
        <v>13</v>
      </c>
      <c r="J1928">
        <v>10.86</v>
      </c>
      <c r="K1928">
        <v>688</v>
      </c>
      <c r="L1928">
        <v>90</v>
      </c>
      <c r="M1928">
        <v>598</v>
      </c>
      <c r="N1928">
        <v>3886.58</v>
      </c>
      <c r="O1928">
        <v>2.23</v>
      </c>
      <c r="P1928">
        <v>23.95</v>
      </c>
      <c r="Q1928">
        <v>0.53</v>
      </c>
      <c r="R1928">
        <v>2.6</v>
      </c>
      <c r="S1928">
        <v>885</v>
      </c>
      <c r="T1928">
        <v>39649</v>
      </c>
      <c r="U1928">
        <v>8153</v>
      </c>
      <c r="V1928">
        <v>5</v>
      </c>
      <c r="W1928">
        <v>58.79</v>
      </c>
      <c r="X1928" s="10">
        <v>0.87981760574143997</v>
      </c>
      <c r="Y1928" s="9">
        <v>35150</v>
      </c>
      <c r="Z1928" s="9">
        <v>20600</v>
      </c>
      <c r="AA1928" s="9">
        <v>33350</v>
      </c>
      <c r="AB1928">
        <v>0.87628865979381443</v>
      </c>
      <c r="AC1928" s="11">
        <v>267.0255626562934</v>
      </c>
      <c r="AD1928" s="9">
        <v>18236.553672316382</v>
      </c>
      <c r="AE1928" s="8">
        <v>0.60722891566265058</v>
      </c>
    </row>
    <row r="1929" spans="1:31" x14ac:dyDescent="0.35">
      <c r="A1929" s="6" t="s">
        <v>1950</v>
      </c>
      <c r="B1929" s="7">
        <v>3</v>
      </c>
      <c r="C1929" s="7">
        <v>8</v>
      </c>
      <c r="D1929" s="7">
        <v>5</v>
      </c>
      <c r="E1929" s="7">
        <v>2</v>
      </c>
      <c r="F1929">
        <v>367334</v>
      </c>
      <c r="G1929">
        <v>9381</v>
      </c>
      <c r="H1929">
        <v>2.5499999999999998</v>
      </c>
      <c r="I1929">
        <v>930</v>
      </c>
      <c r="J1929">
        <v>0.25</v>
      </c>
      <c r="K1929">
        <v>451160</v>
      </c>
      <c r="L1929">
        <v>361498</v>
      </c>
      <c r="M1929">
        <v>89662</v>
      </c>
      <c r="N1929">
        <v>1864.76</v>
      </c>
      <c r="O1929">
        <v>1.07</v>
      </c>
      <c r="P1929">
        <v>47.24</v>
      </c>
      <c r="Q1929">
        <v>0.52</v>
      </c>
      <c r="R1929">
        <v>0.12</v>
      </c>
      <c r="S1929">
        <v>1049</v>
      </c>
      <c r="T1929">
        <v>95854</v>
      </c>
      <c r="U1929">
        <v>419153</v>
      </c>
      <c r="V1929">
        <v>18484</v>
      </c>
      <c r="W1929">
        <v>18.96</v>
      </c>
      <c r="X1929" s="10">
        <v>0.81976603526744063</v>
      </c>
      <c r="Y1929" s="9">
        <v>50000</v>
      </c>
      <c r="Z1929" s="9">
        <v>40650</v>
      </c>
      <c r="AA1929" s="9">
        <v>41150</v>
      </c>
      <c r="AB1929">
        <v>5.3475935828877004E-2</v>
      </c>
      <c r="AC1929" s="11">
        <v>-132.72020005557098</v>
      </c>
      <c r="AD1929" s="9">
        <v>47917.966101694918</v>
      </c>
      <c r="AE1929" s="8">
        <v>-0.17699999999999999</v>
      </c>
    </row>
    <row r="1930" spans="1:31" x14ac:dyDescent="0.35">
      <c r="A1930" s="6" t="s">
        <v>1951</v>
      </c>
      <c r="B1930" s="7">
        <v>1</v>
      </c>
      <c r="C1930" s="7">
        <v>15</v>
      </c>
      <c r="D1930" s="7">
        <v>2</v>
      </c>
      <c r="E1930" s="7">
        <v>0</v>
      </c>
      <c r="F1930">
        <v>572</v>
      </c>
      <c r="G1930">
        <v>50</v>
      </c>
      <c r="H1930">
        <v>8.83</v>
      </c>
      <c r="I1930">
        <v>50</v>
      </c>
      <c r="J1930">
        <v>8.69</v>
      </c>
      <c r="K1930">
        <v>839</v>
      </c>
      <c r="L1930">
        <v>152</v>
      </c>
      <c r="M1930">
        <v>686</v>
      </c>
      <c r="N1930">
        <v>521.62</v>
      </c>
      <c r="O1930">
        <v>7.43</v>
      </c>
      <c r="P1930">
        <v>9.67</v>
      </c>
      <c r="Q1930">
        <v>0.75</v>
      </c>
      <c r="R1930">
        <v>0.84</v>
      </c>
      <c r="S1930">
        <v>229</v>
      </c>
      <c r="T1930">
        <v>2939</v>
      </c>
      <c r="U1930">
        <v>2636</v>
      </c>
      <c r="V1930">
        <v>75</v>
      </c>
      <c r="W1930">
        <v>6.81</v>
      </c>
      <c r="X1930" s="10">
        <v>0.78495606016550945</v>
      </c>
      <c r="Y1930" s="9">
        <v>2800</v>
      </c>
      <c r="Z1930" s="9">
        <v>2060</v>
      </c>
      <c r="AA1930" s="9">
        <v>2800</v>
      </c>
      <c r="AB1930">
        <v>1</v>
      </c>
      <c r="AC1930" s="11">
        <v>10.310780772436788</v>
      </c>
      <c r="AD1930" s="9">
        <v>2043.7711864406779</v>
      </c>
      <c r="AE1930" s="8">
        <v>0.2669683257918552</v>
      </c>
    </row>
    <row r="1931" spans="1:31" x14ac:dyDescent="0.35">
      <c r="A1931" s="6" t="s">
        <v>1952</v>
      </c>
      <c r="B1931" s="7">
        <v>4</v>
      </c>
      <c r="C1931" s="7">
        <v>13</v>
      </c>
      <c r="D1931" s="7">
        <v>0</v>
      </c>
      <c r="E1931" s="7">
        <v>1</v>
      </c>
      <c r="F1931">
        <v>4382</v>
      </c>
      <c r="G1931">
        <v>134</v>
      </c>
      <c r="H1931">
        <v>3.07</v>
      </c>
      <c r="I1931">
        <v>258</v>
      </c>
      <c r="J1931">
        <v>5.89</v>
      </c>
      <c r="K1931">
        <v>3796</v>
      </c>
      <c r="L1931">
        <v>1174</v>
      </c>
      <c r="M1931">
        <v>2622</v>
      </c>
      <c r="N1931">
        <v>1558.42</v>
      </c>
      <c r="O1931">
        <v>10.199999999999999</v>
      </c>
      <c r="P1931">
        <v>4.88</v>
      </c>
      <c r="Q1931">
        <v>0.5</v>
      </c>
      <c r="R1931">
        <v>0.28999999999999998</v>
      </c>
      <c r="S1931">
        <v>8433</v>
      </c>
      <c r="T1931">
        <v>81667</v>
      </c>
      <c r="U1931">
        <v>143289</v>
      </c>
      <c r="V1931">
        <v>259</v>
      </c>
      <c r="W1931">
        <v>5.05</v>
      </c>
      <c r="X1931" s="10">
        <v>0.32372113369910932</v>
      </c>
      <c r="Y1931" s="9">
        <v>43400</v>
      </c>
      <c r="Z1931" s="9">
        <v>36400</v>
      </c>
      <c r="AA1931" s="9">
        <v>37600</v>
      </c>
      <c r="AB1931">
        <v>0.17142857142857143</v>
      </c>
      <c r="AC1931" s="11">
        <v>-59.292859127535415</v>
      </c>
      <c r="AD1931" s="9">
        <v>41467.598870056492</v>
      </c>
      <c r="AE1931" s="8">
        <v>-8.2926829268292687E-2</v>
      </c>
    </row>
    <row r="1932" spans="1:31" x14ac:dyDescent="0.35">
      <c r="A1932" s="6" t="s">
        <v>1953</v>
      </c>
      <c r="B1932" s="7">
        <v>3</v>
      </c>
      <c r="C1932" s="7">
        <v>5</v>
      </c>
      <c r="D1932" s="7">
        <v>6</v>
      </c>
      <c r="E1932" s="7">
        <v>4</v>
      </c>
      <c r="F1932">
        <v>951</v>
      </c>
      <c r="G1932">
        <v>397</v>
      </c>
      <c r="H1932">
        <v>41.8</v>
      </c>
      <c r="I1932">
        <v>397</v>
      </c>
      <c r="J1932">
        <v>41.74</v>
      </c>
      <c r="K1932">
        <v>38312</v>
      </c>
      <c r="L1932">
        <v>11120</v>
      </c>
      <c r="M1932">
        <v>27192</v>
      </c>
      <c r="N1932">
        <v>799.37</v>
      </c>
      <c r="O1932">
        <v>1.47</v>
      </c>
      <c r="P1932">
        <v>71.959999999999994</v>
      </c>
      <c r="Q1932">
        <v>1.1000000000000001</v>
      </c>
      <c r="R1932">
        <v>29.88</v>
      </c>
      <c r="S1932">
        <v>674</v>
      </c>
      <c r="T1932">
        <v>44138</v>
      </c>
      <c r="U1932">
        <v>1623</v>
      </c>
      <c r="V1932">
        <v>0</v>
      </c>
      <c r="W1932">
        <v>0</v>
      </c>
      <c r="X1932" s="10">
        <v>0.74216826878184605</v>
      </c>
      <c r="Y1932" s="9">
        <v>59300</v>
      </c>
      <c r="Z1932" s="9">
        <v>46600</v>
      </c>
      <c r="AA1932" s="9">
        <v>58700</v>
      </c>
      <c r="AB1932">
        <v>0.952755905511811</v>
      </c>
      <c r="AC1932" s="11">
        <v>148.33842734092804</v>
      </c>
      <c r="AD1932" s="9">
        <v>47350.677966101692</v>
      </c>
      <c r="AE1932" s="8">
        <v>0.20533880903490759</v>
      </c>
    </row>
    <row r="1933" spans="1:31" x14ac:dyDescent="0.35">
      <c r="A1933" s="6" t="s">
        <v>1954</v>
      </c>
      <c r="B1933" s="7">
        <v>0</v>
      </c>
      <c r="C1933" s="7">
        <v>0</v>
      </c>
      <c r="D1933" s="7">
        <v>0</v>
      </c>
      <c r="E1933" s="7">
        <v>18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 s="10">
        <v>0.82813894667355492</v>
      </c>
      <c r="Y1933" s="9">
        <v>31200</v>
      </c>
      <c r="Z1933" s="9">
        <v>24200</v>
      </c>
      <c r="AA1933" s="9">
        <v>31200</v>
      </c>
      <c r="AB1933">
        <v>1</v>
      </c>
      <c r="AC1933" s="11">
        <v>92.240900250069444</v>
      </c>
      <c r="AD1933" s="9">
        <v>24837.485875706214</v>
      </c>
      <c r="AE1933" s="8">
        <v>0.24302788844621515</v>
      </c>
    </row>
    <row r="1934" spans="1:31" x14ac:dyDescent="0.35">
      <c r="A1934" s="6" t="s">
        <v>1955</v>
      </c>
      <c r="B1934" s="7">
        <v>6</v>
      </c>
      <c r="C1934" s="7">
        <v>5</v>
      </c>
      <c r="D1934" s="7">
        <v>6</v>
      </c>
      <c r="E1934" s="7">
        <v>1</v>
      </c>
      <c r="F1934">
        <v>415</v>
      </c>
      <c r="G1934">
        <v>85</v>
      </c>
      <c r="H1934">
        <v>20.61</v>
      </c>
      <c r="I1934">
        <v>98</v>
      </c>
      <c r="J1934">
        <v>23.64</v>
      </c>
      <c r="K1934">
        <v>927</v>
      </c>
      <c r="L1934">
        <v>160</v>
      </c>
      <c r="M1934">
        <v>767</v>
      </c>
      <c r="N1934">
        <v>223.18</v>
      </c>
      <c r="O1934">
        <v>12.83</v>
      </c>
      <c r="P1934">
        <v>17.3</v>
      </c>
      <c r="Q1934">
        <v>2.2799999999999998</v>
      </c>
      <c r="R1934">
        <v>4.09</v>
      </c>
      <c r="S1934">
        <v>2197</v>
      </c>
      <c r="T1934">
        <v>16675</v>
      </c>
      <c r="U1934">
        <v>9295</v>
      </c>
      <c r="V1934">
        <v>88</v>
      </c>
      <c r="W1934">
        <v>19.579999999999998</v>
      </c>
      <c r="X1934" s="10">
        <v>0.71283712162410517</v>
      </c>
      <c r="Y1934" s="9">
        <v>41450</v>
      </c>
      <c r="Z1934" s="9">
        <v>35700</v>
      </c>
      <c r="AA1934" s="9">
        <v>41450</v>
      </c>
      <c r="AB1934">
        <v>1</v>
      </c>
      <c r="AC1934" s="11">
        <v>78.032786885245912</v>
      </c>
      <c r="AD1934" s="9">
        <v>35771.666666666664</v>
      </c>
      <c r="AE1934" s="8">
        <v>7.5226977950713356E-2</v>
      </c>
    </row>
    <row r="1935" spans="1:31" x14ac:dyDescent="0.35">
      <c r="A1935" s="6" t="s">
        <v>1956</v>
      </c>
      <c r="B1935" s="7">
        <v>4</v>
      </c>
      <c r="C1935" s="7">
        <v>3</v>
      </c>
      <c r="D1935" s="7">
        <v>9</v>
      </c>
      <c r="E1935" s="7">
        <v>2</v>
      </c>
      <c r="F1935">
        <v>2628</v>
      </c>
      <c r="G1935">
        <v>137</v>
      </c>
      <c r="H1935">
        <v>5.22</v>
      </c>
      <c r="I1935">
        <v>72</v>
      </c>
      <c r="J1935">
        <v>2.72</v>
      </c>
      <c r="K1935">
        <v>1984</v>
      </c>
      <c r="L1935">
        <v>991</v>
      </c>
      <c r="M1935">
        <v>993</v>
      </c>
      <c r="N1935">
        <v>822.91</v>
      </c>
      <c r="O1935">
        <v>7.31</v>
      </c>
      <c r="P1935">
        <v>9.44</v>
      </c>
      <c r="Q1935">
        <v>0.74</v>
      </c>
      <c r="R1935">
        <v>0.26</v>
      </c>
      <c r="S1935">
        <v>337</v>
      </c>
      <c r="T1935">
        <v>4296</v>
      </c>
      <c r="U1935">
        <v>12360</v>
      </c>
      <c r="V1935">
        <v>198</v>
      </c>
      <c r="W1935">
        <v>6.04</v>
      </c>
      <c r="X1935" s="10">
        <v>0.88566718803945688</v>
      </c>
      <c r="Y1935" s="9">
        <v>3600</v>
      </c>
      <c r="Z1935" s="9">
        <v>3100</v>
      </c>
      <c r="AA1935" s="9">
        <v>3600</v>
      </c>
      <c r="AB1935">
        <v>1</v>
      </c>
      <c r="AC1935" s="11">
        <v>8.0969713809391504</v>
      </c>
      <c r="AD1935" s="9">
        <v>3045.2090395480222</v>
      </c>
      <c r="AE1935" s="8">
        <v>0.12324492979719189</v>
      </c>
    </row>
    <row r="1936" spans="1:31" x14ac:dyDescent="0.35">
      <c r="A1936" s="6" t="s">
        <v>1957</v>
      </c>
      <c r="B1936" s="7">
        <v>16</v>
      </c>
      <c r="C1936" s="7">
        <v>2</v>
      </c>
      <c r="D1936" s="7">
        <v>0</v>
      </c>
      <c r="E1936" s="7">
        <v>0</v>
      </c>
      <c r="F1936">
        <v>5554</v>
      </c>
      <c r="G1936">
        <v>602</v>
      </c>
      <c r="H1936">
        <v>10.84</v>
      </c>
      <c r="I1936">
        <v>521</v>
      </c>
      <c r="J1936">
        <v>9.3800000000000008</v>
      </c>
      <c r="K1936">
        <v>6006</v>
      </c>
      <c r="L1936">
        <v>1357</v>
      </c>
      <c r="M1936">
        <v>4649</v>
      </c>
      <c r="N1936">
        <v>8827.65</v>
      </c>
      <c r="O1936">
        <v>11.89</v>
      </c>
      <c r="P1936">
        <v>13.49</v>
      </c>
      <c r="Q1936">
        <v>1.54</v>
      </c>
      <c r="R1936">
        <v>1.27</v>
      </c>
      <c r="S1936">
        <v>5004</v>
      </c>
      <c r="T1936">
        <v>43838</v>
      </c>
      <c r="U1936">
        <v>53325</v>
      </c>
      <c r="V1936">
        <v>904</v>
      </c>
      <c r="W1936">
        <v>7.77</v>
      </c>
      <c r="X1936" s="10">
        <v>2.7807157435605721E-3</v>
      </c>
      <c r="Y1936" s="9">
        <v>69000</v>
      </c>
      <c r="Z1936" s="9">
        <v>58000</v>
      </c>
      <c r="AA1936" s="9">
        <v>67800</v>
      </c>
      <c r="AB1936">
        <v>0.89090909090909087</v>
      </c>
      <c r="AC1936" s="11">
        <v>-7.4187274242845316</v>
      </c>
      <c r="AD1936" s="9">
        <v>63582.937853107345</v>
      </c>
      <c r="AE1936" s="8">
        <v>2.4169184290030211E-2</v>
      </c>
    </row>
    <row r="1937" spans="1:31" x14ac:dyDescent="0.35">
      <c r="A1937" s="6" t="s">
        <v>1958</v>
      </c>
      <c r="B1937" s="7">
        <v>10</v>
      </c>
      <c r="C1937" s="7">
        <v>4</v>
      </c>
      <c r="D1937" s="7">
        <v>3</v>
      </c>
      <c r="E1937" s="7">
        <v>1</v>
      </c>
      <c r="F1937">
        <v>1534</v>
      </c>
      <c r="G1937">
        <v>95</v>
      </c>
      <c r="H1937">
        <v>6.19</v>
      </c>
      <c r="I1937">
        <v>90</v>
      </c>
      <c r="J1937">
        <v>5.9</v>
      </c>
      <c r="K1937">
        <v>1479</v>
      </c>
      <c r="L1937">
        <v>649</v>
      </c>
      <c r="M1937">
        <v>830</v>
      </c>
      <c r="N1937">
        <v>918.09</v>
      </c>
      <c r="O1937">
        <v>15.07</v>
      </c>
      <c r="P1937">
        <v>51.95</v>
      </c>
      <c r="Q1937">
        <v>5.75</v>
      </c>
      <c r="R1937">
        <v>3.07</v>
      </c>
      <c r="S1937">
        <v>514</v>
      </c>
      <c r="T1937">
        <v>4640</v>
      </c>
      <c r="U1937">
        <v>8710</v>
      </c>
      <c r="V1937">
        <v>187</v>
      </c>
      <c r="W1937">
        <v>24.12</v>
      </c>
      <c r="X1937" s="10">
        <v>0.21751322006847301</v>
      </c>
      <c r="Y1937" s="9">
        <v>36300</v>
      </c>
      <c r="Z1937" s="9">
        <v>26350</v>
      </c>
      <c r="AA1937" s="9">
        <v>28650</v>
      </c>
      <c r="AB1937">
        <v>0.23115577889447236</v>
      </c>
      <c r="AC1937" s="11">
        <v>-71.988052236732429</v>
      </c>
      <c r="AD1937" s="9">
        <v>33533.135593220337</v>
      </c>
      <c r="AE1937" s="8">
        <v>8.1132075471698109E-2</v>
      </c>
    </row>
    <row r="1938" spans="1:31" x14ac:dyDescent="0.35">
      <c r="A1938" s="6" t="s">
        <v>1959</v>
      </c>
      <c r="B1938" s="7">
        <v>6</v>
      </c>
      <c r="C1938" s="7">
        <v>2</v>
      </c>
      <c r="D1938" s="7">
        <v>10</v>
      </c>
      <c r="E1938" s="7">
        <v>0</v>
      </c>
      <c r="F1938">
        <v>2025</v>
      </c>
      <c r="G1938">
        <v>82</v>
      </c>
      <c r="H1938">
        <v>4.03</v>
      </c>
      <c r="I1938">
        <v>62</v>
      </c>
      <c r="J1938">
        <v>3.07</v>
      </c>
      <c r="K1938">
        <v>1792</v>
      </c>
      <c r="L1938">
        <v>710</v>
      </c>
      <c r="M1938">
        <v>1082</v>
      </c>
      <c r="N1938">
        <v>3205.37</v>
      </c>
      <c r="O1938">
        <v>5.91</v>
      </c>
      <c r="P1938">
        <v>7.57</v>
      </c>
      <c r="Q1938">
        <v>0.45</v>
      </c>
      <c r="R1938">
        <v>0.23</v>
      </c>
      <c r="S1938">
        <v>9498</v>
      </c>
      <c r="T1938">
        <v>161129</v>
      </c>
      <c r="U1938">
        <v>309156</v>
      </c>
      <c r="V1938">
        <v>95</v>
      </c>
      <c r="W1938">
        <v>8.52</v>
      </c>
      <c r="X1938" s="10">
        <v>0.39222608699610317</v>
      </c>
      <c r="Y1938" s="9">
        <v>83000</v>
      </c>
      <c r="Z1938" s="9">
        <v>66600</v>
      </c>
      <c r="AA1938" s="9">
        <v>74400</v>
      </c>
      <c r="AB1938">
        <v>0.47560975609756095</v>
      </c>
      <c r="AC1938" s="11">
        <v>153.86774103917753</v>
      </c>
      <c r="AD1938" s="9">
        <v>68878.700564971761</v>
      </c>
      <c r="AE1938" s="8">
        <v>3.3333333333333333E-2</v>
      </c>
    </row>
    <row r="1939" spans="1:31" x14ac:dyDescent="0.35">
      <c r="A1939" s="6" t="s">
        <v>1960</v>
      </c>
      <c r="B1939" s="7">
        <v>5</v>
      </c>
      <c r="C1939" s="7">
        <v>3</v>
      </c>
      <c r="D1939" s="7">
        <v>1</v>
      </c>
      <c r="E1939" s="7">
        <v>9</v>
      </c>
      <c r="F1939">
        <v>1472</v>
      </c>
      <c r="G1939">
        <v>61</v>
      </c>
      <c r="H1939">
        <v>4.16</v>
      </c>
      <c r="I1939">
        <v>36</v>
      </c>
      <c r="J1939">
        <v>2.46</v>
      </c>
      <c r="K1939">
        <v>1445</v>
      </c>
      <c r="L1939">
        <v>644</v>
      </c>
      <c r="M1939">
        <v>801</v>
      </c>
      <c r="N1939">
        <v>575.88</v>
      </c>
      <c r="O1939">
        <v>4.62</v>
      </c>
      <c r="P1939">
        <v>11.42</v>
      </c>
      <c r="Q1939">
        <v>0.54</v>
      </c>
      <c r="R1939">
        <v>0.28000000000000003</v>
      </c>
      <c r="S1939">
        <v>155</v>
      </c>
      <c r="T1939">
        <v>3250</v>
      </c>
      <c r="U1939">
        <v>6296</v>
      </c>
      <c r="V1939">
        <v>79</v>
      </c>
      <c r="W1939">
        <v>10.34</v>
      </c>
      <c r="X1939" s="10">
        <v>0.82350743632384338</v>
      </c>
      <c r="Y1939" s="9">
        <v>3145</v>
      </c>
      <c r="Z1939" s="9">
        <v>1710</v>
      </c>
      <c r="AA1939" s="9">
        <v>3010</v>
      </c>
      <c r="AB1939">
        <v>0.90592334494773519</v>
      </c>
      <c r="AC1939" s="11">
        <v>25.453320366768544</v>
      </c>
      <c r="AD1939" s="9">
        <v>1471.5903954802259</v>
      </c>
      <c r="AE1939" s="8">
        <v>0.65384615384615385</v>
      </c>
    </row>
    <row r="1940" spans="1:31" x14ac:dyDescent="0.35">
      <c r="A1940" s="6" t="s">
        <v>1961</v>
      </c>
      <c r="B1940" s="7">
        <v>4</v>
      </c>
      <c r="C1940" s="7">
        <v>0</v>
      </c>
      <c r="D1940" s="7">
        <v>7</v>
      </c>
      <c r="E1940" s="7">
        <v>7</v>
      </c>
      <c r="F1940">
        <v>1835</v>
      </c>
      <c r="G1940">
        <v>247</v>
      </c>
      <c r="H1940">
        <v>13.49</v>
      </c>
      <c r="I1940">
        <v>204</v>
      </c>
      <c r="J1940">
        <v>11.1</v>
      </c>
      <c r="K1940">
        <v>1097</v>
      </c>
      <c r="L1940">
        <v>253</v>
      </c>
      <c r="M1940">
        <v>844</v>
      </c>
      <c r="N1940">
        <v>1105.99</v>
      </c>
      <c r="O1940">
        <v>31.14</v>
      </c>
      <c r="P1940">
        <v>26.61</v>
      </c>
      <c r="Q1940">
        <v>8.7100000000000009</v>
      </c>
      <c r="R1940">
        <v>2.95</v>
      </c>
      <c r="S1940">
        <v>20892</v>
      </c>
      <c r="T1940">
        <v>63841</v>
      </c>
      <c r="U1940">
        <v>188185</v>
      </c>
      <c r="V1940">
        <v>342</v>
      </c>
      <c r="W1940">
        <v>21.14</v>
      </c>
      <c r="X1940" s="10">
        <v>2.9543836519937482E-2</v>
      </c>
      <c r="Y1940" s="9">
        <v>502000</v>
      </c>
      <c r="Z1940" s="9">
        <v>404500</v>
      </c>
      <c r="AA1940" s="9">
        <v>449000</v>
      </c>
      <c r="AB1940">
        <v>0.4564102564102564</v>
      </c>
      <c r="AC1940" s="11">
        <v>247.33259238677411</v>
      </c>
      <c r="AD1940" s="9">
        <v>453631.35593220341</v>
      </c>
      <c r="AE1940" s="8">
        <v>7.9326923076923073E-2</v>
      </c>
    </row>
    <row r="1941" spans="1:31" x14ac:dyDescent="0.35">
      <c r="A1941" s="6" t="s">
        <v>1962</v>
      </c>
      <c r="B1941" s="7">
        <v>7</v>
      </c>
      <c r="C1941" s="7">
        <v>6</v>
      </c>
      <c r="D1941" s="7">
        <v>1</v>
      </c>
      <c r="E1941" s="7">
        <v>4</v>
      </c>
      <c r="F1941">
        <v>1818</v>
      </c>
      <c r="G1941">
        <v>117</v>
      </c>
      <c r="H1941">
        <v>6.43</v>
      </c>
      <c r="I1941">
        <v>93</v>
      </c>
      <c r="J1941">
        <v>5.12</v>
      </c>
      <c r="K1941">
        <v>2410</v>
      </c>
      <c r="L1941">
        <v>546</v>
      </c>
      <c r="M1941">
        <v>1864</v>
      </c>
      <c r="N1941">
        <v>1672.09</v>
      </c>
      <c r="O1941">
        <v>5.12</v>
      </c>
      <c r="P1941">
        <v>10.95</v>
      </c>
      <c r="Q1941">
        <v>0.57999999999999996</v>
      </c>
      <c r="R1941">
        <v>0.56000000000000005</v>
      </c>
      <c r="S1941">
        <v>452</v>
      </c>
      <c r="T1941">
        <v>8472</v>
      </c>
      <c r="U1941">
        <v>8834</v>
      </c>
      <c r="V1941">
        <v>180</v>
      </c>
      <c r="W1941">
        <v>7.1</v>
      </c>
      <c r="X1941" s="10">
        <v>0.58508507717589398</v>
      </c>
      <c r="Y1941" s="9">
        <v>5790</v>
      </c>
      <c r="Z1941" s="9">
        <v>4605</v>
      </c>
      <c r="AA1941" s="9">
        <v>5750</v>
      </c>
      <c r="AB1941">
        <v>0.96624472573839659</v>
      </c>
      <c r="AC1941" s="11">
        <v>15.989997221450404</v>
      </c>
      <c r="AD1941" s="9">
        <v>4549.1384180790956</v>
      </c>
      <c r="AE1941" s="8">
        <v>0.12085769980506822</v>
      </c>
    </row>
    <row r="1942" spans="1:31" x14ac:dyDescent="0.35">
      <c r="A1942" s="6" t="s">
        <v>1963</v>
      </c>
      <c r="B1942" s="7">
        <v>10</v>
      </c>
      <c r="C1942" s="7">
        <v>3</v>
      </c>
      <c r="D1942" s="7">
        <v>3</v>
      </c>
      <c r="E1942" s="7">
        <v>2</v>
      </c>
      <c r="F1942">
        <v>2275</v>
      </c>
      <c r="G1942">
        <v>58</v>
      </c>
      <c r="H1942">
        <v>2.5299999999999998</v>
      </c>
      <c r="I1942">
        <v>73</v>
      </c>
      <c r="J1942">
        <v>3.21</v>
      </c>
      <c r="K1942">
        <v>5336</v>
      </c>
      <c r="L1942">
        <v>757</v>
      </c>
      <c r="M1942">
        <v>4580</v>
      </c>
      <c r="N1942">
        <v>555.35</v>
      </c>
      <c r="O1942">
        <v>1.61</v>
      </c>
      <c r="P1942">
        <v>34.950000000000003</v>
      </c>
      <c r="Q1942">
        <v>0.56000000000000005</v>
      </c>
      <c r="R1942">
        <v>1.1200000000000001</v>
      </c>
      <c r="S1942">
        <v>691</v>
      </c>
      <c r="T1942">
        <v>43284</v>
      </c>
      <c r="U1942">
        <v>21596</v>
      </c>
      <c r="V1942">
        <v>163</v>
      </c>
      <c r="W1942">
        <v>15.4</v>
      </c>
      <c r="X1942" s="10">
        <v>0.82610831772705373</v>
      </c>
      <c r="Y1942" s="9">
        <v>34050</v>
      </c>
      <c r="Z1942" s="9">
        <v>23500</v>
      </c>
      <c r="AA1942" s="9">
        <v>34050</v>
      </c>
      <c r="AB1942">
        <v>1</v>
      </c>
      <c r="AC1942" s="11">
        <v>156.82411781050288</v>
      </c>
      <c r="AD1942" s="9">
        <v>21900.197740112995</v>
      </c>
      <c r="AE1942" s="8">
        <v>0.41286307053941906</v>
      </c>
    </row>
    <row r="1943" spans="1:31" x14ac:dyDescent="0.35">
      <c r="A1943" s="6" t="s">
        <v>1964</v>
      </c>
      <c r="B1943" s="7">
        <v>0</v>
      </c>
      <c r="C1943" s="7">
        <v>0</v>
      </c>
      <c r="D1943" s="7">
        <v>0</v>
      </c>
      <c r="E1943" s="7">
        <v>18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 s="10">
        <v>0.80092777026127171</v>
      </c>
      <c r="Y1943" s="9">
        <v>25800</v>
      </c>
      <c r="Z1943" s="9">
        <v>14150</v>
      </c>
      <c r="AA1943" s="9">
        <v>24000</v>
      </c>
      <c r="AB1943">
        <v>0.84549356223175964</v>
      </c>
      <c r="AC1943" s="11">
        <v>142.35482078355096</v>
      </c>
      <c r="AD1943" s="9">
        <v>14019.011299435027</v>
      </c>
      <c r="AE1943" s="8">
        <v>0.57894736842105265</v>
      </c>
    </row>
    <row r="1944" spans="1:31" x14ac:dyDescent="0.35">
      <c r="A1944" s="6" t="s">
        <v>1965</v>
      </c>
      <c r="B1944" s="7">
        <v>5</v>
      </c>
      <c r="C1944" s="7">
        <v>1</v>
      </c>
      <c r="D1944" s="7">
        <v>8</v>
      </c>
      <c r="E1944" s="7">
        <v>4</v>
      </c>
      <c r="F1944">
        <v>65</v>
      </c>
      <c r="G1944">
        <v>-27</v>
      </c>
      <c r="H1944">
        <v>-40.79</v>
      </c>
      <c r="I1944">
        <v>-145</v>
      </c>
      <c r="J1944">
        <v>-222.38</v>
      </c>
      <c r="K1944">
        <v>1027</v>
      </c>
      <c r="L1944">
        <v>589</v>
      </c>
      <c r="M1944">
        <v>438</v>
      </c>
      <c r="N1944">
        <v>-23.72</v>
      </c>
      <c r="O1944">
        <v>-47.38</v>
      </c>
      <c r="P1944">
        <v>0</v>
      </c>
      <c r="Q1944">
        <v>1.5</v>
      </c>
      <c r="R1944">
        <v>8.9700000000000006</v>
      </c>
      <c r="S1944">
        <v>-139</v>
      </c>
      <c r="T1944">
        <v>371</v>
      </c>
      <c r="U1944">
        <v>62</v>
      </c>
      <c r="V1944">
        <v>-24</v>
      </c>
      <c r="W1944">
        <v>-47.15</v>
      </c>
      <c r="X1944" s="10">
        <v>0.65877756292318546</v>
      </c>
      <c r="Y1944" s="9">
        <v>590</v>
      </c>
      <c r="Z1944" s="9">
        <v>442</v>
      </c>
      <c r="AA1944" s="9">
        <v>442</v>
      </c>
      <c r="AB1944">
        <v>0</v>
      </c>
      <c r="AC1944" s="11">
        <v>-1.8137260350097248</v>
      </c>
      <c r="AD1944" s="9">
        <v>553.28531073446322</v>
      </c>
      <c r="AE1944" s="8">
        <v>-0.17228464419475656</v>
      </c>
    </row>
    <row r="1945" spans="1:31" x14ac:dyDescent="0.35">
      <c r="A1945" s="6" t="s">
        <v>1966</v>
      </c>
      <c r="B1945" s="7">
        <v>14</v>
      </c>
      <c r="C1945" s="7">
        <v>0</v>
      </c>
      <c r="D1945" s="7">
        <v>4</v>
      </c>
      <c r="E1945" s="7">
        <v>0</v>
      </c>
      <c r="F1945">
        <v>573344</v>
      </c>
      <c r="G1945">
        <v>16737</v>
      </c>
      <c r="H1945">
        <v>2.92</v>
      </c>
      <c r="I1945">
        <v>10399</v>
      </c>
      <c r="J1945">
        <v>1.81</v>
      </c>
      <c r="K1945">
        <v>997191</v>
      </c>
      <c r="L1945">
        <v>563380</v>
      </c>
      <c r="M1945">
        <v>433811</v>
      </c>
      <c r="N1945">
        <v>1251.51</v>
      </c>
      <c r="O1945">
        <v>2.4500000000000002</v>
      </c>
      <c r="P1945">
        <v>25.72</v>
      </c>
      <c r="Q1945">
        <v>0.63</v>
      </c>
      <c r="R1945">
        <v>0.05</v>
      </c>
      <c r="S1945">
        <v>1660</v>
      </c>
      <c r="T1945">
        <v>67501</v>
      </c>
      <c r="U1945">
        <v>915369</v>
      </c>
      <c r="V1945">
        <v>43907</v>
      </c>
      <c r="W1945">
        <v>13.76</v>
      </c>
      <c r="X1945" s="10">
        <v>0.55077584624988474</v>
      </c>
      <c r="Y1945" s="9">
        <v>45900</v>
      </c>
      <c r="Z1945" s="9">
        <v>39150</v>
      </c>
      <c r="AA1945" s="9">
        <v>45000</v>
      </c>
      <c r="AB1945">
        <v>0.8666666666666667</v>
      </c>
      <c r="AC1945" s="11">
        <v>72.489580439010837</v>
      </c>
      <c r="AD1945" s="9">
        <v>41172.401129943508</v>
      </c>
      <c r="AE1945" s="8">
        <v>4.5296167247386762E-2</v>
      </c>
    </row>
    <row r="1946" spans="1:31" x14ac:dyDescent="0.35">
      <c r="A1946" s="6" t="s">
        <v>1967</v>
      </c>
      <c r="B1946" s="7">
        <v>11</v>
      </c>
      <c r="C1946" s="7">
        <v>3</v>
      </c>
      <c r="D1946" s="7">
        <v>2</v>
      </c>
      <c r="E1946" s="7">
        <v>2</v>
      </c>
      <c r="F1946">
        <v>1396</v>
      </c>
      <c r="G1946">
        <v>86</v>
      </c>
      <c r="H1946">
        <v>6.2</v>
      </c>
      <c r="I1946">
        <v>150</v>
      </c>
      <c r="J1946">
        <v>10.74</v>
      </c>
      <c r="K1946">
        <v>1295</v>
      </c>
      <c r="L1946">
        <v>414</v>
      </c>
      <c r="M1946">
        <v>881</v>
      </c>
      <c r="N1946">
        <v>577.12</v>
      </c>
      <c r="O1946">
        <v>17.5</v>
      </c>
      <c r="P1946">
        <v>4.58</v>
      </c>
      <c r="Q1946">
        <v>0.79</v>
      </c>
      <c r="R1946">
        <v>0.49</v>
      </c>
      <c r="S1946">
        <v>576</v>
      </c>
      <c r="T1946">
        <v>3322</v>
      </c>
      <c r="U1946">
        <v>5364</v>
      </c>
      <c r="V1946">
        <v>229</v>
      </c>
      <c r="W1946">
        <v>3</v>
      </c>
      <c r="X1946" s="10">
        <v>0.56318202900193692</v>
      </c>
      <c r="Y1946" s="9">
        <v>3235</v>
      </c>
      <c r="Z1946" s="9">
        <v>2575</v>
      </c>
      <c r="AA1946" s="9">
        <v>3235</v>
      </c>
      <c r="AB1946">
        <v>1</v>
      </c>
      <c r="AC1946" s="11">
        <v>5.3977493748263399</v>
      </c>
      <c r="AD1946" s="9">
        <v>2716.4519774011301</v>
      </c>
      <c r="AE1946" s="8">
        <v>0.22537878787878787</v>
      </c>
    </row>
    <row r="1947" spans="1:31" x14ac:dyDescent="0.35">
      <c r="A1947" s="6" t="s">
        <v>1968</v>
      </c>
      <c r="B1947" s="7">
        <v>10</v>
      </c>
      <c r="C1947" s="7">
        <v>4</v>
      </c>
      <c r="D1947" s="7">
        <v>2</v>
      </c>
      <c r="E1947" s="7">
        <v>2</v>
      </c>
      <c r="F1947">
        <v>243</v>
      </c>
      <c r="G1947">
        <v>54</v>
      </c>
      <c r="H1947">
        <v>22.19</v>
      </c>
      <c r="I1947">
        <v>49</v>
      </c>
      <c r="J1947">
        <v>20.13</v>
      </c>
      <c r="K1947">
        <v>422</v>
      </c>
      <c r="L1947">
        <v>127</v>
      </c>
      <c r="M1947">
        <v>295</v>
      </c>
      <c r="N1947">
        <v>220.83</v>
      </c>
      <c r="O1947">
        <v>17.79</v>
      </c>
      <c r="P1947">
        <v>15.08</v>
      </c>
      <c r="Q1947">
        <v>2.98</v>
      </c>
      <c r="R1947">
        <v>3.03</v>
      </c>
      <c r="S1947">
        <v>260</v>
      </c>
      <c r="T1947">
        <v>1314</v>
      </c>
      <c r="U1947">
        <v>1294</v>
      </c>
      <c r="V1947">
        <v>64</v>
      </c>
      <c r="W1947">
        <v>13.08</v>
      </c>
      <c r="X1947" s="10">
        <v>0.11183574172456452</v>
      </c>
      <c r="Y1947" s="9">
        <v>4655</v>
      </c>
      <c r="Z1947" s="9">
        <v>3710</v>
      </c>
      <c r="AA1947" s="9">
        <v>3870</v>
      </c>
      <c r="AB1947">
        <v>0.1693121693121693</v>
      </c>
      <c r="AC1947" s="11">
        <v>-3.8171714365101419</v>
      </c>
      <c r="AD1947" s="9">
        <v>4235.7570621468922</v>
      </c>
      <c r="AE1947" s="8">
        <v>4.3126684636118601E-2</v>
      </c>
    </row>
    <row r="1948" spans="1:31" x14ac:dyDescent="0.35">
      <c r="A1948" s="6" t="s">
        <v>1969</v>
      </c>
      <c r="B1948" s="7">
        <v>5</v>
      </c>
      <c r="C1948" s="7">
        <v>4</v>
      </c>
      <c r="D1948" s="7">
        <v>3</v>
      </c>
      <c r="E1948" s="7">
        <v>6</v>
      </c>
      <c r="F1948">
        <v>63</v>
      </c>
      <c r="G1948">
        <v>-10</v>
      </c>
      <c r="H1948">
        <v>-15.79</v>
      </c>
      <c r="I1948">
        <v>19</v>
      </c>
      <c r="J1948">
        <v>30.74</v>
      </c>
      <c r="K1948">
        <v>1813</v>
      </c>
      <c r="L1948">
        <v>35</v>
      </c>
      <c r="M1948">
        <v>1777</v>
      </c>
      <c r="N1948">
        <v>1192.47</v>
      </c>
      <c r="O1948">
        <v>1.0900000000000001</v>
      </c>
      <c r="P1948">
        <v>14.42</v>
      </c>
      <c r="Q1948">
        <v>0.18</v>
      </c>
      <c r="R1948">
        <v>4.42</v>
      </c>
      <c r="S1948">
        <v>77</v>
      </c>
      <c r="T1948">
        <v>6188</v>
      </c>
      <c r="U1948">
        <v>251</v>
      </c>
      <c r="V1948">
        <v>-9</v>
      </c>
      <c r="W1948">
        <v>-33.799999999999997</v>
      </c>
      <c r="X1948" s="10">
        <v>0.48031372782257681</v>
      </c>
      <c r="Y1948" s="9">
        <v>1420</v>
      </c>
      <c r="Z1948" s="9">
        <v>1040</v>
      </c>
      <c r="AA1948" s="9">
        <v>1420</v>
      </c>
      <c r="AB1948">
        <v>1</v>
      </c>
      <c r="AC1948" s="11">
        <v>3.2893859405390389</v>
      </c>
      <c r="AD1948" s="9">
        <v>1173.7570621468926</v>
      </c>
      <c r="AE1948" s="8">
        <v>0.27927927927927926</v>
      </c>
    </row>
    <row r="1949" spans="1:31" x14ac:dyDescent="0.35">
      <c r="A1949" s="6" t="s">
        <v>1970</v>
      </c>
      <c r="B1949" s="7">
        <v>0</v>
      </c>
      <c r="C1949" s="7">
        <v>4</v>
      </c>
      <c r="D1949" s="7">
        <v>2</v>
      </c>
      <c r="E1949" s="7">
        <v>12</v>
      </c>
      <c r="F1949">
        <v>598</v>
      </c>
      <c r="G1949">
        <v>-157</v>
      </c>
      <c r="H1949">
        <v>-26.21</v>
      </c>
      <c r="I1949">
        <v>-115</v>
      </c>
      <c r="J1949">
        <v>-19.18</v>
      </c>
      <c r="K1949">
        <v>1846</v>
      </c>
      <c r="L1949">
        <v>465</v>
      </c>
      <c r="M1949">
        <v>1381</v>
      </c>
      <c r="N1949">
        <v>3187.69</v>
      </c>
      <c r="O1949">
        <v>-7.9</v>
      </c>
      <c r="P1949">
        <v>0</v>
      </c>
      <c r="Q1949">
        <v>0.37</v>
      </c>
      <c r="R1949">
        <v>0.82</v>
      </c>
      <c r="S1949">
        <v>-1364</v>
      </c>
      <c r="T1949">
        <v>15664</v>
      </c>
      <c r="U1949">
        <v>7111</v>
      </c>
      <c r="V1949">
        <v>-134</v>
      </c>
      <c r="W1949">
        <v>-3.66</v>
      </c>
      <c r="X1949" s="10">
        <v>0.4515612690634751</v>
      </c>
      <c r="Y1949" s="9">
        <v>7180</v>
      </c>
      <c r="Z1949" s="9">
        <v>5750</v>
      </c>
      <c r="AA1949" s="9">
        <v>6390</v>
      </c>
      <c r="AB1949">
        <v>0.44755244755244755</v>
      </c>
      <c r="AC1949" s="11">
        <v>15.19505418171714</v>
      </c>
      <c r="AD1949" s="9">
        <v>5891.3841807909603</v>
      </c>
      <c r="AE1949" s="8">
        <v>4.7540983606557376E-2</v>
      </c>
    </row>
    <row r="1950" spans="1:31" x14ac:dyDescent="0.35">
      <c r="A1950" s="6" t="s">
        <v>1971</v>
      </c>
      <c r="B1950" s="7">
        <v>2</v>
      </c>
      <c r="C1950" s="7">
        <v>5</v>
      </c>
      <c r="D1950" s="7">
        <v>0</v>
      </c>
      <c r="E1950" s="7">
        <v>11</v>
      </c>
      <c r="F1950">
        <v>1357</v>
      </c>
      <c r="G1950">
        <v>-12</v>
      </c>
      <c r="H1950">
        <v>-0.88</v>
      </c>
      <c r="I1950">
        <v>-20</v>
      </c>
      <c r="J1950">
        <v>-1.47</v>
      </c>
      <c r="K1950">
        <v>963</v>
      </c>
      <c r="L1950">
        <v>415</v>
      </c>
      <c r="M1950">
        <v>548</v>
      </c>
      <c r="N1950">
        <v>1267.95</v>
      </c>
      <c r="O1950">
        <v>-3.59</v>
      </c>
      <c r="P1950">
        <v>0</v>
      </c>
      <c r="Q1950">
        <v>0.63</v>
      </c>
      <c r="R1950">
        <v>0.25</v>
      </c>
      <c r="S1950">
        <v>-249</v>
      </c>
      <c r="T1950">
        <v>6696</v>
      </c>
      <c r="U1950">
        <v>16923</v>
      </c>
      <c r="V1950">
        <v>-9</v>
      </c>
      <c r="W1950">
        <v>-50.95</v>
      </c>
      <c r="X1950" s="10">
        <v>0.62879375248438252</v>
      </c>
      <c r="Y1950" s="9">
        <v>5320</v>
      </c>
      <c r="Z1950" s="9">
        <v>4030</v>
      </c>
      <c r="AA1950" s="9">
        <v>4695</v>
      </c>
      <c r="AB1950">
        <v>0.51550387596899228</v>
      </c>
      <c r="AC1950" s="11">
        <v>16.028757988330092</v>
      </c>
      <c r="AD1950" s="9">
        <v>4097.8728813559319</v>
      </c>
      <c r="AE1950" s="8">
        <v>0.16501240694789082</v>
      </c>
    </row>
    <row r="1951" spans="1:31" x14ac:dyDescent="0.35">
      <c r="A1951" s="6" t="s">
        <v>1972</v>
      </c>
      <c r="B1951" s="7">
        <v>5</v>
      </c>
      <c r="C1951" s="7">
        <v>6</v>
      </c>
      <c r="D1951" s="7">
        <v>5</v>
      </c>
      <c r="E1951" s="7">
        <v>2</v>
      </c>
      <c r="F1951">
        <v>294</v>
      </c>
      <c r="G1951">
        <v>41</v>
      </c>
      <c r="H1951">
        <v>13.81</v>
      </c>
      <c r="I1951">
        <v>37</v>
      </c>
      <c r="J1951">
        <v>12.7</v>
      </c>
      <c r="K1951">
        <v>594</v>
      </c>
      <c r="L1951">
        <v>159</v>
      </c>
      <c r="M1951">
        <v>436</v>
      </c>
      <c r="N1951">
        <v>224.44</v>
      </c>
      <c r="O1951">
        <v>9.99</v>
      </c>
      <c r="P1951">
        <v>24.47</v>
      </c>
      <c r="Q1951">
        <v>2.4</v>
      </c>
      <c r="R1951">
        <v>3.11</v>
      </c>
      <c r="S1951">
        <v>142</v>
      </c>
      <c r="T1951">
        <v>1445</v>
      </c>
      <c r="U1951">
        <v>1118</v>
      </c>
      <c r="V1951">
        <v>62</v>
      </c>
      <c r="W1951">
        <v>15.01</v>
      </c>
      <c r="X1951" s="10">
        <v>0.58264772155226741</v>
      </c>
      <c r="Y1951" s="9">
        <v>9070</v>
      </c>
      <c r="Z1951" s="9">
        <v>3405</v>
      </c>
      <c r="AA1951" s="9">
        <v>9070</v>
      </c>
      <c r="AB1951">
        <v>1</v>
      </c>
      <c r="AC1951" s="11">
        <v>69.490691858849686</v>
      </c>
      <c r="AD1951" s="9">
        <v>2525.2005649717516</v>
      </c>
      <c r="AE1951" s="8">
        <v>1.6637298091042585</v>
      </c>
    </row>
    <row r="1952" spans="1:31" x14ac:dyDescent="0.35">
      <c r="A1952" s="6" t="s">
        <v>1973</v>
      </c>
      <c r="B1952" s="7">
        <v>12</v>
      </c>
      <c r="C1952" s="7">
        <v>1</v>
      </c>
      <c r="D1952" s="7">
        <v>5</v>
      </c>
      <c r="E1952" s="7">
        <v>0</v>
      </c>
      <c r="F1952">
        <v>2261</v>
      </c>
      <c r="G1952">
        <v>250</v>
      </c>
      <c r="H1952">
        <v>11.08</v>
      </c>
      <c r="I1952">
        <v>167</v>
      </c>
      <c r="J1952">
        <v>7.37</v>
      </c>
      <c r="K1952">
        <v>1803</v>
      </c>
      <c r="L1952">
        <v>794</v>
      </c>
      <c r="M1952">
        <v>1009</v>
      </c>
      <c r="N1952">
        <v>419.98</v>
      </c>
      <c r="O1952">
        <v>17.920000000000002</v>
      </c>
      <c r="P1952">
        <v>18.649999999999999</v>
      </c>
      <c r="Q1952">
        <v>3.17</v>
      </c>
      <c r="R1952">
        <v>1.37</v>
      </c>
      <c r="S1952">
        <v>429</v>
      </c>
      <c r="T1952">
        <v>2521</v>
      </c>
      <c r="U1952">
        <v>5824</v>
      </c>
      <c r="V1952">
        <v>460</v>
      </c>
      <c r="W1952">
        <v>6.75</v>
      </c>
      <c r="X1952" s="10">
        <v>0.12647027433306293</v>
      </c>
      <c r="Y1952" s="9">
        <v>9340</v>
      </c>
      <c r="Z1952" s="9">
        <v>8000</v>
      </c>
      <c r="AA1952" s="9">
        <v>8840</v>
      </c>
      <c r="AB1952">
        <v>0.62686567164179108</v>
      </c>
      <c r="AC1952" s="11">
        <v>7.808280077799389</v>
      </c>
      <c r="AD1952" s="9">
        <v>8403.1807909604522</v>
      </c>
      <c r="AE1952" s="8">
        <v>9.8136645962732916E-2</v>
      </c>
    </row>
    <row r="1953" spans="1:31" x14ac:dyDescent="0.35">
      <c r="A1953" s="6" t="s">
        <v>1974</v>
      </c>
      <c r="B1953" s="7">
        <v>7</v>
      </c>
      <c r="C1953" s="7">
        <v>0</v>
      </c>
      <c r="D1953" s="7">
        <v>7</v>
      </c>
      <c r="E1953" s="7">
        <v>4</v>
      </c>
      <c r="F1953">
        <v>5781</v>
      </c>
      <c r="G1953">
        <v>37</v>
      </c>
      <c r="H1953">
        <v>0.63</v>
      </c>
      <c r="I1953">
        <v>37</v>
      </c>
      <c r="J1953">
        <v>0.64</v>
      </c>
      <c r="K1953">
        <v>6178</v>
      </c>
      <c r="L1953">
        <v>1376</v>
      </c>
      <c r="M1953">
        <v>4802</v>
      </c>
      <c r="N1953">
        <v>1828.21</v>
      </c>
      <c r="O1953">
        <v>0.77</v>
      </c>
      <c r="P1953">
        <v>37.909999999999997</v>
      </c>
      <c r="Q1953">
        <v>0.3</v>
      </c>
      <c r="R1953">
        <v>0.24</v>
      </c>
      <c r="S1953">
        <v>761</v>
      </c>
      <c r="T1953">
        <v>95740</v>
      </c>
      <c r="U1953">
        <v>119714</v>
      </c>
      <c r="V1953">
        <v>188</v>
      </c>
      <c r="W1953">
        <v>9.5500000000000007</v>
      </c>
      <c r="X1953" s="10">
        <v>0.51427165819344201</v>
      </c>
      <c r="Y1953" s="9">
        <v>33800</v>
      </c>
      <c r="Z1953" s="9">
        <v>28700</v>
      </c>
      <c r="AA1953" s="9">
        <v>33450</v>
      </c>
      <c r="AB1953">
        <v>0.93137254901960786</v>
      </c>
      <c r="AC1953" s="11">
        <v>45.156988052236734</v>
      </c>
      <c r="AD1953" s="9">
        <v>29147.711864406781</v>
      </c>
      <c r="AE1953" s="8">
        <v>0.15544041450777202</v>
      </c>
    </row>
    <row r="1954" spans="1:31" x14ac:dyDescent="0.35">
      <c r="A1954" s="6" t="s">
        <v>1975</v>
      </c>
      <c r="B1954" s="7">
        <v>2</v>
      </c>
      <c r="C1954" s="7">
        <v>5</v>
      </c>
      <c r="D1954" s="7">
        <v>9</v>
      </c>
      <c r="E1954" s="7">
        <v>2</v>
      </c>
      <c r="F1954">
        <v>1644</v>
      </c>
      <c r="G1954">
        <v>44</v>
      </c>
      <c r="H1954">
        <v>2.65</v>
      </c>
      <c r="I1954">
        <v>29</v>
      </c>
      <c r="J1954">
        <v>1.76</v>
      </c>
      <c r="K1954">
        <v>2256</v>
      </c>
      <c r="L1954">
        <v>1029</v>
      </c>
      <c r="M1954">
        <v>1227</v>
      </c>
      <c r="N1954">
        <v>2141.7800000000002</v>
      </c>
      <c r="O1954">
        <v>2.36</v>
      </c>
      <c r="P1954">
        <v>18.059999999999999</v>
      </c>
      <c r="Q1954">
        <v>0.44</v>
      </c>
      <c r="R1954">
        <v>0.32</v>
      </c>
      <c r="S1954">
        <v>265</v>
      </c>
      <c r="T1954">
        <v>10893</v>
      </c>
      <c r="U1954">
        <v>15011</v>
      </c>
      <c r="V1954">
        <v>61</v>
      </c>
      <c r="W1954">
        <v>11.1</v>
      </c>
      <c r="X1954" s="10">
        <v>0.84396978839323822</v>
      </c>
      <c r="Y1954" s="9">
        <v>5860</v>
      </c>
      <c r="Z1954" s="9">
        <v>4785</v>
      </c>
      <c r="AA1954" s="9">
        <v>5560</v>
      </c>
      <c r="AB1954">
        <v>0.72093023255813948</v>
      </c>
      <c r="AC1954" s="11">
        <v>16.838427340928035</v>
      </c>
      <c r="AD1954" s="9">
        <v>4720.6779661016953</v>
      </c>
      <c r="AE1954" s="8">
        <v>0.1571279916753382</v>
      </c>
    </row>
    <row r="1955" spans="1:31" x14ac:dyDescent="0.35">
      <c r="A1955" s="6" t="s">
        <v>1976</v>
      </c>
      <c r="B1955" s="7">
        <v>1</v>
      </c>
      <c r="C1955" s="7">
        <v>6</v>
      </c>
      <c r="D1955" s="7">
        <v>6</v>
      </c>
      <c r="E1955" s="7">
        <v>5</v>
      </c>
      <c r="F1955">
        <v>378</v>
      </c>
      <c r="G1955">
        <v>2</v>
      </c>
      <c r="H1955">
        <v>0.41</v>
      </c>
      <c r="I1955">
        <v>-21</v>
      </c>
      <c r="J1955">
        <v>-5.57</v>
      </c>
      <c r="K1955">
        <v>757</v>
      </c>
      <c r="L1955">
        <v>93</v>
      </c>
      <c r="M1955">
        <v>665</v>
      </c>
      <c r="N1955">
        <v>1091.95</v>
      </c>
      <c r="O1955">
        <v>-3.02</v>
      </c>
      <c r="P1955">
        <v>0</v>
      </c>
      <c r="Q1955">
        <v>0.41</v>
      </c>
      <c r="R1955">
        <v>0.71</v>
      </c>
      <c r="S1955">
        <v>-189</v>
      </c>
      <c r="T1955">
        <v>5871</v>
      </c>
      <c r="U1955">
        <v>3390</v>
      </c>
      <c r="V1955">
        <v>13</v>
      </c>
      <c r="W1955">
        <v>21.01</v>
      </c>
      <c r="X1955" s="10">
        <v>0.68657038764610101</v>
      </c>
      <c r="Y1955" s="9">
        <v>3480</v>
      </c>
      <c r="Z1955" s="9">
        <v>2315</v>
      </c>
      <c r="AA1955" s="9">
        <v>2840</v>
      </c>
      <c r="AB1955">
        <v>0.45064377682403434</v>
      </c>
      <c r="AC1955" s="11">
        <v>11.99541539316477</v>
      </c>
      <c r="AD1955" s="9">
        <v>2299.7231638418079</v>
      </c>
      <c r="AE1955" s="8">
        <v>0.15447154471544716</v>
      </c>
    </row>
    <row r="1956" spans="1:31" x14ac:dyDescent="0.35">
      <c r="A1956" s="6" t="s">
        <v>1977</v>
      </c>
      <c r="B1956" s="7">
        <v>4</v>
      </c>
      <c r="C1956" s="7">
        <v>6</v>
      </c>
      <c r="D1956" s="7">
        <v>1</v>
      </c>
      <c r="E1956" s="7">
        <v>7</v>
      </c>
      <c r="F1956">
        <v>955</v>
      </c>
      <c r="G1956">
        <v>30</v>
      </c>
      <c r="H1956">
        <v>3.09</v>
      </c>
      <c r="I1956">
        <v>36</v>
      </c>
      <c r="J1956">
        <v>3.8</v>
      </c>
      <c r="K1956">
        <v>2529</v>
      </c>
      <c r="L1956">
        <v>362</v>
      </c>
      <c r="M1956">
        <v>2167</v>
      </c>
      <c r="N1956">
        <v>1728.45</v>
      </c>
      <c r="O1956">
        <v>2.23</v>
      </c>
      <c r="P1956">
        <v>22.22</v>
      </c>
      <c r="Q1956">
        <v>0.54</v>
      </c>
      <c r="R1956">
        <v>0.84</v>
      </c>
      <c r="S1956">
        <v>225</v>
      </c>
      <c r="T1956">
        <v>9333</v>
      </c>
      <c r="U1956">
        <v>5921</v>
      </c>
      <c r="V1956">
        <v>101</v>
      </c>
      <c r="W1956">
        <v>11.26</v>
      </c>
      <c r="X1956" s="10">
        <v>0.74253069269965</v>
      </c>
      <c r="Y1956" s="9">
        <v>18700</v>
      </c>
      <c r="Z1956" s="9">
        <v>4830</v>
      </c>
      <c r="AA1956" s="9">
        <v>17700</v>
      </c>
      <c r="AB1956">
        <v>0.92790194664744052</v>
      </c>
      <c r="AC1956" s="11">
        <v>187.83898305084745</v>
      </c>
      <c r="AD1956" s="9">
        <v>2469.6610169491532</v>
      </c>
      <c r="AE1956" s="8">
        <v>2.518886679920477</v>
      </c>
    </row>
    <row r="1957" spans="1:31" x14ac:dyDescent="0.35">
      <c r="A1957" s="6" t="s">
        <v>1978</v>
      </c>
      <c r="B1957" s="7">
        <v>5</v>
      </c>
      <c r="C1957" s="7">
        <v>7</v>
      </c>
      <c r="D1957" s="7">
        <v>1</v>
      </c>
      <c r="E1957" s="7">
        <v>5</v>
      </c>
      <c r="F1957">
        <v>5606</v>
      </c>
      <c r="G1957">
        <v>86</v>
      </c>
      <c r="H1957">
        <v>1.54</v>
      </c>
      <c r="I1957">
        <v>138</v>
      </c>
      <c r="J1957">
        <v>2.4500000000000002</v>
      </c>
      <c r="K1957">
        <v>8996</v>
      </c>
      <c r="L1957">
        <v>2077</v>
      </c>
      <c r="M1957">
        <v>6919</v>
      </c>
      <c r="N1957">
        <v>1402.87</v>
      </c>
      <c r="O1957">
        <v>2.66</v>
      </c>
      <c r="P1957">
        <v>16.21</v>
      </c>
      <c r="Q1957">
        <v>0.43</v>
      </c>
      <c r="R1957">
        <v>0.4</v>
      </c>
      <c r="S1957">
        <v>1992</v>
      </c>
      <c r="T1957">
        <v>75026</v>
      </c>
      <c r="U1957">
        <v>81185</v>
      </c>
      <c r="V1957">
        <v>115</v>
      </c>
      <c r="W1957">
        <v>25.9</v>
      </c>
      <c r="X1957" s="10">
        <v>7.2892445419362281E-2</v>
      </c>
      <c r="Y1957" s="9">
        <v>32400</v>
      </c>
      <c r="Z1957" s="9">
        <v>28850</v>
      </c>
      <c r="AA1957" s="9">
        <v>32250</v>
      </c>
      <c r="AB1957">
        <v>0.95774647887323938</v>
      </c>
      <c r="AC1957" s="11">
        <v>12.782717421505973</v>
      </c>
      <c r="AD1957" s="9">
        <v>30572.627118644068</v>
      </c>
      <c r="AE1957" s="8">
        <v>3.3653846153846152E-2</v>
      </c>
    </row>
    <row r="1958" spans="1:31" x14ac:dyDescent="0.35">
      <c r="A1958" s="6" t="s">
        <v>1979</v>
      </c>
      <c r="B1958" s="7">
        <v>4</v>
      </c>
      <c r="C1958" s="7">
        <v>0</v>
      </c>
      <c r="D1958" s="7">
        <v>10</v>
      </c>
      <c r="E1958" s="7">
        <v>4</v>
      </c>
      <c r="F1958">
        <v>2296</v>
      </c>
      <c r="G1958">
        <v>237</v>
      </c>
      <c r="H1958">
        <v>10.31</v>
      </c>
      <c r="I1958">
        <v>219</v>
      </c>
      <c r="J1958">
        <v>9.5500000000000007</v>
      </c>
      <c r="K1958">
        <v>3477</v>
      </c>
      <c r="L1958">
        <v>500</v>
      </c>
      <c r="M1958">
        <v>2977</v>
      </c>
      <c r="N1958">
        <v>1352.34</v>
      </c>
      <c r="O1958">
        <v>8.0399999999999991</v>
      </c>
      <c r="P1958">
        <v>10.050000000000001</v>
      </c>
      <c r="Q1958">
        <v>0.81</v>
      </c>
      <c r="R1958">
        <v>0.96</v>
      </c>
      <c r="S1958">
        <v>577</v>
      </c>
      <c r="T1958">
        <v>7150</v>
      </c>
      <c r="U1958">
        <v>6047</v>
      </c>
      <c r="V1958">
        <v>302</v>
      </c>
      <c r="W1958">
        <v>7.87</v>
      </c>
      <c r="X1958" s="10">
        <v>0.77779642387959202</v>
      </c>
      <c r="Y1958" s="9">
        <v>7100</v>
      </c>
      <c r="Z1958" s="9">
        <v>5210</v>
      </c>
      <c r="AA1958" s="9">
        <v>7000</v>
      </c>
      <c r="AB1958">
        <v>0.94708994708994709</v>
      </c>
      <c r="AC1958" s="11">
        <v>30.936926924145588</v>
      </c>
      <c r="AD1958" s="9">
        <v>5256.7570621468931</v>
      </c>
      <c r="AE1958" s="8">
        <v>0.21317157712305027</v>
      </c>
    </row>
    <row r="1959" spans="1:31" x14ac:dyDescent="0.35">
      <c r="A1959" s="6" t="s">
        <v>1980</v>
      </c>
      <c r="B1959" s="7">
        <v>5</v>
      </c>
      <c r="C1959" s="7">
        <v>6</v>
      </c>
      <c r="D1959" s="7">
        <v>2</v>
      </c>
      <c r="E1959" s="7">
        <v>5</v>
      </c>
      <c r="F1959">
        <v>936</v>
      </c>
      <c r="G1959">
        <v>101</v>
      </c>
      <c r="H1959">
        <v>10.78</v>
      </c>
      <c r="I1959">
        <v>79</v>
      </c>
      <c r="J1959">
        <v>8.4499999999999993</v>
      </c>
      <c r="K1959">
        <v>12290</v>
      </c>
      <c r="L1959">
        <v>10729</v>
      </c>
      <c r="M1959">
        <v>1561</v>
      </c>
      <c r="N1959">
        <v>159.18</v>
      </c>
      <c r="O1959">
        <v>5.17</v>
      </c>
      <c r="P1959">
        <v>9.18</v>
      </c>
      <c r="Q1959">
        <v>0.49</v>
      </c>
      <c r="R1959">
        <v>0.78</v>
      </c>
      <c r="S1959">
        <v>67</v>
      </c>
      <c r="T1959">
        <v>1263</v>
      </c>
      <c r="U1959">
        <v>790</v>
      </c>
      <c r="V1959">
        <v>0</v>
      </c>
      <c r="W1959">
        <v>0</v>
      </c>
      <c r="X1959" s="10">
        <v>0.5005435019304223</v>
      </c>
      <c r="Y1959" s="9">
        <v>629</v>
      </c>
      <c r="Z1959" s="9">
        <v>588</v>
      </c>
      <c r="AA1959" s="9">
        <v>613</v>
      </c>
      <c r="AB1959">
        <v>0.6097560975609756</v>
      </c>
      <c r="AC1959" s="11">
        <v>0.49619338705195887</v>
      </c>
      <c r="AD1959" s="9">
        <v>593.76610169491528</v>
      </c>
      <c r="AE1959" s="8">
        <v>-3.2520325203252032E-3</v>
      </c>
    </row>
    <row r="1960" spans="1:31" x14ac:dyDescent="0.35">
      <c r="A1960" s="6" t="s">
        <v>1981</v>
      </c>
      <c r="B1960" s="7">
        <v>3</v>
      </c>
      <c r="C1960" s="7">
        <v>3</v>
      </c>
      <c r="D1960" s="7">
        <v>9</v>
      </c>
      <c r="E1960" s="7">
        <v>3</v>
      </c>
      <c r="F1960">
        <v>3633</v>
      </c>
      <c r="G1960">
        <v>84</v>
      </c>
      <c r="H1960">
        <v>2.31</v>
      </c>
      <c r="I1960">
        <v>71</v>
      </c>
      <c r="J1960">
        <v>1.96</v>
      </c>
      <c r="K1960">
        <v>1091</v>
      </c>
      <c r="L1960">
        <v>241</v>
      </c>
      <c r="M1960">
        <v>850</v>
      </c>
      <c r="N1960">
        <v>995.55</v>
      </c>
      <c r="O1960">
        <v>8.59</v>
      </c>
      <c r="P1960">
        <v>7.09</v>
      </c>
      <c r="Q1960">
        <v>0.63</v>
      </c>
      <c r="R1960">
        <v>0.14000000000000001</v>
      </c>
      <c r="S1960">
        <v>467</v>
      </c>
      <c r="T1960">
        <v>5265</v>
      </c>
      <c r="U1960">
        <v>23890</v>
      </c>
      <c r="V1960">
        <v>143</v>
      </c>
      <c r="W1960">
        <v>3.72</v>
      </c>
      <c r="X1960" s="10">
        <v>0.870318915909154</v>
      </c>
      <c r="Y1960" s="9">
        <v>3845</v>
      </c>
      <c r="Z1960" s="9">
        <v>3160</v>
      </c>
      <c r="AA1960" s="9">
        <v>3630</v>
      </c>
      <c r="AB1960">
        <v>0.68613138686131392</v>
      </c>
      <c r="AC1960" s="11">
        <v>9.5308419005279248</v>
      </c>
      <c r="AD1960" s="9">
        <v>3233.3926553672318</v>
      </c>
      <c r="AE1960" s="8">
        <v>9.8335854765506811E-2</v>
      </c>
    </row>
    <row r="1961" spans="1:31" x14ac:dyDescent="0.35">
      <c r="A1961" s="6" t="s">
        <v>1982</v>
      </c>
      <c r="B1961" s="7">
        <v>10</v>
      </c>
      <c r="C1961" s="7">
        <v>5</v>
      </c>
      <c r="D1961" s="7">
        <v>1</v>
      </c>
      <c r="E1961" s="7">
        <v>2</v>
      </c>
      <c r="F1961">
        <v>4391</v>
      </c>
      <c r="G1961">
        <v>425</v>
      </c>
      <c r="H1961">
        <v>9.69</v>
      </c>
      <c r="I1961">
        <v>302</v>
      </c>
      <c r="J1961">
        <v>6.87</v>
      </c>
      <c r="K1961">
        <v>3190</v>
      </c>
      <c r="L1961">
        <v>1430</v>
      </c>
      <c r="M1961">
        <v>1760</v>
      </c>
      <c r="N1961">
        <v>1567.86</v>
      </c>
      <c r="O1961">
        <v>20.88</v>
      </c>
      <c r="P1961">
        <v>29.21</v>
      </c>
      <c r="Q1961">
        <v>5.33</v>
      </c>
      <c r="R1961">
        <v>2.0099999999999998</v>
      </c>
      <c r="S1961">
        <v>1508</v>
      </c>
      <c r="T1961">
        <v>8267</v>
      </c>
      <c r="U1961">
        <v>21958</v>
      </c>
      <c r="V1961">
        <v>492</v>
      </c>
      <c r="W1961">
        <v>18.899999999999999</v>
      </c>
      <c r="X1961" s="10">
        <v>0.7071469701610168</v>
      </c>
      <c r="Y1961" s="9">
        <v>64100</v>
      </c>
      <c r="Z1961" s="9">
        <v>43650</v>
      </c>
      <c r="AA1961" s="9">
        <v>64000</v>
      </c>
      <c r="AB1961">
        <v>0.99511002444987773</v>
      </c>
      <c r="AC1961" s="11">
        <v>297.88413448180052</v>
      </c>
      <c r="AD1961" s="9">
        <v>47065.367231638418</v>
      </c>
      <c r="AE1961" s="8">
        <v>0.45952109464082097</v>
      </c>
    </row>
    <row r="1962" spans="1:31" x14ac:dyDescent="0.35">
      <c r="A1962" s="6" t="s">
        <v>1983</v>
      </c>
      <c r="B1962" s="7">
        <v>6</v>
      </c>
      <c r="C1962" s="7">
        <v>11</v>
      </c>
      <c r="D1962" s="7">
        <v>1</v>
      </c>
      <c r="E1962" s="7">
        <v>0</v>
      </c>
      <c r="F1962">
        <v>133</v>
      </c>
      <c r="G1962">
        <v>44</v>
      </c>
      <c r="H1962">
        <v>33.29</v>
      </c>
      <c r="I1962">
        <v>29</v>
      </c>
      <c r="J1962">
        <v>21.7</v>
      </c>
      <c r="K1962">
        <v>2256</v>
      </c>
      <c r="L1962">
        <v>697</v>
      </c>
      <c r="M1962">
        <v>1558</v>
      </c>
      <c r="N1962">
        <v>1809.71</v>
      </c>
      <c r="O1962">
        <v>1.87</v>
      </c>
      <c r="P1962">
        <v>244.07</v>
      </c>
      <c r="Q1962">
        <v>4.66</v>
      </c>
      <c r="R1962">
        <v>52.88</v>
      </c>
      <c r="S1962">
        <v>177</v>
      </c>
      <c r="T1962">
        <v>9271</v>
      </c>
      <c r="U1962">
        <v>817</v>
      </c>
      <c r="V1962">
        <v>50</v>
      </c>
      <c r="W1962">
        <v>144.58000000000001</v>
      </c>
      <c r="X1962" s="10">
        <v>7.0091960087090205E-2</v>
      </c>
      <c r="Y1962" s="9">
        <v>55300</v>
      </c>
      <c r="Z1962" s="9">
        <v>41850</v>
      </c>
      <c r="AA1962" s="9">
        <v>51200</v>
      </c>
      <c r="AB1962">
        <v>0.69516728624535318</v>
      </c>
      <c r="AC1962" s="11">
        <v>45.593220338983052</v>
      </c>
      <c r="AD1962" s="9">
        <v>48249.406779661018</v>
      </c>
      <c r="AE1962" s="8">
        <v>0.22341696535244923</v>
      </c>
    </row>
    <row r="1963" spans="1:31" x14ac:dyDescent="0.35">
      <c r="A1963" s="6" t="s">
        <v>1984</v>
      </c>
      <c r="B1963" s="7">
        <v>5</v>
      </c>
      <c r="C1963" s="7">
        <v>6</v>
      </c>
      <c r="D1963" s="7">
        <v>6</v>
      </c>
      <c r="E1963" s="7">
        <v>1</v>
      </c>
      <c r="F1963">
        <v>176</v>
      </c>
      <c r="G1963">
        <v>13</v>
      </c>
      <c r="H1963">
        <v>7.41</v>
      </c>
      <c r="I1963">
        <v>44</v>
      </c>
      <c r="J1963">
        <v>24.84</v>
      </c>
      <c r="K1963">
        <v>518</v>
      </c>
      <c r="L1963">
        <v>22</v>
      </c>
      <c r="M1963">
        <v>495</v>
      </c>
      <c r="N1963">
        <v>904.58</v>
      </c>
      <c r="O1963">
        <v>9.0399999999999991</v>
      </c>
      <c r="P1963">
        <v>5.74</v>
      </c>
      <c r="Q1963">
        <v>0.51</v>
      </c>
      <c r="R1963">
        <v>1.43</v>
      </c>
      <c r="S1963">
        <v>446</v>
      </c>
      <c r="T1963">
        <v>4993</v>
      </c>
      <c r="U1963">
        <v>1796</v>
      </c>
      <c r="V1963">
        <v>20</v>
      </c>
      <c r="W1963">
        <v>12.62</v>
      </c>
      <c r="X1963" s="10">
        <v>0.4482349910796658</v>
      </c>
      <c r="Y1963" s="9">
        <v>3450</v>
      </c>
      <c r="Z1963" s="9">
        <v>2555</v>
      </c>
      <c r="AA1963" s="9">
        <v>3100</v>
      </c>
      <c r="AB1963">
        <v>0.60893854748603349</v>
      </c>
      <c r="AC1963" s="11">
        <v>8.5415393164767988</v>
      </c>
      <c r="AD1963" s="9">
        <v>2689.8163841807909</v>
      </c>
      <c r="AE1963" s="8">
        <v>0.21330724070450097</v>
      </c>
    </row>
    <row r="1964" spans="1:31" x14ac:dyDescent="0.35">
      <c r="A1964" s="6" t="s">
        <v>1985</v>
      </c>
      <c r="B1964" s="7">
        <v>5</v>
      </c>
      <c r="C1964" s="7">
        <v>2</v>
      </c>
      <c r="D1964" s="7">
        <v>9</v>
      </c>
      <c r="E1964" s="7">
        <v>2</v>
      </c>
      <c r="F1964">
        <v>36675</v>
      </c>
      <c r="G1964">
        <v>4436</v>
      </c>
      <c r="H1964">
        <v>12.1</v>
      </c>
      <c r="I1964">
        <v>3964</v>
      </c>
      <c r="J1964">
        <v>10.81</v>
      </c>
      <c r="K1964">
        <v>51119</v>
      </c>
      <c r="L1964">
        <v>17167</v>
      </c>
      <c r="M1964">
        <v>33952</v>
      </c>
      <c r="N1964">
        <v>5383.38</v>
      </c>
      <c r="O1964">
        <v>12.27</v>
      </c>
      <c r="P1964">
        <v>16.46</v>
      </c>
      <c r="Q1964">
        <v>1.93</v>
      </c>
      <c r="R1964">
        <v>1.78</v>
      </c>
      <c r="S1964">
        <v>3201</v>
      </c>
      <c r="T1964">
        <v>27285</v>
      </c>
      <c r="U1964">
        <v>29612</v>
      </c>
      <c r="V1964">
        <v>6534</v>
      </c>
      <c r="W1964">
        <v>10.46</v>
      </c>
      <c r="X1964" s="10">
        <v>0.60623317183195113</v>
      </c>
      <c r="Y1964" s="9">
        <v>54000</v>
      </c>
      <c r="Z1964" s="9">
        <v>43700</v>
      </c>
      <c r="AA1964" s="9">
        <v>44200</v>
      </c>
      <c r="AB1964">
        <v>4.8543689320388349E-2</v>
      </c>
      <c r="AC1964" s="11">
        <v>-94.884690191719926</v>
      </c>
      <c r="AD1964" s="9">
        <v>52232.316384180791</v>
      </c>
      <c r="AE1964" s="8">
        <v>-0.16603773584905659</v>
      </c>
    </row>
    <row r="1965" spans="1:31" x14ac:dyDescent="0.35">
      <c r="A1965" s="6" t="s">
        <v>1986</v>
      </c>
      <c r="B1965" s="7">
        <v>7</v>
      </c>
      <c r="C1965" s="7">
        <v>6</v>
      </c>
      <c r="D1965" s="7">
        <v>2</v>
      </c>
      <c r="E1965" s="7">
        <v>3</v>
      </c>
      <c r="F1965">
        <v>2293</v>
      </c>
      <c r="G1965">
        <v>1882</v>
      </c>
      <c r="H1965">
        <v>82.1</v>
      </c>
      <c r="I1965">
        <v>1838</v>
      </c>
      <c r="J1965">
        <v>80.180000000000007</v>
      </c>
      <c r="K1965">
        <v>25064</v>
      </c>
      <c r="L1965">
        <v>913</v>
      </c>
      <c r="M1965">
        <v>24151</v>
      </c>
      <c r="N1965">
        <v>5116.5200000000004</v>
      </c>
      <c r="O1965">
        <v>7.85</v>
      </c>
      <c r="P1965">
        <v>12.19</v>
      </c>
      <c r="Q1965">
        <v>0.94</v>
      </c>
      <c r="R1965">
        <v>9.7799999999999994</v>
      </c>
      <c r="S1965">
        <v>2005</v>
      </c>
      <c r="T1965">
        <v>25894</v>
      </c>
      <c r="U1965">
        <v>2500</v>
      </c>
      <c r="V1965">
        <v>1909</v>
      </c>
      <c r="W1965">
        <v>11.91</v>
      </c>
      <c r="X1965" s="10">
        <v>0.50348577512632564</v>
      </c>
      <c r="Y1965" s="9">
        <v>25700</v>
      </c>
      <c r="Z1965" s="9">
        <v>21000</v>
      </c>
      <c r="AA1965" s="9">
        <v>21150</v>
      </c>
      <c r="AB1965">
        <v>3.1914893617021274E-2</v>
      </c>
      <c r="AC1965" s="11">
        <v>-51.924145595998887</v>
      </c>
      <c r="AD1965" s="9">
        <v>25512.853107344636</v>
      </c>
      <c r="AE1965" s="8">
        <v>-0.13141683778234087</v>
      </c>
    </row>
    <row r="1966" spans="1:31" x14ac:dyDescent="0.35">
      <c r="A1966" s="6" t="s">
        <v>1987</v>
      </c>
      <c r="B1966" s="7">
        <v>4</v>
      </c>
      <c r="C1966" s="7">
        <v>11</v>
      </c>
      <c r="D1966" s="7">
        <v>1</v>
      </c>
      <c r="E1966" s="7">
        <v>2</v>
      </c>
      <c r="F1966">
        <v>209</v>
      </c>
      <c r="G1966">
        <v>14</v>
      </c>
      <c r="H1966">
        <v>6.53</v>
      </c>
      <c r="I1966">
        <v>10</v>
      </c>
      <c r="J1966">
        <v>4.88</v>
      </c>
      <c r="K1966">
        <v>368</v>
      </c>
      <c r="L1966">
        <v>118</v>
      </c>
      <c r="M1966">
        <v>250</v>
      </c>
      <c r="N1966">
        <v>83.85</v>
      </c>
      <c r="O1966">
        <v>4.3899999999999997</v>
      </c>
      <c r="P1966">
        <v>36.119999999999997</v>
      </c>
      <c r="Q1966">
        <v>1.89</v>
      </c>
      <c r="R1966">
        <v>1.78</v>
      </c>
      <c r="S1966">
        <v>40</v>
      </c>
      <c r="T1966">
        <v>764</v>
      </c>
      <c r="U1966">
        <v>813</v>
      </c>
      <c r="V1966">
        <v>18</v>
      </c>
      <c r="W1966">
        <v>23.55</v>
      </c>
      <c r="X1966" s="10">
        <v>0.8667232661551113</v>
      </c>
      <c r="Y1966" s="9">
        <v>3400</v>
      </c>
      <c r="Z1966" s="9">
        <v>1400</v>
      </c>
      <c r="AA1966" s="9">
        <v>3400</v>
      </c>
      <c r="AB1966">
        <v>1</v>
      </c>
      <c r="AC1966" s="11">
        <v>25.073492636843568</v>
      </c>
      <c r="AD1966" s="9">
        <v>1447.5084745762711</v>
      </c>
      <c r="AE1966" s="8">
        <v>1.4285714285714286</v>
      </c>
    </row>
    <row r="1967" spans="1:31" x14ac:dyDescent="0.35">
      <c r="A1967" s="6" t="s">
        <v>1988</v>
      </c>
      <c r="B1967" s="7">
        <v>0</v>
      </c>
      <c r="C1967" s="7">
        <v>0</v>
      </c>
      <c r="D1967" s="7">
        <v>0</v>
      </c>
      <c r="E1967" s="7">
        <v>18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 s="10">
        <v>0.55457256346592554</v>
      </c>
      <c r="Y1967" s="9">
        <v>26300</v>
      </c>
      <c r="Z1967" s="9">
        <v>13550</v>
      </c>
      <c r="AA1967" s="9">
        <v>19100</v>
      </c>
      <c r="AB1967">
        <v>0.43529411764705883</v>
      </c>
      <c r="AC1967" s="11">
        <v>121.2948041122534</v>
      </c>
      <c r="AD1967" s="9">
        <v>14600.508474576271</v>
      </c>
      <c r="AE1967" s="8">
        <v>0.40959409594095941</v>
      </c>
    </row>
    <row r="1968" spans="1:31" x14ac:dyDescent="0.35">
      <c r="A1968" s="6" t="s">
        <v>1989</v>
      </c>
      <c r="B1968" s="7">
        <v>8</v>
      </c>
      <c r="C1968" s="7">
        <v>4</v>
      </c>
      <c r="D1968" s="7">
        <v>2</v>
      </c>
      <c r="E1968" s="7">
        <v>4</v>
      </c>
      <c r="F1968">
        <v>1392</v>
      </c>
      <c r="G1968">
        <v>807</v>
      </c>
      <c r="H1968">
        <v>57.94</v>
      </c>
      <c r="I1968">
        <v>598</v>
      </c>
      <c r="J1968">
        <v>42.93</v>
      </c>
      <c r="K1968">
        <v>5145</v>
      </c>
      <c r="L1968">
        <v>857</v>
      </c>
      <c r="M1968">
        <v>4288</v>
      </c>
      <c r="N1968">
        <v>74.62</v>
      </c>
      <c r="O1968">
        <v>14.75</v>
      </c>
      <c r="P1968">
        <v>15.33</v>
      </c>
      <c r="Q1968">
        <v>2.2000000000000002</v>
      </c>
      <c r="R1968">
        <v>6.57</v>
      </c>
      <c r="S1968">
        <v>243</v>
      </c>
      <c r="T1968">
        <v>1695</v>
      </c>
      <c r="U1968">
        <v>567</v>
      </c>
      <c r="V1968">
        <v>0</v>
      </c>
      <c r="W1968">
        <v>0</v>
      </c>
      <c r="X1968" s="10">
        <v>1.055666072689535E-2</v>
      </c>
      <c r="Y1968" s="9">
        <v>3905</v>
      </c>
      <c r="Z1968" s="9">
        <v>3230</v>
      </c>
      <c r="AA1968" s="9">
        <v>3885</v>
      </c>
      <c r="AB1968">
        <v>0.97037037037037033</v>
      </c>
      <c r="AC1968" s="11">
        <v>-1.0019449847179771</v>
      </c>
      <c r="AD1968" s="9">
        <v>3713.7259887005648</v>
      </c>
      <c r="AE1968" s="8">
        <v>2.1024967148488831E-2</v>
      </c>
    </row>
    <row r="1969" spans="1:31" x14ac:dyDescent="0.35">
      <c r="A1969" s="6" t="s">
        <v>1990</v>
      </c>
      <c r="B1969" s="7">
        <v>1</v>
      </c>
      <c r="C1969" s="7">
        <v>3</v>
      </c>
      <c r="D1969" s="7">
        <v>0</v>
      </c>
      <c r="E1969" s="7">
        <v>14</v>
      </c>
      <c r="F1969">
        <v>4332</v>
      </c>
      <c r="G1969">
        <v>16</v>
      </c>
      <c r="H1969">
        <v>0.37</v>
      </c>
      <c r="I1969">
        <v>-202</v>
      </c>
      <c r="J1969">
        <v>-4.66</v>
      </c>
      <c r="K1969">
        <v>5007</v>
      </c>
      <c r="L1969">
        <v>4122</v>
      </c>
      <c r="M1969">
        <v>885</v>
      </c>
      <c r="N1969">
        <v>1669.86</v>
      </c>
      <c r="O1969">
        <v>-20.63</v>
      </c>
      <c r="P1969">
        <v>0</v>
      </c>
      <c r="Q1969">
        <v>0.31</v>
      </c>
      <c r="R1969">
        <v>0.06</v>
      </c>
      <c r="S1969">
        <v>-20182</v>
      </c>
      <c r="T1969">
        <v>87618</v>
      </c>
      <c r="U1969">
        <v>433240</v>
      </c>
      <c r="V1969">
        <v>203</v>
      </c>
      <c r="W1969">
        <v>16.18</v>
      </c>
      <c r="X1969" s="10">
        <v>0.53592325470509694</v>
      </c>
      <c r="Y1969" s="9">
        <v>32400</v>
      </c>
      <c r="Z1969" s="9">
        <v>25600</v>
      </c>
      <c r="AA1969" s="9">
        <v>30100</v>
      </c>
      <c r="AB1969">
        <v>0.66176470588235292</v>
      </c>
      <c r="AC1969" s="11">
        <v>70.507085301472614</v>
      </c>
      <c r="AD1969" s="9">
        <v>26298.700564971754</v>
      </c>
      <c r="AE1969" s="8">
        <v>0.12734082397003746</v>
      </c>
    </row>
    <row r="1970" spans="1:31" x14ac:dyDescent="0.35">
      <c r="A1970" s="6" t="s">
        <v>1991</v>
      </c>
      <c r="B1970" s="7">
        <v>0</v>
      </c>
      <c r="C1970" s="7">
        <v>9</v>
      </c>
      <c r="D1970" s="7">
        <v>2</v>
      </c>
      <c r="E1970" s="7">
        <v>7</v>
      </c>
      <c r="F1970">
        <v>489</v>
      </c>
      <c r="G1970">
        <v>-6</v>
      </c>
      <c r="H1970">
        <v>-1.26</v>
      </c>
      <c r="I1970">
        <v>-7</v>
      </c>
      <c r="J1970">
        <v>-1.35</v>
      </c>
      <c r="K1970">
        <v>474</v>
      </c>
      <c r="L1970">
        <v>105</v>
      </c>
      <c r="M1970">
        <v>369</v>
      </c>
      <c r="N1970">
        <v>195.22</v>
      </c>
      <c r="O1970">
        <v>-1.77</v>
      </c>
      <c r="P1970">
        <v>0</v>
      </c>
      <c r="Q1970">
        <v>0.63</v>
      </c>
      <c r="R1970">
        <v>0.47</v>
      </c>
      <c r="S1970">
        <v>-26</v>
      </c>
      <c r="T1970">
        <v>1462</v>
      </c>
      <c r="U1970">
        <v>1955</v>
      </c>
      <c r="V1970">
        <v>7</v>
      </c>
      <c r="W1970">
        <v>34.950000000000003</v>
      </c>
      <c r="X1970" s="10">
        <v>0.76032798131022428</v>
      </c>
      <c r="Y1970" s="9">
        <v>1245</v>
      </c>
      <c r="Z1970" s="9">
        <v>914</v>
      </c>
      <c r="AA1970" s="9">
        <v>1145</v>
      </c>
      <c r="AB1970">
        <v>0.69788519637462232</v>
      </c>
      <c r="AC1970" s="11">
        <v>4.6134203945540433</v>
      </c>
      <c r="AD1970" s="9">
        <v>874.77401129943496</v>
      </c>
      <c r="AE1970" s="8">
        <v>0.23917748917748918</v>
      </c>
    </row>
    <row r="1971" spans="1:31" x14ac:dyDescent="0.35">
      <c r="A1971" s="6" t="s">
        <v>1992</v>
      </c>
      <c r="B1971" s="7">
        <v>0</v>
      </c>
      <c r="C1971" s="7">
        <v>5</v>
      </c>
      <c r="D1971" s="7">
        <v>10</v>
      </c>
      <c r="E1971" s="7">
        <v>3</v>
      </c>
      <c r="F1971">
        <v>7110</v>
      </c>
      <c r="G1971">
        <v>38</v>
      </c>
      <c r="H1971">
        <v>0.53</v>
      </c>
      <c r="I1971">
        <v>6</v>
      </c>
      <c r="J1971">
        <v>0.08</v>
      </c>
      <c r="K1971">
        <v>4700</v>
      </c>
      <c r="L1971">
        <v>2823</v>
      </c>
      <c r="M1971">
        <v>1878</v>
      </c>
      <c r="N1971">
        <v>516.63</v>
      </c>
      <c r="O1971">
        <v>0.31</v>
      </c>
      <c r="P1971">
        <v>182.11</v>
      </c>
      <c r="Q1971">
        <v>0.57999999999999996</v>
      </c>
      <c r="R1971">
        <v>0.15</v>
      </c>
      <c r="S1971">
        <v>95</v>
      </c>
      <c r="T1971">
        <v>29807</v>
      </c>
      <c r="U1971">
        <v>116745</v>
      </c>
      <c r="V1971">
        <v>213</v>
      </c>
      <c r="W1971">
        <v>10.9</v>
      </c>
      <c r="X1971" s="10">
        <v>2.3178699674184091E-2</v>
      </c>
      <c r="Y1971" s="9">
        <v>17450</v>
      </c>
      <c r="Z1971" s="9">
        <v>14400</v>
      </c>
      <c r="AA1971" s="9">
        <v>16200</v>
      </c>
      <c r="AB1971">
        <v>0.5901639344262295</v>
      </c>
      <c r="AC1971" s="11">
        <v>7.1103084190052792</v>
      </c>
      <c r="AD1971" s="9">
        <v>15883.135593220339</v>
      </c>
      <c r="AE1971" s="8">
        <v>-7.1633237822349566E-2</v>
      </c>
    </row>
    <row r="1972" spans="1:31" x14ac:dyDescent="0.35">
      <c r="A1972" s="6" t="s">
        <v>1993</v>
      </c>
      <c r="B1972" s="7">
        <v>12</v>
      </c>
      <c r="C1972" s="7">
        <v>6</v>
      </c>
      <c r="D1972" s="7">
        <v>0</v>
      </c>
      <c r="E1972" s="7">
        <v>0</v>
      </c>
      <c r="F1972">
        <v>23149</v>
      </c>
      <c r="G1972">
        <v>1613</v>
      </c>
      <c r="H1972">
        <v>6.97</v>
      </c>
      <c r="I1972">
        <v>1110</v>
      </c>
      <c r="J1972">
        <v>4.79</v>
      </c>
      <c r="K1972">
        <v>21013</v>
      </c>
      <c r="L1972">
        <v>10646</v>
      </c>
      <c r="M1972">
        <v>10368</v>
      </c>
      <c r="N1972">
        <v>112.73</v>
      </c>
      <c r="O1972">
        <v>11.11</v>
      </c>
      <c r="P1972">
        <v>34.94</v>
      </c>
      <c r="Q1972">
        <v>4.78</v>
      </c>
      <c r="R1972">
        <v>1.68</v>
      </c>
      <c r="S1972">
        <v>1139</v>
      </c>
      <c r="T1972">
        <v>8328</v>
      </c>
      <c r="U1972">
        <v>23748</v>
      </c>
      <c r="V1972">
        <v>2500</v>
      </c>
      <c r="W1972">
        <v>16.84</v>
      </c>
      <c r="X1972" s="10">
        <v>0.82332863192692085</v>
      </c>
      <c r="Y1972" s="9">
        <v>52700</v>
      </c>
      <c r="Z1972" s="9">
        <v>38050</v>
      </c>
      <c r="AA1972" s="9">
        <v>52000</v>
      </c>
      <c r="AB1972">
        <v>0.95221843003412965</v>
      </c>
      <c r="AC1972" s="11">
        <v>232.33537093637125</v>
      </c>
      <c r="AD1972" s="9">
        <v>38764.60451977401</v>
      </c>
      <c r="AE1972" s="8">
        <v>0.32484076433121017</v>
      </c>
    </row>
    <row r="1973" spans="1:31" x14ac:dyDescent="0.35">
      <c r="A1973" s="6" t="s">
        <v>1994</v>
      </c>
      <c r="B1973" s="7">
        <v>1</v>
      </c>
      <c r="C1973" s="7">
        <v>10</v>
      </c>
      <c r="D1973" s="7">
        <v>4</v>
      </c>
      <c r="E1973" s="7">
        <v>3</v>
      </c>
      <c r="F1973">
        <v>328</v>
      </c>
      <c r="G1973">
        <v>-47</v>
      </c>
      <c r="H1973">
        <v>-14.27</v>
      </c>
      <c r="I1973">
        <v>264</v>
      </c>
      <c r="J1973">
        <v>80.489999999999995</v>
      </c>
      <c r="K1973">
        <v>745</v>
      </c>
      <c r="L1973">
        <v>241</v>
      </c>
      <c r="M1973">
        <v>504</v>
      </c>
      <c r="N1973">
        <v>527.89</v>
      </c>
      <c r="O1973">
        <v>70.95</v>
      </c>
      <c r="P1973">
        <v>2.75</v>
      </c>
      <c r="Q1973">
        <v>1.47</v>
      </c>
      <c r="R1973">
        <v>2.21</v>
      </c>
      <c r="S1973">
        <v>1641</v>
      </c>
      <c r="T1973">
        <v>3060</v>
      </c>
      <c r="U1973">
        <v>2039</v>
      </c>
      <c r="V1973">
        <v>-36</v>
      </c>
      <c r="W1973">
        <v>-20.010000000000002</v>
      </c>
      <c r="X1973" s="10">
        <v>0.73528430481713791</v>
      </c>
      <c r="Y1973" s="9">
        <v>9610</v>
      </c>
      <c r="Z1973" s="9">
        <v>4330</v>
      </c>
      <c r="AA1973" s="9">
        <v>9610</v>
      </c>
      <c r="AB1973">
        <v>1</v>
      </c>
      <c r="AC1973" s="11">
        <v>61.843845512642403</v>
      </c>
      <c r="AD1973" s="9">
        <v>4815.5960451977398</v>
      </c>
      <c r="AE1973" s="8">
        <v>1.2193995381062355</v>
      </c>
    </row>
    <row r="1974" spans="1:31" x14ac:dyDescent="0.35">
      <c r="A1974" s="6" t="s">
        <v>1995</v>
      </c>
      <c r="B1974" s="7">
        <v>8</v>
      </c>
      <c r="C1974" s="7">
        <v>8</v>
      </c>
      <c r="D1974" s="7">
        <v>2</v>
      </c>
      <c r="E1974" s="7">
        <v>0</v>
      </c>
      <c r="F1974">
        <v>355</v>
      </c>
      <c r="G1974">
        <v>20</v>
      </c>
      <c r="H1974">
        <v>5.64</v>
      </c>
      <c r="I1974">
        <v>78</v>
      </c>
      <c r="J1974">
        <v>22.02</v>
      </c>
      <c r="K1974">
        <v>469</v>
      </c>
      <c r="L1974">
        <v>137</v>
      </c>
      <c r="M1974">
        <v>331</v>
      </c>
      <c r="N1974">
        <v>1426.76</v>
      </c>
      <c r="O1974">
        <v>26.65</v>
      </c>
      <c r="P1974">
        <v>3.71</v>
      </c>
      <c r="Q1974">
        <v>1.1000000000000001</v>
      </c>
      <c r="R1974">
        <v>0.82</v>
      </c>
      <c r="S1974">
        <v>2154</v>
      </c>
      <c r="T1974">
        <v>7281</v>
      </c>
      <c r="U1974">
        <v>9781</v>
      </c>
      <c r="V1974">
        <v>26</v>
      </c>
      <c r="W1974">
        <v>15.52</v>
      </c>
      <c r="X1974" s="10">
        <v>0.78128530756020853</v>
      </c>
      <c r="Y1974" s="9">
        <v>39650</v>
      </c>
      <c r="Z1974" s="9">
        <v>7840</v>
      </c>
      <c r="AA1974" s="9">
        <v>39650</v>
      </c>
      <c r="AB1974">
        <v>1</v>
      </c>
      <c r="AC1974" s="11">
        <v>341.20144484579043</v>
      </c>
      <c r="AD1974" s="9">
        <v>6611.0225988700604</v>
      </c>
      <c r="AE1974" s="8">
        <v>4.0573979591836737</v>
      </c>
    </row>
    <row r="1975" spans="1:31" x14ac:dyDescent="0.35">
      <c r="A1975" s="6" t="s">
        <v>1996</v>
      </c>
      <c r="B1975" s="7">
        <v>11</v>
      </c>
      <c r="C1975" s="7">
        <v>3</v>
      </c>
      <c r="D1975" s="7">
        <v>0</v>
      </c>
      <c r="E1975" s="7">
        <v>4</v>
      </c>
      <c r="F1975">
        <v>762</v>
      </c>
      <c r="G1975">
        <v>267</v>
      </c>
      <c r="H1975">
        <v>35.03</v>
      </c>
      <c r="I1975">
        <v>230</v>
      </c>
      <c r="J1975">
        <v>30.22</v>
      </c>
      <c r="K1975">
        <v>1766</v>
      </c>
      <c r="L1975">
        <v>220</v>
      </c>
      <c r="M1975">
        <v>1546</v>
      </c>
      <c r="N1975">
        <v>1251.8399999999999</v>
      </c>
      <c r="O1975">
        <v>15.54</v>
      </c>
      <c r="P1975">
        <v>19.57</v>
      </c>
      <c r="Q1975">
        <v>3.62</v>
      </c>
      <c r="R1975">
        <v>5.92</v>
      </c>
      <c r="S1975">
        <v>1032</v>
      </c>
      <c r="T1975">
        <v>5581</v>
      </c>
      <c r="U1975">
        <v>3414</v>
      </c>
      <c r="V1975">
        <v>342</v>
      </c>
      <c r="W1975">
        <v>13.65</v>
      </c>
      <c r="X1975" s="10">
        <v>0.39965284228921655</v>
      </c>
      <c r="Y1975" s="9">
        <v>21950</v>
      </c>
      <c r="Z1975" s="9">
        <v>17300</v>
      </c>
      <c r="AA1975" s="9">
        <v>17700</v>
      </c>
      <c r="AB1975">
        <v>8.6021505376344093E-2</v>
      </c>
      <c r="AC1975" s="11">
        <v>-46.17810502917478</v>
      </c>
      <c r="AD1975" s="9">
        <v>20702.598870056499</v>
      </c>
      <c r="AE1975" s="8">
        <v>-0.12592592592592591</v>
      </c>
    </row>
    <row r="1976" spans="1:31" x14ac:dyDescent="0.35">
      <c r="A1976" s="6" t="s">
        <v>1997</v>
      </c>
      <c r="B1976" s="7">
        <v>13</v>
      </c>
      <c r="C1976" s="7">
        <v>1</v>
      </c>
      <c r="D1976" s="7">
        <v>3</v>
      </c>
      <c r="E1976" s="7">
        <v>1</v>
      </c>
      <c r="F1976">
        <v>205</v>
      </c>
      <c r="G1976">
        <v>31</v>
      </c>
      <c r="H1976">
        <v>15</v>
      </c>
      <c r="I1976">
        <v>20</v>
      </c>
      <c r="J1976">
        <v>9.81</v>
      </c>
      <c r="K1976">
        <v>570</v>
      </c>
      <c r="L1976">
        <v>218</v>
      </c>
      <c r="M1976">
        <v>353</v>
      </c>
      <c r="N1976">
        <v>509.78</v>
      </c>
      <c r="O1976">
        <v>7.68</v>
      </c>
      <c r="P1976">
        <v>10.62</v>
      </c>
      <c r="Q1976">
        <v>0.81</v>
      </c>
      <c r="R1976">
        <v>1.04</v>
      </c>
      <c r="S1976">
        <v>232</v>
      </c>
      <c r="T1976">
        <v>3039</v>
      </c>
      <c r="U1976">
        <v>2361</v>
      </c>
      <c r="V1976">
        <v>84</v>
      </c>
      <c r="W1976">
        <v>3.4</v>
      </c>
      <c r="X1976" s="10">
        <v>0.48637392879042035</v>
      </c>
      <c r="Y1976" s="9">
        <v>3250</v>
      </c>
      <c r="Z1976" s="9">
        <v>2250</v>
      </c>
      <c r="AA1976" s="9">
        <v>2785</v>
      </c>
      <c r="AB1976">
        <v>0.53500000000000003</v>
      </c>
      <c r="AC1976" s="11">
        <v>10.214920811336482</v>
      </c>
      <c r="AD1976" s="9">
        <v>2188.1949152542375</v>
      </c>
      <c r="AE1976" s="8">
        <v>0.20562770562770563</v>
      </c>
    </row>
    <row r="1977" spans="1:31" x14ac:dyDescent="0.35">
      <c r="A1977" s="6" t="s">
        <v>1998</v>
      </c>
      <c r="B1977" s="7">
        <v>5</v>
      </c>
      <c r="C1977" s="7">
        <v>5</v>
      </c>
      <c r="D1977" s="7">
        <v>5</v>
      </c>
      <c r="E1977" s="7">
        <v>3</v>
      </c>
      <c r="F1977">
        <v>2178</v>
      </c>
      <c r="G1977">
        <v>82</v>
      </c>
      <c r="H1977">
        <v>3.74</v>
      </c>
      <c r="I1977">
        <v>78</v>
      </c>
      <c r="J1977">
        <v>3.57</v>
      </c>
      <c r="K1977">
        <v>1490</v>
      </c>
      <c r="L1977">
        <v>621</v>
      </c>
      <c r="M1977">
        <v>869</v>
      </c>
      <c r="N1977">
        <v>1020.14</v>
      </c>
      <c r="O1977">
        <v>9.2799999999999994</v>
      </c>
      <c r="P1977">
        <v>7.27</v>
      </c>
      <c r="Q1977">
        <v>0.67</v>
      </c>
      <c r="R1977">
        <v>0.26</v>
      </c>
      <c r="S1977">
        <v>509</v>
      </c>
      <c r="T1977">
        <v>5520</v>
      </c>
      <c r="U1977">
        <v>14240</v>
      </c>
      <c r="V1977">
        <v>141</v>
      </c>
      <c r="W1977">
        <v>6.4</v>
      </c>
      <c r="X1977" s="10">
        <v>0.76584604504847442</v>
      </c>
      <c r="Y1977" s="9">
        <v>4120</v>
      </c>
      <c r="Z1977" s="9">
        <v>3455</v>
      </c>
      <c r="AA1977" s="9">
        <v>4025</v>
      </c>
      <c r="AB1977">
        <v>0.8571428571428571</v>
      </c>
      <c r="AC1977" s="11">
        <v>9.9269241455959971</v>
      </c>
      <c r="AD1977" s="9">
        <v>3464.8954802259886</v>
      </c>
      <c r="AE1977" s="8">
        <v>9.5238095238095233E-2</v>
      </c>
    </row>
    <row r="1978" spans="1:31" x14ac:dyDescent="0.35">
      <c r="A1978" s="6" t="s">
        <v>1999</v>
      </c>
      <c r="B1978" s="7">
        <v>5</v>
      </c>
      <c r="C1978" s="7">
        <v>7</v>
      </c>
      <c r="D1978" s="7">
        <v>6</v>
      </c>
      <c r="E1978" s="7">
        <v>0</v>
      </c>
      <c r="F1978">
        <v>3483</v>
      </c>
      <c r="G1978">
        <v>103</v>
      </c>
      <c r="H1978">
        <v>2.96</v>
      </c>
      <c r="I1978">
        <v>15</v>
      </c>
      <c r="J1978">
        <v>0.42</v>
      </c>
      <c r="K1978">
        <v>5155</v>
      </c>
      <c r="L1978">
        <v>2077</v>
      </c>
      <c r="M1978">
        <v>3078</v>
      </c>
      <c r="N1978">
        <v>4828.4799999999996</v>
      </c>
      <c r="O1978">
        <v>0.49</v>
      </c>
      <c r="P1978">
        <v>163.63999999999999</v>
      </c>
      <c r="Q1978">
        <v>1.04</v>
      </c>
      <c r="R1978">
        <v>0.69</v>
      </c>
      <c r="S1978">
        <v>121</v>
      </c>
      <c r="T1978">
        <v>19014</v>
      </c>
      <c r="U1978">
        <v>28720</v>
      </c>
      <c r="V1978">
        <v>234</v>
      </c>
      <c r="W1978">
        <v>14.19</v>
      </c>
      <c r="X1978" s="10">
        <v>0.7654983400778349</v>
      </c>
      <c r="Y1978" s="9">
        <v>25900</v>
      </c>
      <c r="Z1978" s="9">
        <v>18800</v>
      </c>
      <c r="AA1978" s="9">
        <v>24900</v>
      </c>
      <c r="AB1978">
        <v>0.85915492957746475</v>
      </c>
      <c r="AC1978" s="11">
        <v>106.79772158933038</v>
      </c>
      <c r="AD1978" s="9">
        <v>18596.836158192091</v>
      </c>
      <c r="AE1978" s="8">
        <v>0.23267326732673269</v>
      </c>
    </row>
    <row r="1979" spans="1:31" x14ac:dyDescent="0.35">
      <c r="A1979" s="6" t="s">
        <v>2000</v>
      </c>
      <c r="B1979" s="7">
        <v>3</v>
      </c>
      <c r="C1979" s="7">
        <v>11</v>
      </c>
      <c r="D1979" s="7">
        <v>0</v>
      </c>
      <c r="E1979" s="7">
        <v>4</v>
      </c>
      <c r="F1979">
        <v>14078</v>
      </c>
      <c r="G1979">
        <v>110</v>
      </c>
      <c r="H1979">
        <v>0.78</v>
      </c>
      <c r="I1979">
        <v>444</v>
      </c>
      <c r="J1979">
        <v>3.16</v>
      </c>
      <c r="K1979">
        <v>15142</v>
      </c>
      <c r="L1979">
        <v>11834</v>
      </c>
      <c r="M1979">
        <v>3307</v>
      </c>
      <c r="N1979">
        <v>55.31</v>
      </c>
      <c r="O1979">
        <v>14.48</v>
      </c>
      <c r="P1979">
        <v>12.1</v>
      </c>
      <c r="Q1979">
        <v>0.89</v>
      </c>
      <c r="R1979">
        <v>0.43</v>
      </c>
      <c r="S1979">
        <v>537</v>
      </c>
      <c r="T1979">
        <v>7280</v>
      </c>
      <c r="U1979">
        <v>15145</v>
      </c>
      <c r="V1979">
        <v>150</v>
      </c>
      <c r="W1979">
        <v>50.22</v>
      </c>
      <c r="X1979" s="10">
        <v>1.0185412508212484E-2</v>
      </c>
      <c r="Y1979" s="9">
        <v>6620</v>
      </c>
      <c r="Z1979" s="9">
        <v>5930</v>
      </c>
      <c r="AA1979" s="9">
        <v>6060</v>
      </c>
      <c r="AB1979">
        <v>0.18840579710144928</v>
      </c>
      <c r="AC1979" s="11">
        <v>0.98055015282022784</v>
      </c>
      <c r="AD1979" s="9">
        <v>6149.593220338983</v>
      </c>
      <c r="AE1979" s="8">
        <v>-6.3369397217928905E-2</v>
      </c>
    </row>
    <row r="1980" spans="1:31" x14ac:dyDescent="0.35">
      <c r="A1980" s="6" t="s">
        <v>2001</v>
      </c>
      <c r="B1980" s="7">
        <v>3</v>
      </c>
      <c r="C1980" s="7">
        <v>14</v>
      </c>
      <c r="D1980" s="7">
        <v>1</v>
      </c>
      <c r="E1980" s="7">
        <v>0</v>
      </c>
      <c r="F1980">
        <v>414</v>
      </c>
      <c r="G1980">
        <v>24</v>
      </c>
      <c r="H1980">
        <v>5.81</v>
      </c>
      <c r="I1980">
        <v>45</v>
      </c>
      <c r="J1980">
        <v>10.9</v>
      </c>
      <c r="K1980">
        <v>846</v>
      </c>
      <c r="L1980">
        <v>270</v>
      </c>
      <c r="M1980">
        <v>576</v>
      </c>
      <c r="N1980">
        <v>1176.5999999999999</v>
      </c>
      <c r="O1980">
        <v>8.11</v>
      </c>
      <c r="P1980">
        <v>10.1</v>
      </c>
      <c r="Q1980">
        <v>0.84</v>
      </c>
      <c r="R1980">
        <v>1.1000000000000001</v>
      </c>
      <c r="S1980">
        <v>507</v>
      </c>
      <c r="T1980">
        <v>6111</v>
      </c>
      <c r="U1980">
        <v>4649</v>
      </c>
      <c r="V1980">
        <v>35</v>
      </c>
      <c r="W1980">
        <v>13.54</v>
      </c>
      <c r="X1980" s="10">
        <v>0.53440866265568876</v>
      </c>
      <c r="Y1980" s="9">
        <v>6690</v>
      </c>
      <c r="Z1980" s="9">
        <v>5060</v>
      </c>
      <c r="AA1980" s="9">
        <v>5680</v>
      </c>
      <c r="AB1980">
        <v>0.38036809815950923</v>
      </c>
      <c r="AC1980" s="11">
        <v>15.23728813559322</v>
      </c>
      <c r="AD1980" s="9">
        <v>4958.7627118644068</v>
      </c>
      <c r="AE1980" s="8">
        <v>0.10721247563352826</v>
      </c>
    </row>
    <row r="1981" spans="1:31" x14ac:dyDescent="0.35">
      <c r="A1981" s="6" t="s">
        <v>2002</v>
      </c>
      <c r="B1981" s="7">
        <v>11</v>
      </c>
      <c r="C1981" s="7">
        <v>1</v>
      </c>
      <c r="D1981" s="7">
        <v>5</v>
      </c>
      <c r="E1981" s="7">
        <v>1</v>
      </c>
      <c r="F1981">
        <v>23427</v>
      </c>
      <c r="G1981">
        <v>535</v>
      </c>
      <c r="H1981">
        <v>2.2799999999999998</v>
      </c>
      <c r="I1981">
        <v>2203</v>
      </c>
      <c r="J1981">
        <v>9.4</v>
      </c>
      <c r="K1981">
        <v>22641</v>
      </c>
      <c r="L1981">
        <v>7079</v>
      </c>
      <c r="M1981">
        <v>15563</v>
      </c>
      <c r="N1981">
        <v>2815.43</v>
      </c>
      <c r="O1981">
        <v>14.64</v>
      </c>
      <c r="P1981">
        <v>23.46</v>
      </c>
      <c r="Q1981">
        <v>3.39</v>
      </c>
      <c r="R1981">
        <v>2.21</v>
      </c>
      <c r="S1981">
        <v>2063</v>
      </c>
      <c r="T1981">
        <v>14263</v>
      </c>
      <c r="U1981">
        <v>21943</v>
      </c>
      <c r="V1981">
        <v>1308</v>
      </c>
      <c r="W1981">
        <v>40.47</v>
      </c>
      <c r="X1981" s="10">
        <v>0.80575108081402358</v>
      </c>
      <c r="Y1981" s="9">
        <v>49950</v>
      </c>
      <c r="Z1981" s="9">
        <v>37700</v>
      </c>
      <c r="AA1981" s="9">
        <v>37700</v>
      </c>
      <c r="AB1981">
        <v>0</v>
      </c>
      <c r="AC1981" s="11">
        <v>-137.50625173659353</v>
      </c>
      <c r="AD1981" s="9">
        <v>48924.774011299436</v>
      </c>
      <c r="AE1981" s="8">
        <v>-0.24524524524524524</v>
      </c>
    </row>
    <row r="1982" spans="1:31" x14ac:dyDescent="0.35">
      <c r="A1982" s="6" t="s">
        <v>2003</v>
      </c>
      <c r="B1982" s="7">
        <v>1</v>
      </c>
      <c r="C1982" s="7">
        <v>6</v>
      </c>
      <c r="D1982" s="7">
        <v>10</v>
      </c>
      <c r="E1982" s="7">
        <v>1</v>
      </c>
      <c r="F1982">
        <v>97</v>
      </c>
      <c r="G1982">
        <v>19</v>
      </c>
      <c r="H1982">
        <v>19.28</v>
      </c>
      <c r="I1982">
        <v>12726</v>
      </c>
      <c r="J1982">
        <v>13182.9</v>
      </c>
      <c r="K1982">
        <v>12476</v>
      </c>
      <c r="L1982">
        <v>4086</v>
      </c>
      <c r="M1982">
        <v>8389</v>
      </c>
      <c r="N1982">
        <v>1436.53</v>
      </c>
      <c r="O1982">
        <v>113.66</v>
      </c>
      <c r="P1982">
        <v>0.81</v>
      </c>
      <c r="Q1982">
        <v>0.9</v>
      </c>
      <c r="R1982">
        <v>106.27</v>
      </c>
      <c r="S1982">
        <v>86158</v>
      </c>
      <c r="T1982">
        <v>77603</v>
      </c>
      <c r="U1982">
        <v>654</v>
      </c>
      <c r="V1982">
        <v>819</v>
      </c>
      <c r="W1982">
        <v>12.84</v>
      </c>
      <c r="X1982" s="10">
        <v>2.896569227108494E-2</v>
      </c>
      <c r="Y1982" s="9">
        <v>72100</v>
      </c>
      <c r="Z1982" s="9">
        <v>61300</v>
      </c>
      <c r="AA1982" s="9">
        <v>69700</v>
      </c>
      <c r="AB1982">
        <v>0.77777777777777779</v>
      </c>
      <c r="AC1982" s="11">
        <v>29.102528480133369</v>
      </c>
      <c r="AD1982" s="9">
        <v>65822.372881355928</v>
      </c>
      <c r="AE1982" s="8">
        <v>1.4556040756914119E-2</v>
      </c>
    </row>
    <row r="1983" spans="1:31" x14ac:dyDescent="0.35">
      <c r="A1983" s="6" t="s">
        <v>2004</v>
      </c>
      <c r="B1983" s="7">
        <v>7</v>
      </c>
      <c r="C1983" s="7">
        <v>5</v>
      </c>
      <c r="D1983" s="7">
        <v>2</v>
      </c>
      <c r="E1983" s="7">
        <v>4</v>
      </c>
      <c r="F1983">
        <v>919</v>
      </c>
      <c r="G1983">
        <v>71</v>
      </c>
      <c r="H1983">
        <v>7.77</v>
      </c>
      <c r="I1983">
        <v>51</v>
      </c>
      <c r="J1983">
        <v>5.52</v>
      </c>
      <c r="K1983">
        <v>975</v>
      </c>
      <c r="L1983">
        <v>361</v>
      </c>
      <c r="M1983">
        <v>614</v>
      </c>
      <c r="N1983">
        <v>1758.4</v>
      </c>
      <c r="O1983">
        <v>8.52</v>
      </c>
      <c r="P1983">
        <v>10.69</v>
      </c>
      <c r="Q1983">
        <v>0.98</v>
      </c>
      <c r="R1983">
        <v>0.59</v>
      </c>
      <c r="S1983">
        <v>759</v>
      </c>
      <c r="T1983">
        <v>8294</v>
      </c>
      <c r="U1983">
        <v>13758</v>
      </c>
      <c r="V1983">
        <v>76</v>
      </c>
      <c r="W1983">
        <v>7.79</v>
      </c>
      <c r="X1983" s="10">
        <v>0.75016773091732336</v>
      </c>
      <c r="Y1983" s="9">
        <v>14250</v>
      </c>
      <c r="Z1983" s="9">
        <v>7880</v>
      </c>
      <c r="AA1983" s="9">
        <v>13550</v>
      </c>
      <c r="AB1983">
        <v>0.89010989010989006</v>
      </c>
      <c r="AC1983" s="11">
        <v>95.074187274242831</v>
      </c>
      <c r="AD1983" s="9">
        <v>7915.9039548022592</v>
      </c>
      <c r="AE1983" s="8">
        <v>0.63449939686369117</v>
      </c>
    </row>
    <row r="1984" spans="1:31" x14ac:dyDescent="0.35">
      <c r="A1984" s="6" t="s">
        <v>2005</v>
      </c>
      <c r="B1984" s="7">
        <v>4</v>
      </c>
      <c r="C1984" s="7">
        <v>11</v>
      </c>
      <c r="D1984" s="7">
        <v>3</v>
      </c>
      <c r="E1984" s="7">
        <v>0</v>
      </c>
      <c r="F1984">
        <v>1478</v>
      </c>
      <c r="G1984">
        <v>397</v>
      </c>
      <c r="H1984">
        <v>26.85</v>
      </c>
      <c r="I1984">
        <v>273</v>
      </c>
      <c r="J1984">
        <v>18.440000000000001</v>
      </c>
      <c r="K1984">
        <v>2763</v>
      </c>
      <c r="L1984">
        <v>870</v>
      </c>
      <c r="M1984">
        <v>1893</v>
      </c>
      <c r="N1984">
        <v>1552.24</v>
      </c>
      <c r="O1984">
        <v>19.489999999999998</v>
      </c>
      <c r="P1984">
        <v>10.52</v>
      </c>
      <c r="Q1984">
        <v>2.2599999999999998</v>
      </c>
      <c r="R1984">
        <v>1.94</v>
      </c>
      <c r="S1984">
        <v>1573</v>
      </c>
      <c r="T1984">
        <v>7313</v>
      </c>
      <c r="U1984">
        <v>8533</v>
      </c>
      <c r="V1984">
        <v>575</v>
      </c>
      <c r="W1984">
        <v>7.32</v>
      </c>
      <c r="X1984" s="10">
        <v>0.13926273264680988</v>
      </c>
      <c r="Y1984" s="9">
        <v>18400</v>
      </c>
      <c r="Z1984" s="9">
        <v>15950</v>
      </c>
      <c r="AA1984" s="9">
        <v>16050</v>
      </c>
      <c r="AB1984">
        <v>4.0816326530612242E-2</v>
      </c>
      <c r="AC1984" s="11">
        <v>15.170880800222283</v>
      </c>
      <c r="AD1984" s="9">
        <v>16888.954802259886</v>
      </c>
      <c r="AE1984" s="8">
        <v>-2.1341463414634148E-2</v>
      </c>
    </row>
    <row r="1985" spans="1:31" x14ac:dyDescent="0.35">
      <c r="A1985" s="6" t="s">
        <v>2006</v>
      </c>
      <c r="B1985" s="7">
        <v>10</v>
      </c>
      <c r="C1985" s="7">
        <v>1</v>
      </c>
      <c r="D1985" s="7">
        <v>5</v>
      </c>
      <c r="E1985" s="7">
        <v>2</v>
      </c>
      <c r="F1985">
        <v>227</v>
      </c>
      <c r="G1985">
        <v>66</v>
      </c>
      <c r="H1985">
        <v>29.14</v>
      </c>
      <c r="I1985">
        <v>63</v>
      </c>
      <c r="J1985">
        <v>27.89</v>
      </c>
      <c r="K1985">
        <v>4917</v>
      </c>
      <c r="L1985">
        <v>932</v>
      </c>
      <c r="M1985">
        <v>3985</v>
      </c>
      <c r="N1985">
        <v>1429.07</v>
      </c>
      <c r="O1985">
        <v>1.59</v>
      </c>
      <c r="P1985">
        <v>134.35</v>
      </c>
      <c r="Q1985">
        <v>2.13</v>
      </c>
      <c r="R1985">
        <v>37.590000000000003</v>
      </c>
      <c r="S1985">
        <v>115</v>
      </c>
      <c r="T1985">
        <v>7257</v>
      </c>
      <c r="U1985">
        <v>411</v>
      </c>
      <c r="V1985">
        <v>74</v>
      </c>
      <c r="W1985">
        <v>121.53</v>
      </c>
      <c r="X1985" s="10">
        <v>0.4276945779987707</v>
      </c>
      <c r="Y1985" s="9">
        <v>32750</v>
      </c>
      <c r="Z1985" s="9">
        <v>14650</v>
      </c>
      <c r="AA1985" s="9">
        <v>32750</v>
      </c>
      <c r="AB1985">
        <v>1</v>
      </c>
      <c r="AC1985" s="11">
        <v>181.8213392609058</v>
      </c>
      <c r="AD1985" s="9">
        <v>12041.949152542373</v>
      </c>
      <c r="AE1985" s="8">
        <v>1.0341614906832297</v>
      </c>
    </row>
    <row r="1986" spans="1:31" x14ac:dyDescent="0.35">
      <c r="A1986" s="6" t="s">
        <v>2007</v>
      </c>
      <c r="B1986" s="7">
        <v>5</v>
      </c>
      <c r="C1986" s="7">
        <v>4</v>
      </c>
      <c r="D1986" s="7">
        <v>7</v>
      </c>
      <c r="E1986" s="7">
        <v>2</v>
      </c>
      <c r="F1986">
        <v>5820</v>
      </c>
      <c r="G1986">
        <v>36</v>
      </c>
      <c r="H1986">
        <v>0.63</v>
      </c>
      <c r="I1986">
        <v>156</v>
      </c>
      <c r="J1986">
        <v>2.67</v>
      </c>
      <c r="K1986">
        <v>8366</v>
      </c>
      <c r="L1986">
        <v>3967</v>
      </c>
      <c r="M1986">
        <v>4399</v>
      </c>
      <c r="N1986">
        <v>1712.9</v>
      </c>
      <c r="O1986">
        <v>3.97</v>
      </c>
      <c r="P1986">
        <v>63.24</v>
      </c>
      <c r="Q1986">
        <v>2.79</v>
      </c>
      <c r="R1986">
        <v>1.69</v>
      </c>
      <c r="S1986">
        <v>1613</v>
      </c>
      <c r="T1986">
        <v>36616</v>
      </c>
      <c r="U1986">
        <v>60310</v>
      </c>
      <c r="V1986">
        <v>210</v>
      </c>
      <c r="W1986">
        <v>56.8</v>
      </c>
      <c r="X1986" s="10">
        <v>0.52980982900294271</v>
      </c>
      <c r="Y1986" s="9">
        <v>257000</v>
      </c>
      <c r="Z1986" s="9">
        <v>96300</v>
      </c>
      <c r="AA1986" s="9">
        <v>241500</v>
      </c>
      <c r="AB1986">
        <v>0.90354698195395144</v>
      </c>
      <c r="AC1986" s="11">
        <v>1830.3889969435954</v>
      </c>
      <c r="AD1986" s="9">
        <v>67928.13559322033</v>
      </c>
      <c r="AE1986" s="8">
        <v>1.415</v>
      </c>
    </row>
    <row r="1987" spans="1:31" x14ac:dyDescent="0.35">
      <c r="A1987" s="6" t="s">
        <v>2008</v>
      </c>
      <c r="B1987" s="7">
        <v>2</v>
      </c>
      <c r="C1987" s="7">
        <v>4</v>
      </c>
      <c r="D1987" s="7">
        <v>7</v>
      </c>
      <c r="E1987" s="7">
        <v>5</v>
      </c>
      <c r="F1987">
        <v>214</v>
      </c>
      <c r="G1987">
        <v>7</v>
      </c>
      <c r="H1987">
        <v>3.41</v>
      </c>
      <c r="I1987">
        <v>-6</v>
      </c>
      <c r="J1987">
        <v>-2.61</v>
      </c>
      <c r="K1987">
        <v>297</v>
      </c>
      <c r="L1987">
        <v>111</v>
      </c>
      <c r="M1987">
        <v>186</v>
      </c>
      <c r="N1987">
        <v>60.86</v>
      </c>
      <c r="O1987">
        <v>-3.15</v>
      </c>
      <c r="P1987">
        <v>0</v>
      </c>
      <c r="Q1987">
        <v>7.28</v>
      </c>
      <c r="R1987">
        <v>6.16</v>
      </c>
      <c r="S1987">
        <v>-25</v>
      </c>
      <c r="T1987">
        <v>795</v>
      </c>
      <c r="U1987">
        <v>940</v>
      </c>
      <c r="V1987">
        <v>26</v>
      </c>
      <c r="W1987">
        <v>52.06</v>
      </c>
      <c r="X1987" s="10">
        <v>0.55035716703861215</v>
      </c>
      <c r="Y1987" s="9">
        <v>9520</v>
      </c>
      <c r="Z1987" s="9">
        <v>5790</v>
      </c>
      <c r="AA1987" s="9">
        <v>9520</v>
      </c>
      <c r="AB1987">
        <v>1</v>
      </c>
      <c r="AC1987" s="11">
        <v>26.299527646568492</v>
      </c>
      <c r="AD1987" s="9">
        <v>6358.8644067796613</v>
      </c>
      <c r="AE1987" s="8">
        <v>0.53301127214170696</v>
      </c>
    </row>
    <row r="1988" spans="1:31" x14ac:dyDescent="0.35">
      <c r="A1988" s="6" t="s">
        <v>2009</v>
      </c>
      <c r="B1988" s="7">
        <v>17</v>
      </c>
      <c r="C1988" s="7">
        <v>0</v>
      </c>
      <c r="D1988" s="7">
        <v>1</v>
      </c>
      <c r="E1988" s="7">
        <v>0</v>
      </c>
      <c r="F1988">
        <v>12655</v>
      </c>
      <c r="G1988">
        <v>1020</v>
      </c>
      <c r="H1988">
        <v>8.06</v>
      </c>
      <c r="I1988">
        <v>776</v>
      </c>
      <c r="J1988">
        <v>6.13</v>
      </c>
      <c r="K1988">
        <v>4960</v>
      </c>
      <c r="L1988">
        <v>1755</v>
      </c>
      <c r="M1988">
        <v>3205</v>
      </c>
      <c r="N1988">
        <v>1481.78</v>
      </c>
      <c r="O1988">
        <v>26.88</v>
      </c>
      <c r="P1988">
        <v>26.68</v>
      </c>
      <c r="Q1988">
        <v>8.49</v>
      </c>
      <c r="R1988">
        <v>1.64</v>
      </c>
      <c r="S1988">
        <v>4291</v>
      </c>
      <c r="T1988">
        <v>13488</v>
      </c>
      <c r="U1988">
        <v>69997</v>
      </c>
      <c r="V1988">
        <v>1098</v>
      </c>
      <c r="W1988">
        <v>24.54</v>
      </c>
      <c r="X1988" s="10">
        <v>0.87095981213588902</v>
      </c>
      <c r="Y1988" s="9">
        <v>180000</v>
      </c>
      <c r="Z1988" s="9">
        <v>114500</v>
      </c>
      <c r="AA1988" s="9">
        <v>177000</v>
      </c>
      <c r="AB1988">
        <v>0.95419847328244278</v>
      </c>
      <c r="AC1988" s="11">
        <v>945.9433175882192</v>
      </c>
      <c r="AD1988" s="9">
        <v>127557.06214689265</v>
      </c>
      <c r="AE1988" s="8">
        <v>0.4567901234567901</v>
      </c>
    </row>
    <row r="1989" spans="1:31" x14ac:dyDescent="0.35">
      <c r="A1989" s="6" t="s">
        <v>2010</v>
      </c>
      <c r="B1989" s="7">
        <v>7</v>
      </c>
      <c r="C1989" s="7">
        <v>2</v>
      </c>
      <c r="D1989" s="7">
        <v>1</v>
      </c>
      <c r="E1989" s="7">
        <v>8</v>
      </c>
      <c r="F1989">
        <v>5092</v>
      </c>
      <c r="G1989">
        <v>518</v>
      </c>
      <c r="H1989">
        <v>10.17</v>
      </c>
      <c r="I1989">
        <v>485</v>
      </c>
      <c r="J1989">
        <v>9.5299999999999994</v>
      </c>
      <c r="K1989">
        <v>8497</v>
      </c>
      <c r="L1989">
        <v>933</v>
      </c>
      <c r="M1989">
        <v>7565</v>
      </c>
      <c r="N1989">
        <v>6223.06</v>
      </c>
      <c r="O1989">
        <v>6.6</v>
      </c>
      <c r="P1989">
        <v>14.74</v>
      </c>
      <c r="Q1989">
        <v>1.06</v>
      </c>
      <c r="R1989">
        <v>1.4</v>
      </c>
      <c r="S1989">
        <v>2209</v>
      </c>
      <c r="T1989">
        <v>30660</v>
      </c>
      <c r="U1989">
        <v>23177</v>
      </c>
      <c r="V1989">
        <v>638</v>
      </c>
      <c r="W1989">
        <v>12.57</v>
      </c>
      <c r="X1989" s="10">
        <v>0.17727563289125126</v>
      </c>
      <c r="Y1989" s="9">
        <v>32650</v>
      </c>
      <c r="Z1989" s="9">
        <v>27650</v>
      </c>
      <c r="AA1989" s="9">
        <v>32250</v>
      </c>
      <c r="AB1989">
        <v>0.92</v>
      </c>
      <c r="AC1989" s="11">
        <v>30.133370380661301</v>
      </c>
      <c r="AD1989" s="9">
        <v>29719.265536723164</v>
      </c>
      <c r="AE1989" s="8">
        <v>9.3896713615023476E-3</v>
      </c>
    </row>
    <row r="1990" spans="1:31" x14ac:dyDescent="0.35">
      <c r="A1990" s="6" t="s">
        <v>2011</v>
      </c>
      <c r="B1990" s="7">
        <v>5</v>
      </c>
      <c r="C1990" s="7">
        <v>1</v>
      </c>
      <c r="D1990" s="7">
        <v>4</v>
      </c>
      <c r="E1990" s="7">
        <v>8</v>
      </c>
      <c r="F1990">
        <v>2872</v>
      </c>
      <c r="G1990">
        <v>13</v>
      </c>
      <c r="H1990">
        <v>0.44</v>
      </c>
      <c r="I1990">
        <v>-124</v>
      </c>
      <c r="J1990">
        <v>-4.32</v>
      </c>
      <c r="K1990">
        <v>1966</v>
      </c>
      <c r="L1990">
        <v>1463</v>
      </c>
      <c r="M1990">
        <v>502</v>
      </c>
      <c r="N1990">
        <v>98.09</v>
      </c>
      <c r="O1990">
        <v>-21.74</v>
      </c>
      <c r="P1990">
        <v>0</v>
      </c>
      <c r="Q1990">
        <v>0.7</v>
      </c>
      <c r="R1990">
        <v>0.11</v>
      </c>
      <c r="S1990">
        <v>-2437</v>
      </c>
      <c r="T1990">
        <v>8999</v>
      </c>
      <c r="U1990">
        <v>56430</v>
      </c>
      <c r="V1990">
        <v>40</v>
      </c>
      <c r="W1990">
        <v>29.63</v>
      </c>
      <c r="X1990" s="10">
        <v>0.57774624166138944</v>
      </c>
      <c r="Y1990" s="9">
        <v>8620</v>
      </c>
      <c r="Z1990" s="9">
        <v>5930</v>
      </c>
      <c r="AA1990" s="9">
        <v>7010</v>
      </c>
      <c r="AB1990">
        <v>0.40148698884758366</v>
      </c>
      <c r="AC1990" s="11">
        <v>30.354820783550991</v>
      </c>
      <c r="AD1990" s="9">
        <v>5991.3446327683614</v>
      </c>
      <c r="AE1990" s="8">
        <v>0.10917721518987342</v>
      </c>
    </row>
    <row r="1991" spans="1:31" x14ac:dyDescent="0.35">
      <c r="A1991" s="6" t="s">
        <v>2012</v>
      </c>
      <c r="B1991" s="7">
        <v>15</v>
      </c>
      <c r="C1991" s="7">
        <v>3</v>
      </c>
      <c r="D1991" s="7">
        <v>0</v>
      </c>
      <c r="E1991" s="7">
        <v>0</v>
      </c>
      <c r="F1991">
        <v>12424</v>
      </c>
      <c r="G1991">
        <v>975</v>
      </c>
      <c r="H1991">
        <v>7.85</v>
      </c>
      <c r="I1991">
        <v>715</v>
      </c>
      <c r="J1991">
        <v>5.75</v>
      </c>
      <c r="K1991">
        <v>6596</v>
      </c>
      <c r="L1991">
        <v>3013</v>
      </c>
      <c r="M1991">
        <v>3583</v>
      </c>
      <c r="N1991">
        <v>1691.59</v>
      </c>
      <c r="O1991">
        <v>22.08</v>
      </c>
      <c r="P1991">
        <v>22.22</v>
      </c>
      <c r="Q1991">
        <v>4.4400000000000004</v>
      </c>
      <c r="R1991">
        <v>1.28</v>
      </c>
      <c r="S1991">
        <v>1787</v>
      </c>
      <c r="T1991">
        <v>8947</v>
      </c>
      <c r="U1991">
        <v>31059</v>
      </c>
      <c r="V1991">
        <v>986</v>
      </c>
      <c r="W1991">
        <v>16.489999999999998</v>
      </c>
      <c r="X1991" s="10">
        <v>0.15788508712027607</v>
      </c>
      <c r="Y1991" s="9">
        <v>41800</v>
      </c>
      <c r="Z1991" s="9">
        <v>34400</v>
      </c>
      <c r="AA1991" s="9">
        <v>39600</v>
      </c>
      <c r="AB1991">
        <v>0.70270270270270274</v>
      </c>
      <c r="AC1991" s="11">
        <v>40.836343428730203</v>
      </c>
      <c r="AD1991" s="9">
        <v>36884.491525423728</v>
      </c>
      <c r="AE1991" s="8">
        <v>1.278772378516624E-2</v>
      </c>
    </row>
    <row r="1992" spans="1:31" x14ac:dyDescent="0.35">
      <c r="A1992" s="6" t="s">
        <v>2013</v>
      </c>
      <c r="B1992" s="7">
        <v>4</v>
      </c>
      <c r="C1992" s="7">
        <v>5</v>
      </c>
      <c r="D1992" s="7">
        <v>4</v>
      </c>
      <c r="E1992" s="7">
        <v>5</v>
      </c>
      <c r="F1992">
        <v>70</v>
      </c>
      <c r="G1992">
        <v>42</v>
      </c>
      <c r="H1992">
        <v>59.72</v>
      </c>
      <c r="I1992">
        <v>7</v>
      </c>
      <c r="J1992">
        <v>9.5500000000000007</v>
      </c>
      <c r="K1992">
        <v>1317</v>
      </c>
      <c r="L1992">
        <v>143</v>
      </c>
      <c r="M1992">
        <v>1174</v>
      </c>
      <c r="N1992">
        <v>486.83</v>
      </c>
      <c r="O1992">
        <v>0.56999999999999995</v>
      </c>
      <c r="P1992">
        <v>726.47</v>
      </c>
      <c r="Q1992">
        <v>4.21</v>
      </c>
      <c r="R1992">
        <v>70.17</v>
      </c>
      <c r="S1992">
        <v>17</v>
      </c>
      <c r="T1992">
        <v>2933</v>
      </c>
      <c r="U1992">
        <v>176</v>
      </c>
      <c r="V1992">
        <v>42</v>
      </c>
      <c r="W1992">
        <v>118.95</v>
      </c>
      <c r="X1992" s="10">
        <v>0.65980019004588719</v>
      </c>
      <c r="Y1992" s="9">
        <v>16950</v>
      </c>
      <c r="Z1992" s="9">
        <v>10750</v>
      </c>
      <c r="AA1992" s="9">
        <v>16550</v>
      </c>
      <c r="AB1992">
        <v>0.93548387096774188</v>
      </c>
      <c r="AC1992" s="11">
        <v>69.620727979994442</v>
      </c>
      <c r="AD1992" s="9">
        <v>10532.401129943504</v>
      </c>
      <c r="AE1992" s="8">
        <v>0.40254237288135591</v>
      </c>
    </row>
    <row r="1993" spans="1:31" x14ac:dyDescent="0.35">
      <c r="A1993" s="6" t="s">
        <v>2014</v>
      </c>
      <c r="B1993" s="7">
        <v>9</v>
      </c>
      <c r="C1993" s="7">
        <v>0</v>
      </c>
      <c r="D1993" s="7">
        <v>8</v>
      </c>
      <c r="E1993" s="7">
        <v>1</v>
      </c>
      <c r="F1993">
        <v>2656</v>
      </c>
      <c r="G1993">
        <v>41</v>
      </c>
      <c r="H1993">
        <v>1.54</v>
      </c>
      <c r="I1993">
        <v>26</v>
      </c>
      <c r="J1993">
        <v>0.99</v>
      </c>
      <c r="K1993">
        <v>1148</v>
      </c>
      <c r="L1993">
        <v>734</v>
      </c>
      <c r="M1993">
        <v>413</v>
      </c>
      <c r="N1993">
        <v>199.62</v>
      </c>
      <c r="O1993">
        <v>6.49</v>
      </c>
      <c r="P1993">
        <v>12.11</v>
      </c>
      <c r="Q1993">
        <v>0.81</v>
      </c>
      <c r="R1993">
        <v>0.12</v>
      </c>
      <c r="S1993">
        <v>95</v>
      </c>
      <c r="T1993">
        <v>1418</v>
      </c>
      <c r="U1993">
        <v>9625</v>
      </c>
      <c r="V1993">
        <v>55</v>
      </c>
      <c r="W1993">
        <v>5.81</v>
      </c>
      <c r="X1993" s="10">
        <v>0.80813361110279303</v>
      </c>
      <c r="Y1993" s="9">
        <v>1385</v>
      </c>
      <c r="Z1993" s="9">
        <v>1140</v>
      </c>
      <c r="AA1993" s="9">
        <v>1315</v>
      </c>
      <c r="AB1993">
        <v>0.7142857142857143</v>
      </c>
      <c r="AC1993" s="11">
        <v>3.4447068630175051</v>
      </c>
      <c r="AD1993" s="9">
        <v>1123.3531073446329</v>
      </c>
      <c r="AE1993" s="8">
        <v>0.14847161572052403</v>
      </c>
    </row>
    <row r="1994" spans="1:31" x14ac:dyDescent="0.35">
      <c r="A1994" s="6" t="s">
        <v>2015</v>
      </c>
      <c r="B1994" s="7">
        <v>5</v>
      </c>
      <c r="C1994" s="7">
        <v>4</v>
      </c>
      <c r="D1994" s="7">
        <v>2</v>
      </c>
      <c r="E1994" s="7">
        <v>7</v>
      </c>
      <c r="F1994">
        <v>219</v>
      </c>
      <c r="G1994">
        <v>9</v>
      </c>
      <c r="H1994">
        <v>3.94</v>
      </c>
      <c r="I1994">
        <v>10</v>
      </c>
      <c r="J1994">
        <v>4.74</v>
      </c>
      <c r="K1994">
        <v>390</v>
      </c>
      <c r="L1994">
        <v>46</v>
      </c>
      <c r="M1994">
        <v>344</v>
      </c>
      <c r="N1994">
        <v>1093.0899999999999</v>
      </c>
      <c r="O1994">
        <v>3.07</v>
      </c>
      <c r="P1994">
        <v>19.04</v>
      </c>
      <c r="Q1994">
        <v>0.69</v>
      </c>
      <c r="R1994">
        <v>0.99</v>
      </c>
      <c r="S1994">
        <v>198</v>
      </c>
      <c r="T1994">
        <v>5446</v>
      </c>
      <c r="U1994">
        <v>3809</v>
      </c>
      <c r="V1994">
        <v>21</v>
      </c>
      <c r="W1994">
        <v>10.23</v>
      </c>
      <c r="X1994" s="10">
        <v>0.15716714588872796</v>
      </c>
      <c r="Y1994" s="9">
        <v>4580</v>
      </c>
      <c r="Z1994" s="9">
        <v>3720</v>
      </c>
      <c r="AA1994" s="9">
        <v>4580</v>
      </c>
      <c r="AB1994">
        <v>1</v>
      </c>
      <c r="AC1994" s="11">
        <v>3.7909141428174493</v>
      </c>
      <c r="AD1994" s="9">
        <v>3904.2937853107342</v>
      </c>
      <c r="AE1994" s="8">
        <v>0.21808510638297873</v>
      </c>
    </row>
    <row r="1995" spans="1:31" x14ac:dyDescent="0.35">
      <c r="A1995" s="6" t="s">
        <v>2016</v>
      </c>
      <c r="B1995" s="7">
        <v>5</v>
      </c>
      <c r="C1995" s="7">
        <v>0</v>
      </c>
      <c r="D1995" s="7">
        <v>2</v>
      </c>
      <c r="E1995" s="7">
        <v>11</v>
      </c>
      <c r="F1995">
        <v>3842</v>
      </c>
      <c r="G1995">
        <v>21</v>
      </c>
      <c r="H1995">
        <v>0.55000000000000004</v>
      </c>
      <c r="I1995">
        <v>12</v>
      </c>
      <c r="J1995">
        <v>0.31</v>
      </c>
      <c r="K1995">
        <v>1763</v>
      </c>
      <c r="L1995">
        <v>603</v>
      </c>
      <c r="M1995">
        <v>1160</v>
      </c>
      <c r="N1995">
        <v>371.54</v>
      </c>
      <c r="O1995">
        <v>1.04</v>
      </c>
      <c r="P1995">
        <v>92</v>
      </c>
      <c r="Q1995">
        <v>1</v>
      </c>
      <c r="R1995">
        <v>0.28999999999999998</v>
      </c>
      <c r="S1995">
        <v>25</v>
      </c>
      <c r="T1995">
        <v>2299</v>
      </c>
      <c r="U1995">
        <v>8005</v>
      </c>
      <c r="V1995">
        <v>48</v>
      </c>
      <c r="W1995">
        <v>23.14</v>
      </c>
      <c r="X1995" s="10">
        <v>0.48145302167972009</v>
      </c>
      <c r="Y1995" s="9">
        <v>3400</v>
      </c>
      <c r="Z1995" s="9">
        <v>2095</v>
      </c>
      <c r="AA1995" s="9">
        <v>3285</v>
      </c>
      <c r="AB1995">
        <v>0.91187739463601536</v>
      </c>
      <c r="AC1995" s="11">
        <v>10.632675743262018</v>
      </c>
      <c r="AD1995" s="9">
        <v>2105.536723163842</v>
      </c>
      <c r="AE1995" s="8">
        <v>0.39490445859872614</v>
      </c>
    </row>
    <row r="1996" spans="1:31" x14ac:dyDescent="0.35">
      <c r="A1996" s="6" t="s">
        <v>2017</v>
      </c>
      <c r="B1996" s="7">
        <v>0</v>
      </c>
      <c r="C1996" s="7">
        <v>1</v>
      </c>
      <c r="D1996" s="7">
        <v>8</v>
      </c>
      <c r="E1996" s="7">
        <v>9</v>
      </c>
      <c r="F1996">
        <v>1254</v>
      </c>
      <c r="G1996">
        <v>-254</v>
      </c>
      <c r="H1996">
        <v>-20.28</v>
      </c>
      <c r="I1996">
        <v>-340</v>
      </c>
      <c r="J1996">
        <v>-27.1</v>
      </c>
      <c r="K1996">
        <v>1729</v>
      </c>
      <c r="L1996">
        <v>1421</v>
      </c>
      <c r="M1996">
        <v>308</v>
      </c>
      <c r="N1996">
        <v>140.55000000000001</v>
      </c>
      <c r="O1996">
        <v>-85.18</v>
      </c>
      <c r="P1996">
        <v>0</v>
      </c>
      <c r="Q1996">
        <v>1.98</v>
      </c>
      <c r="R1996">
        <v>0.26</v>
      </c>
      <c r="S1996">
        <v>-1914</v>
      </c>
      <c r="T1996">
        <v>923</v>
      </c>
      <c r="U1996">
        <v>7062</v>
      </c>
      <c r="V1996">
        <v>-209</v>
      </c>
      <c r="W1996">
        <v>-6.33</v>
      </c>
      <c r="X1996" s="10">
        <v>7.4661974743295053E-3</v>
      </c>
      <c r="Y1996" s="9">
        <v>2255</v>
      </c>
      <c r="Z1996" s="9">
        <v>1820</v>
      </c>
      <c r="AA1996" s="9">
        <v>1905</v>
      </c>
      <c r="AB1996">
        <v>0.19540229885057472</v>
      </c>
      <c r="AC1996" s="11">
        <v>0.43901083634342858</v>
      </c>
      <c r="AD1996" s="9">
        <v>1977.7768361581923</v>
      </c>
      <c r="AE1996" s="8">
        <v>4.6703296703296704E-2</v>
      </c>
    </row>
    <row r="1997" spans="1:31" x14ac:dyDescent="0.35">
      <c r="A1997" s="6" t="s">
        <v>2018</v>
      </c>
      <c r="B1997" s="7">
        <v>2</v>
      </c>
      <c r="C1997" s="7">
        <v>1</v>
      </c>
      <c r="D1997" s="7">
        <v>10</v>
      </c>
      <c r="E1997" s="7">
        <v>5</v>
      </c>
      <c r="F1997">
        <v>3492</v>
      </c>
      <c r="G1997">
        <v>-82</v>
      </c>
      <c r="H1997">
        <v>-2.35</v>
      </c>
      <c r="I1997">
        <v>-245</v>
      </c>
      <c r="J1997">
        <v>-7</v>
      </c>
      <c r="K1997">
        <v>4553</v>
      </c>
      <c r="L1997">
        <v>3519</v>
      </c>
      <c r="M1997">
        <v>1034</v>
      </c>
      <c r="N1997">
        <v>165.51</v>
      </c>
      <c r="O1997">
        <v>-24.14</v>
      </c>
      <c r="P1997">
        <v>0</v>
      </c>
      <c r="Q1997">
        <v>0.5</v>
      </c>
      <c r="R1997">
        <v>0.11</v>
      </c>
      <c r="S1997">
        <v>-787</v>
      </c>
      <c r="T1997">
        <v>2405</v>
      </c>
      <c r="U1997">
        <v>11065</v>
      </c>
      <c r="V1997">
        <v>126</v>
      </c>
      <c r="W1997">
        <v>25.7</v>
      </c>
      <c r="X1997" s="10">
        <v>0.50239461114802286</v>
      </c>
      <c r="Y1997" s="9">
        <v>2350</v>
      </c>
      <c r="Z1997" s="9">
        <v>1160</v>
      </c>
      <c r="AA1997" s="9">
        <v>1590</v>
      </c>
      <c r="AB1997">
        <v>0.36134453781512604</v>
      </c>
      <c r="AC1997" s="11">
        <v>12.140177827174217</v>
      </c>
      <c r="AD1997" s="9">
        <v>1080.1412429378531</v>
      </c>
      <c r="AE1997" s="8">
        <v>0.28225806451612906</v>
      </c>
    </row>
    <row r="1998" spans="1:31" x14ac:dyDescent="0.35">
      <c r="A1998" s="6" t="s">
        <v>2019</v>
      </c>
      <c r="B1998" s="7">
        <v>0</v>
      </c>
      <c r="C1998" s="7">
        <v>0</v>
      </c>
      <c r="D1998" s="7">
        <v>0</v>
      </c>
      <c r="E1998" s="7">
        <v>18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 s="10">
        <v>0.50552601013715215</v>
      </c>
      <c r="Y1998" s="9">
        <v>5220</v>
      </c>
      <c r="Z1998" s="9">
        <v>3590</v>
      </c>
      <c r="AA1998" s="9">
        <v>4070</v>
      </c>
      <c r="AB1998">
        <v>0.29447852760736198</v>
      </c>
      <c r="AC1998" s="11">
        <v>16.101555987774379</v>
      </c>
      <c r="AD1998" s="9">
        <v>3542.3192090395478</v>
      </c>
      <c r="AE1998" s="8">
        <v>7.9575596816976124E-2</v>
      </c>
    </row>
    <row r="1999" spans="1:31" x14ac:dyDescent="0.35">
      <c r="A1999" s="6" t="s">
        <v>2020</v>
      </c>
      <c r="B1999" s="7">
        <v>17</v>
      </c>
      <c r="C1999" s="7">
        <v>0</v>
      </c>
      <c r="D1999" s="7">
        <v>1</v>
      </c>
      <c r="E1999" s="7">
        <v>0</v>
      </c>
      <c r="F1999">
        <v>648</v>
      </c>
      <c r="G1999">
        <v>31</v>
      </c>
      <c r="H1999">
        <v>4.8</v>
      </c>
      <c r="I1999">
        <v>15</v>
      </c>
      <c r="J1999">
        <v>2.29</v>
      </c>
      <c r="K1999">
        <v>619</v>
      </c>
      <c r="L1999">
        <v>339</v>
      </c>
      <c r="M1999">
        <v>280</v>
      </c>
      <c r="N1999">
        <v>305.45</v>
      </c>
      <c r="O1999">
        <v>5.48</v>
      </c>
      <c r="P1999">
        <v>19.260000000000002</v>
      </c>
      <c r="Q1999">
        <v>1.1200000000000001</v>
      </c>
      <c r="R1999">
        <v>0.44</v>
      </c>
      <c r="S1999">
        <v>108</v>
      </c>
      <c r="T1999">
        <v>1859</v>
      </c>
      <c r="U1999">
        <v>4703</v>
      </c>
      <c r="V1999">
        <v>38</v>
      </c>
      <c r="W1999">
        <v>11.16</v>
      </c>
      <c r="X1999" s="10">
        <v>0.26682450422156045</v>
      </c>
      <c r="Y1999" s="9">
        <v>2480</v>
      </c>
      <c r="Z1999" s="9">
        <v>1980</v>
      </c>
      <c r="AA1999" s="9">
        <v>2175</v>
      </c>
      <c r="AB1999">
        <v>0.39</v>
      </c>
      <c r="AC1999" s="11">
        <v>3.0622395109752705</v>
      </c>
      <c r="AD1999" s="9">
        <v>2159.4350282485875</v>
      </c>
      <c r="AE1999" s="8">
        <v>5.3268765133171914E-2</v>
      </c>
    </row>
    <row r="2000" spans="1:31" x14ac:dyDescent="0.35">
      <c r="A2000" s="6" t="s">
        <v>2021</v>
      </c>
      <c r="B2000" s="7">
        <v>0</v>
      </c>
      <c r="C2000" s="7">
        <v>0</v>
      </c>
      <c r="D2000" s="7">
        <v>0</v>
      </c>
      <c r="E2000" s="7">
        <v>18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 s="10">
        <v>0.5330756837453694</v>
      </c>
      <c r="Y2000" s="9">
        <v>23000</v>
      </c>
      <c r="Z2000" s="9">
        <v>16650</v>
      </c>
      <c r="AA2000" s="9">
        <v>21850</v>
      </c>
      <c r="AB2000">
        <v>0.81889763779527558</v>
      </c>
      <c r="AC2000" s="11">
        <v>73.62045215136537</v>
      </c>
      <c r="AD2000" s="9">
        <v>17581.277854306783</v>
      </c>
      <c r="AE2000" s="8">
        <v>0</v>
      </c>
    </row>
    <row r="2001" spans="1:31" x14ac:dyDescent="0.35">
      <c r="A2001" s="6" t="s">
        <v>2022</v>
      </c>
      <c r="B2001" s="7">
        <v>11</v>
      </c>
      <c r="C2001" s="7">
        <v>4</v>
      </c>
      <c r="D2001" s="7">
        <v>0</v>
      </c>
      <c r="E2001" s="7">
        <v>3</v>
      </c>
      <c r="F2001">
        <v>2779</v>
      </c>
      <c r="G2001">
        <v>282</v>
      </c>
      <c r="H2001">
        <v>10.14</v>
      </c>
      <c r="I2001">
        <v>223</v>
      </c>
      <c r="J2001">
        <v>8.01</v>
      </c>
      <c r="K2001">
        <v>3716</v>
      </c>
      <c r="L2001">
        <v>1683</v>
      </c>
      <c r="M2001">
        <v>2033</v>
      </c>
      <c r="N2001">
        <v>263.51</v>
      </c>
      <c r="O2001">
        <v>11.38</v>
      </c>
      <c r="P2001">
        <v>19.41</v>
      </c>
      <c r="Q2001">
        <v>2.31</v>
      </c>
      <c r="R2001">
        <v>1.55</v>
      </c>
      <c r="S2001">
        <v>2007</v>
      </c>
      <c r="T2001">
        <v>16850</v>
      </c>
      <c r="U2001">
        <v>25065</v>
      </c>
      <c r="V2001">
        <v>435</v>
      </c>
      <c r="W2001">
        <v>12.55</v>
      </c>
      <c r="X2001" s="10">
        <v>0.55116250140525935</v>
      </c>
      <c r="Y2001" s="9">
        <v>54200</v>
      </c>
      <c r="Z2001" s="9">
        <v>38950</v>
      </c>
      <c r="AA2001" s="9">
        <v>49400</v>
      </c>
      <c r="AB2001">
        <v>0.68524590163934429</v>
      </c>
      <c r="AC2001" s="11">
        <v>151.91442067240894</v>
      </c>
      <c r="AD2001" s="9">
        <v>43693.276836158191</v>
      </c>
      <c r="AE2001" s="8">
        <v>0.25380710659898476</v>
      </c>
    </row>
    <row r="2002" spans="1:31" x14ac:dyDescent="0.35">
      <c r="A2002" s="6" t="s">
        <v>2023</v>
      </c>
      <c r="B2002" s="7">
        <v>8</v>
      </c>
      <c r="C2002" s="7">
        <v>2</v>
      </c>
      <c r="D2002" s="7">
        <v>4</v>
      </c>
      <c r="E2002" s="7">
        <v>4</v>
      </c>
      <c r="F2002">
        <v>5621</v>
      </c>
      <c r="G2002">
        <v>40</v>
      </c>
      <c r="H2002">
        <v>0.72</v>
      </c>
      <c r="I2002">
        <v>-172</v>
      </c>
      <c r="J2002">
        <v>-3.06</v>
      </c>
      <c r="K2002">
        <v>4221</v>
      </c>
      <c r="L2002">
        <v>2105</v>
      </c>
      <c r="M2002">
        <v>2115</v>
      </c>
      <c r="N2002">
        <v>126.83</v>
      </c>
      <c r="O2002">
        <v>-8.7200000000000006</v>
      </c>
      <c r="P2002">
        <v>0</v>
      </c>
      <c r="Q2002">
        <v>1.64</v>
      </c>
      <c r="R2002">
        <v>0.42</v>
      </c>
      <c r="S2002">
        <v>-1060</v>
      </c>
      <c r="T2002">
        <v>8831</v>
      </c>
      <c r="U2002">
        <v>34651</v>
      </c>
      <c r="V2002">
        <v>247</v>
      </c>
      <c r="W2002">
        <v>17.62</v>
      </c>
      <c r="X2002" s="10">
        <v>0.24440936810385469</v>
      </c>
      <c r="Y2002" s="9">
        <v>17950</v>
      </c>
      <c r="Z2002" s="9">
        <v>13300</v>
      </c>
      <c r="AA2002" s="9">
        <v>16300</v>
      </c>
      <c r="AB2002">
        <v>0.64516129032258063</v>
      </c>
      <c r="AC2002" s="11">
        <v>32.918866351764372</v>
      </c>
      <c r="AD2002" s="9">
        <v>13981.80790960452</v>
      </c>
      <c r="AE2002" s="8">
        <v>0.13194444444444445</v>
      </c>
    </row>
    <row r="2003" spans="1:31" x14ac:dyDescent="0.35">
      <c r="A2003" s="6" t="s">
        <v>2024</v>
      </c>
      <c r="B2003" s="7">
        <v>3</v>
      </c>
      <c r="C2003" s="7">
        <v>1</v>
      </c>
      <c r="D2003" s="7">
        <v>7</v>
      </c>
      <c r="E2003" s="7">
        <v>7</v>
      </c>
      <c r="F2003">
        <v>0</v>
      </c>
      <c r="G2003">
        <v>-59</v>
      </c>
      <c r="H2003">
        <v>0</v>
      </c>
      <c r="I2003">
        <v>-75</v>
      </c>
      <c r="J2003">
        <v>0</v>
      </c>
      <c r="K2003">
        <v>18434</v>
      </c>
      <c r="L2003">
        <v>13679</v>
      </c>
      <c r="M2003">
        <v>4755</v>
      </c>
      <c r="N2003">
        <v>126.1</v>
      </c>
      <c r="O2003">
        <v>-1.17</v>
      </c>
      <c r="P2003">
        <v>0</v>
      </c>
      <c r="Q2003">
        <v>0.98</v>
      </c>
      <c r="R2003">
        <v>0</v>
      </c>
      <c r="S2003">
        <v>-186</v>
      </c>
      <c r="T2003">
        <v>10888</v>
      </c>
      <c r="U2003">
        <v>0</v>
      </c>
      <c r="V2003">
        <v>481</v>
      </c>
      <c r="W2003">
        <v>9.82</v>
      </c>
      <c r="X2003" s="10">
        <v>0.51521385723405266</v>
      </c>
      <c r="Y2003" s="9">
        <v>8870</v>
      </c>
      <c r="Z2003" s="9">
        <v>6520</v>
      </c>
      <c r="AA2003" s="9">
        <v>8500</v>
      </c>
      <c r="AB2003">
        <v>0.8425531914893617</v>
      </c>
      <c r="AC2003" s="11">
        <v>28.304251180883579</v>
      </c>
      <c r="AD2003" s="9">
        <v>6591.2203389830511</v>
      </c>
      <c r="AE2003" s="8">
        <v>0.30368098159509205</v>
      </c>
    </row>
    <row r="2004" spans="1:31" x14ac:dyDescent="0.35">
      <c r="A2004" s="6" t="s">
        <v>2025</v>
      </c>
      <c r="B2004" s="7">
        <v>5</v>
      </c>
      <c r="C2004" s="7">
        <v>1</v>
      </c>
      <c r="D2004" s="7">
        <v>10</v>
      </c>
      <c r="E2004" s="7">
        <v>2</v>
      </c>
      <c r="F2004">
        <v>2353</v>
      </c>
      <c r="G2004">
        <v>46</v>
      </c>
      <c r="H2004">
        <v>1.97</v>
      </c>
      <c r="I2004">
        <v>-3</v>
      </c>
      <c r="J2004">
        <v>-0.13</v>
      </c>
      <c r="K2004">
        <v>2915</v>
      </c>
      <c r="L2004">
        <v>1581</v>
      </c>
      <c r="M2004">
        <v>1335</v>
      </c>
      <c r="N2004">
        <v>69.510000000000005</v>
      </c>
      <c r="O2004">
        <v>-0.24</v>
      </c>
      <c r="P2004">
        <v>0</v>
      </c>
      <c r="Q2004">
        <v>0.95</v>
      </c>
      <c r="R2004">
        <v>0.51</v>
      </c>
      <c r="S2004">
        <v>-4</v>
      </c>
      <c r="T2004">
        <v>1725</v>
      </c>
      <c r="U2004">
        <v>3208</v>
      </c>
      <c r="V2004">
        <v>132</v>
      </c>
      <c r="W2004">
        <v>16.940000000000001</v>
      </c>
      <c r="X2004" s="10">
        <v>0.48215315098459455</v>
      </c>
      <c r="Y2004" s="9">
        <v>2060</v>
      </c>
      <c r="Z2004" s="9">
        <v>1405</v>
      </c>
      <c r="AA2004" s="9">
        <v>1965</v>
      </c>
      <c r="AB2004">
        <v>0.85496183206106868</v>
      </c>
      <c r="AC2004" s="11">
        <v>7.9077521533759381</v>
      </c>
      <c r="AD2004" s="9">
        <v>1403.8135593220338</v>
      </c>
      <c r="AE2004" s="8">
        <v>0.20552147239263804</v>
      </c>
    </row>
    <row r="2005" spans="1:31" x14ac:dyDescent="0.35">
      <c r="A2005" s="6" t="s">
        <v>2026</v>
      </c>
      <c r="B2005" s="7">
        <v>6</v>
      </c>
      <c r="C2005" s="7">
        <v>5</v>
      </c>
      <c r="D2005" s="7">
        <v>6</v>
      </c>
      <c r="E2005" s="7">
        <v>1</v>
      </c>
      <c r="F2005">
        <v>56</v>
      </c>
      <c r="G2005">
        <v>12</v>
      </c>
      <c r="H2005">
        <v>22.2</v>
      </c>
      <c r="I2005">
        <v>13</v>
      </c>
      <c r="J2005">
        <v>23.09</v>
      </c>
      <c r="K2005">
        <v>459</v>
      </c>
      <c r="L2005">
        <v>56</v>
      </c>
      <c r="M2005">
        <v>403</v>
      </c>
      <c r="N2005">
        <v>747.02</v>
      </c>
      <c r="O2005">
        <v>12.88</v>
      </c>
      <c r="P2005">
        <v>28.92</v>
      </c>
      <c r="Q2005">
        <v>4.2699999999999996</v>
      </c>
      <c r="R2005">
        <v>6.67</v>
      </c>
      <c r="S2005">
        <v>548</v>
      </c>
      <c r="T2005">
        <v>3713</v>
      </c>
      <c r="U2005">
        <v>2376</v>
      </c>
      <c r="V2005">
        <v>58</v>
      </c>
      <c r="W2005">
        <v>27.13</v>
      </c>
      <c r="X2005" s="10">
        <v>0.23948681506556016</v>
      </c>
      <c r="Y2005" s="9">
        <v>22550</v>
      </c>
      <c r="Z2005" s="9">
        <v>15450</v>
      </c>
      <c r="AA2005" s="9">
        <v>22350</v>
      </c>
      <c r="AB2005">
        <v>0.971830985915493</v>
      </c>
      <c r="AC2005" s="11">
        <v>48.457904973603782</v>
      </c>
      <c r="AD2005" s="9">
        <v>17042.033898305086</v>
      </c>
      <c r="AE2005" s="8">
        <v>0.44660194174757284</v>
      </c>
    </row>
    <row r="2006" spans="1:31" x14ac:dyDescent="0.35">
      <c r="A2006" s="6" t="s">
        <v>2027</v>
      </c>
      <c r="B2006" s="7">
        <v>2</v>
      </c>
      <c r="C2006" s="7">
        <v>0</v>
      </c>
      <c r="D2006" s="7">
        <v>9</v>
      </c>
      <c r="E2006" s="7">
        <v>7</v>
      </c>
      <c r="F2006">
        <v>10656</v>
      </c>
      <c r="G2006">
        <v>-894</v>
      </c>
      <c r="H2006">
        <v>-8.39</v>
      </c>
      <c r="I2006">
        <v>-1357</v>
      </c>
      <c r="J2006">
        <v>-12.73</v>
      </c>
      <c r="K2006">
        <v>12844</v>
      </c>
      <c r="L2006">
        <v>10984</v>
      </c>
      <c r="M2006">
        <v>1861</v>
      </c>
      <c r="N2006">
        <v>275.45</v>
      </c>
      <c r="O2006">
        <v>-53.84</v>
      </c>
      <c r="P2006">
        <v>0</v>
      </c>
      <c r="Q2006">
        <v>0.68</v>
      </c>
      <c r="R2006">
        <v>0.12</v>
      </c>
      <c r="S2006">
        <v>-13891</v>
      </c>
      <c r="T2006">
        <v>18562</v>
      </c>
      <c r="U2006">
        <v>109069</v>
      </c>
      <c r="V2006">
        <v>-875</v>
      </c>
      <c r="W2006">
        <v>-3.82</v>
      </c>
      <c r="X2006" s="10">
        <v>0.66962010264176219</v>
      </c>
      <c r="Y2006" s="9">
        <v>19850</v>
      </c>
      <c r="Z2006" s="9">
        <v>12600</v>
      </c>
      <c r="AA2006" s="9">
        <v>18350</v>
      </c>
      <c r="AB2006">
        <v>0.7931034482758621</v>
      </c>
      <c r="AC2006" s="11">
        <v>81.737982772992495</v>
      </c>
      <c r="AD2006" s="9">
        <v>12674.491525423729</v>
      </c>
      <c r="AE2006" s="8">
        <v>0.44488188976377951</v>
      </c>
    </row>
    <row r="2007" spans="1:31" x14ac:dyDescent="0.35">
      <c r="A2007" s="6" t="s">
        <v>2028</v>
      </c>
      <c r="B2007" s="7">
        <v>10</v>
      </c>
      <c r="C2007" s="7">
        <v>4</v>
      </c>
      <c r="D2007" s="7">
        <v>4</v>
      </c>
      <c r="E2007" s="7">
        <v>0</v>
      </c>
      <c r="F2007">
        <v>636</v>
      </c>
      <c r="G2007">
        <v>79</v>
      </c>
      <c r="H2007">
        <v>12.49</v>
      </c>
      <c r="I2007">
        <v>69</v>
      </c>
      <c r="J2007">
        <v>10.92</v>
      </c>
      <c r="K2007">
        <v>877</v>
      </c>
      <c r="L2007">
        <v>221</v>
      </c>
      <c r="M2007">
        <v>655</v>
      </c>
      <c r="N2007">
        <v>313.83</v>
      </c>
      <c r="O2007">
        <v>11.08</v>
      </c>
      <c r="P2007">
        <v>6.87</v>
      </c>
      <c r="Q2007">
        <v>0.8</v>
      </c>
      <c r="R2007">
        <v>0.75</v>
      </c>
      <c r="S2007">
        <v>233</v>
      </c>
      <c r="T2007">
        <v>1996</v>
      </c>
      <c r="U2007">
        <v>2136</v>
      </c>
      <c r="V2007">
        <v>81</v>
      </c>
      <c r="W2007">
        <v>6.41</v>
      </c>
      <c r="X2007" s="10">
        <v>0.49863952351145063</v>
      </c>
      <c r="Y2007" s="9">
        <v>1940</v>
      </c>
      <c r="Z2007" s="9">
        <v>1545</v>
      </c>
      <c r="AA2007" s="9">
        <v>1835</v>
      </c>
      <c r="AB2007">
        <v>0.73417721518987344</v>
      </c>
      <c r="AC2007" s="11">
        <v>4.1210058349541523</v>
      </c>
      <c r="AD2007" s="9">
        <v>1623.3926553672316</v>
      </c>
      <c r="AE2007" s="8">
        <v>0.13271604938271606</v>
      </c>
    </row>
    <row r="2008" spans="1:31" x14ac:dyDescent="0.35">
      <c r="A2008" s="6" t="s">
        <v>2029</v>
      </c>
      <c r="B2008" s="7">
        <v>10</v>
      </c>
      <c r="C2008" s="7">
        <v>5</v>
      </c>
      <c r="D2008" s="7">
        <v>1</v>
      </c>
      <c r="E2008" s="7">
        <v>2</v>
      </c>
      <c r="F2008">
        <v>622</v>
      </c>
      <c r="G2008">
        <v>28</v>
      </c>
      <c r="H2008">
        <v>4.4800000000000004</v>
      </c>
      <c r="I2008">
        <v>23</v>
      </c>
      <c r="J2008">
        <v>3.68</v>
      </c>
      <c r="K2008">
        <v>620</v>
      </c>
      <c r="L2008">
        <v>273</v>
      </c>
      <c r="M2008">
        <v>347</v>
      </c>
      <c r="N2008">
        <v>594.39</v>
      </c>
      <c r="O2008">
        <v>9.09</v>
      </c>
      <c r="P2008">
        <v>9.3800000000000008</v>
      </c>
      <c r="Q2008">
        <v>0.85</v>
      </c>
      <c r="R2008">
        <v>0.34</v>
      </c>
      <c r="S2008">
        <v>305</v>
      </c>
      <c r="T2008">
        <v>3353</v>
      </c>
      <c r="U2008">
        <v>8296</v>
      </c>
      <c r="V2008">
        <v>43</v>
      </c>
      <c r="W2008">
        <v>0</v>
      </c>
      <c r="X2008" s="10">
        <v>0.73759641153142752</v>
      </c>
      <c r="Y2008" s="9">
        <v>5480</v>
      </c>
      <c r="Z2008" s="9">
        <v>3005</v>
      </c>
      <c r="AA2008" s="9">
        <v>4765</v>
      </c>
      <c r="AB2008">
        <v>0.71111111111111114</v>
      </c>
      <c r="AC2008" s="11">
        <v>41.543345373714921</v>
      </c>
      <c r="AD2008" s="9">
        <v>2617.0112994350284</v>
      </c>
      <c r="AE2008" s="8">
        <v>0.56229508196721312</v>
      </c>
    </row>
    <row r="2009" spans="1:31" x14ac:dyDescent="0.35">
      <c r="A2009" s="6" t="s">
        <v>2030</v>
      </c>
      <c r="B2009" s="7">
        <v>10</v>
      </c>
      <c r="C2009" s="7">
        <v>1</v>
      </c>
      <c r="D2009" s="7">
        <v>3</v>
      </c>
      <c r="E2009" s="7">
        <v>4</v>
      </c>
      <c r="F2009">
        <v>2685</v>
      </c>
      <c r="G2009">
        <v>174</v>
      </c>
      <c r="H2009">
        <v>6.47</v>
      </c>
      <c r="I2009">
        <v>136</v>
      </c>
      <c r="J2009">
        <v>5.07</v>
      </c>
      <c r="K2009">
        <v>2240</v>
      </c>
      <c r="L2009">
        <v>1173</v>
      </c>
      <c r="M2009">
        <v>1067</v>
      </c>
      <c r="N2009">
        <v>1096.6099999999999</v>
      </c>
      <c r="O2009">
        <v>17.98</v>
      </c>
      <c r="P2009">
        <v>6.52</v>
      </c>
      <c r="Q2009">
        <v>1.1499999999999999</v>
      </c>
      <c r="R2009">
        <v>0.33</v>
      </c>
      <c r="S2009">
        <v>1021</v>
      </c>
      <c r="T2009">
        <v>5802</v>
      </c>
      <c r="U2009">
        <v>20124</v>
      </c>
      <c r="V2009">
        <v>249</v>
      </c>
      <c r="W2009">
        <v>4.8099999999999996</v>
      </c>
      <c r="X2009" s="10">
        <v>0.31788146415484919</v>
      </c>
      <c r="Y2009" s="9">
        <v>8070</v>
      </c>
      <c r="Z2009" s="9">
        <v>7310</v>
      </c>
      <c r="AA2009" s="9">
        <v>7830</v>
      </c>
      <c r="AB2009">
        <v>0.68421052631578949</v>
      </c>
      <c r="AC2009" s="11">
        <v>5.4031675465407059</v>
      </c>
      <c r="AD2009" s="9">
        <v>7582.2033898305081</v>
      </c>
      <c r="AE2009" s="8">
        <v>6.9672131147540978E-2</v>
      </c>
    </row>
    <row r="2010" spans="1:31" x14ac:dyDescent="0.35">
      <c r="A2010" s="6" t="s">
        <v>2031</v>
      </c>
      <c r="B2010" s="7">
        <v>0</v>
      </c>
      <c r="C2010" s="7">
        <v>14</v>
      </c>
      <c r="D2010" s="7">
        <v>1</v>
      </c>
      <c r="E2010" s="7">
        <v>3</v>
      </c>
      <c r="F2010">
        <v>1266</v>
      </c>
      <c r="G2010">
        <v>83</v>
      </c>
      <c r="H2010">
        <v>6.57</v>
      </c>
      <c r="I2010">
        <v>63</v>
      </c>
      <c r="J2010">
        <v>4.95</v>
      </c>
      <c r="K2010">
        <v>6624</v>
      </c>
      <c r="L2010">
        <v>4027</v>
      </c>
      <c r="M2010">
        <v>2598</v>
      </c>
      <c r="N2010">
        <v>292.79000000000002</v>
      </c>
      <c r="O2010">
        <v>2.41</v>
      </c>
      <c r="P2010">
        <v>14.67</v>
      </c>
      <c r="Q2010">
        <v>0.36</v>
      </c>
      <c r="R2010">
        <v>0.73</v>
      </c>
      <c r="S2010">
        <v>478</v>
      </c>
      <c r="T2010">
        <v>19475</v>
      </c>
      <c r="U2010">
        <v>9554</v>
      </c>
      <c r="V2010">
        <v>0</v>
      </c>
      <c r="W2010">
        <v>0</v>
      </c>
      <c r="X2010" s="10">
        <v>0.76829846258600087</v>
      </c>
      <c r="Y2010" s="9">
        <v>8050</v>
      </c>
      <c r="Z2010" s="9">
        <v>6770</v>
      </c>
      <c r="AA2010" s="9">
        <v>7930</v>
      </c>
      <c r="AB2010">
        <v>0.90625</v>
      </c>
      <c r="AC2010" s="11">
        <v>19.436787996665739</v>
      </c>
      <c r="AD2010" s="9">
        <v>6769.6779661016953</v>
      </c>
      <c r="AE2010" s="8">
        <v>0.13285714285714287</v>
      </c>
    </row>
    <row r="2011" spans="1:31" x14ac:dyDescent="0.35">
      <c r="A2011" s="6" t="s">
        <v>2032</v>
      </c>
      <c r="B2011" s="7">
        <v>0</v>
      </c>
      <c r="C2011" s="7">
        <v>0</v>
      </c>
      <c r="D2011" s="7">
        <v>0</v>
      </c>
      <c r="E2011" s="7">
        <v>18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 s="10">
        <v>0.87132913734328099</v>
      </c>
      <c r="Y2011" s="9">
        <v>7740</v>
      </c>
      <c r="Z2011" s="9">
        <v>6460</v>
      </c>
      <c r="AA2011" s="9">
        <v>7660</v>
      </c>
      <c r="AB2011">
        <v>0.9375</v>
      </c>
      <c r="AC2011" s="11">
        <v>17.871353153653793</v>
      </c>
      <c r="AD2011" s="9">
        <v>6519.0903954802261</v>
      </c>
      <c r="AE2011" s="8">
        <v>0.11988304093567251</v>
      </c>
    </row>
    <row r="2012" spans="1:31" x14ac:dyDescent="0.35">
      <c r="A2012" s="6" t="s">
        <v>2033</v>
      </c>
      <c r="B2012" s="7">
        <v>1</v>
      </c>
      <c r="C2012" s="7">
        <v>11</v>
      </c>
      <c r="D2012" s="7">
        <v>0</v>
      </c>
      <c r="E2012" s="7">
        <v>6</v>
      </c>
      <c r="F2012">
        <v>809</v>
      </c>
      <c r="G2012">
        <v>8</v>
      </c>
      <c r="H2012">
        <v>0.98</v>
      </c>
      <c r="I2012">
        <v>-128</v>
      </c>
      <c r="J2012">
        <v>-15.82</v>
      </c>
      <c r="K2012">
        <v>872</v>
      </c>
      <c r="L2012">
        <v>414</v>
      </c>
      <c r="M2012">
        <v>458</v>
      </c>
      <c r="N2012">
        <v>143.13999999999999</v>
      </c>
      <c r="O2012">
        <v>-24.23</v>
      </c>
      <c r="P2012">
        <v>0</v>
      </c>
      <c r="Q2012">
        <v>4.3600000000000003</v>
      </c>
      <c r="R2012">
        <v>1.91</v>
      </c>
      <c r="S2012">
        <v>-318</v>
      </c>
      <c r="T2012">
        <v>880</v>
      </c>
      <c r="U2012">
        <v>2009</v>
      </c>
      <c r="V2012">
        <v>31</v>
      </c>
      <c r="W2012">
        <v>54.69</v>
      </c>
      <c r="X2012" s="10">
        <v>0.82343117926959486</v>
      </c>
      <c r="Y2012" s="9">
        <v>4930</v>
      </c>
      <c r="Z2012" s="9">
        <v>3705</v>
      </c>
      <c r="AA2012" s="9">
        <v>4695</v>
      </c>
      <c r="AB2012">
        <v>0.80816326530612248</v>
      </c>
      <c r="AC2012" s="11">
        <v>21.877743817727147</v>
      </c>
      <c r="AD2012" s="9">
        <v>3667.7288135593221</v>
      </c>
      <c r="AE2012" s="8">
        <v>0.22106631989596878</v>
      </c>
    </row>
    <row r="2013" spans="1:31" x14ac:dyDescent="0.35">
      <c r="A2013" s="6" t="s">
        <v>2034</v>
      </c>
      <c r="B2013" s="7">
        <v>9</v>
      </c>
      <c r="C2013" s="7">
        <v>4</v>
      </c>
      <c r="D2013" s="7">
        <v>3</v>
      </c>
      <c r="E2013" s="7">
        <v>2</v>
      </c>
      <c r="F2013">
        <v>3465</v>
      </c>
      <c r="G2013">
        <v>74</v>
      </c>
      <c r="H2013">
        <v>2.14</v>
      </c>
      <c r="I2013">
        <v>181</v>
      </c>
      <c r="J2013">
        <v>5.23</v>
      </c>
      <c r="K2013">
        <v>927</v>
      </c>
      <c r="L2013">
        <v>482</v>
      </c>
      <c r="M2013">
        <v>445</v>
      </c>
      <c r="N2013">
        <v>641</v>
      </c>
      <c r="O2013">
        <v>50.69</v>
      </c>
      <c r="P2013">
        <v>2.56</v>
      </c>
      <c r="Q2013">
        <v>1.07</v>
      </c>
      <c r="R2013">
        <v>0.13</v>
      </c>
      <c r="S2013">
        <v>15096</v>
      </c>
      <c r="T2013">
        <v>36066</v>
      </c>
      <c r="U2013">
        <v>288719</v>
      </c>
      <c r="V2013">
        <v>96</v>
      </c>
      <c r="W2013">
        <v>5.88</v>
      </c>
      <c r="X2013" s="10">
        <v>0.58141782578207513</v>
      </c>
      <c r="Y2013" s="9">
        <v>55500</v>
      </c>
      <c r="Z2013" s="9">
        <v>38500</v>
      </c>
      <c r="AA2013" s="9">
        <v>44100</v>
      </c>
      <c r="AB2013">
        <v>0.32941176470588235</v>
      </c>
      <c r="AC2013" s="11">
        <v>185.59599888858011</v>
      </c>
      <c r="AD2013" s="9">
        <v>38900.988700564973</v>
      </c>
      <c r="AE2013" s="8">
        <v>0.14248704663212436</v>
      </c>
    </row>
    <row r="2014" spans="1:31" x14ac:dyDescent="0.35">
      <c r="A2014" s="6" t="s">
        <v>2035</v>
      </c>
      <c r="B2014" s="7">
        <v>0</v>
      </c>
      <c r="C2014" s="7">
        <v>0</v>
      </c>
      <c r="D2014" s="7">
        <v>9</v>
      </c>
      <c r="E2014" s="7">
        <v>9</v>
      </c>
      <c r="F2014">
        <v>798</v>
      </c>
      <c r="G2014">
        <v>-43</v>
      </c>
      <c r="H2014">
        <v>-5.42</v>
      </c>
      <c r="I2014">
        <v>-4</v>
      </c>
      <c r="J2014">
        <v>-0.51</v>
      </c>
      <c r="K2014">
        <v>473</v>
      </c>
      <c r="L2014">
        <v>155</v>
      </c>
      <c r="M2014">
        <v>318</v>
      </c>
      <c r="N2014">
        <v>465.43</v>
      </c>
      <c r="O2014">
        <v>-1.28</v>
      </c>
      <c r="P2014">
        <v>0</v>
      </c>
      <c r="Q2014">
        <v>0.72</v>
      </c>
      <c r="R2014">
        <v>0.26</v>
      </c>
      <c r="S2014">
        <v>-37</v>
      </c>
      <c r="T2014">
        <v>2611</v>
      </c>
      <c r="U2014">
        <v>7192</v>
      </c>
      <c r="V2014">
        <v>-6</v>
      </c>
      <c r="W2014">
        <v>-36.69</v>
      </c>
      <c r="X2014" s="10">
        <v>0.66689237230443843</v>
      </c>
      <c r="Y2014" s="9">
        <v>2220</v>
      </c>
      <c r="Z2014" s="9">
        <v>1865</v>
      </c>
      <c r="AA2014" s="9">
        <v>2145</v>
      </c>
      <c r="AB2014">
        <v>0.78873239436619713</v>
      </c>
      <c r="AC2014" s="11">
        <v>3.9744373437065859</v>
      </c>
      <c r="AD2014" s="9">
        <v>1882.1129943502824</v>
      </c>
      <c r="AE2014" s="8">
        <v>0.15013404825737264</v>
      </c>
    </row>
    <row r="2015" spans="1:31" x14ac:dyDescent="0.35">
      <c r="A2015" s="6" t="s">
        <v>2036</v>
      </c>
      <c r="B2015" s="7">
        <v>0</v>
      </c>
      <c r="C2015" s="7">
        <v>13</v>
      </c>
      <c r="D2015" s="7">
        <v>3</v>
      </c>
      <c r="E2015" s="7">
        <v>2</v>
      </c>
      <c r="F2015">
        <v>1361</v>
      </c>
      <c r="G2015">
        <v>42</v>
      </c>
      <c r="H2015">
        <v>3.11</v>
      </c>
      <c r="I2015">
        <v>2</v>
      </c>
      <c r="J2015">
        <v>0.18</v>
      </c>
      <c r="K2015">
        <v>2003</v>
      </c>
      <c r="L2015">
        <v>1148</v>
      </c>
      <c r="M2015">
        <v>855</v>
      </c>
      <c r="N2015">
        <v>1207.25</v>
      </c>
      <c r="O2015">
        <v>0.28999999999999998</v>
      </c>
      <c r="P2015">
        <v>118.16</v>
      </c>
      <c r="Q2015">
        <v>0.35</v>
      </c>
      <c r="R2015">
        <v>0.21</v>
      </c>
      <c r="S2015">
        <v>19</v>
      </c>
      <c r="T2015">
        <v>6380</v>
      </c>
      <c r="U2015">
        <v>10587</v>
      </c>
      <c r="V2015">
        <v>83</v>
      </c>
      <c r="W2015">
        <v>14.05</v>
      </c>
      <c r="X2015" s="10">
        <v>0.86605586970920856</v>
      </c>
      <c r="Y2015" s="9">
        <v>2640</v>
      </c>
      <c r="Z2015" s="9">
        <v>2210</v>
      </c>
      <c r="AA2015" s="9">
        <v>2585</v>
      </c>
      <c r="AB2015">
        <v>0.87209302325581395</v>
      </c>
      <c r="AC2015" s="11">
        <v>8.4083078632953612</v>
      </c>
      <c r="AD2015" s="9">
        <v>2129.629943502825</v>
      </c>
      <c r="AE2015" s="8">
        <v>0.15144766146993319</v>
      </c>
    </row>
    <row r="2016" spans="1:31" x14ac:dyDescent="0.35">
      <c r="A2016" s="6" t="s">
        <v>2037</v>
      </c>
      <c r="B2016" s="7">
        <v>3</v>
      </c>
      <c r="C2016" s="7">
        <v>10</v>
      </c>
      <c r="D2016" s="7">
        <v>2</v>
      </c>
      <c r="E2016" s="7">
        <v>3</v>
      </c>
      <c r="F2016">
        <v>1271</v>
      </c>
      <c r="G2016">
        <v>34</v>
      </c>
      <c r="H2016">
        <v>2.71</v>
      </c>
      <c r="I2016">
        <v>16</v>
      </c>
      <c r="J2016">
        <v>1.26</v>
      </c>
      <c r="K2016">
        <v>806</v>
      </c>
      <c r="L2016">
        <v>460</v>
      </c>
      <c r="M2016">
        <v>346</v>
      </c>
      <c r="N2016">
        <v>116.51</v>
      </c>
      <c r="O2016">
        <v>4.67</v>
      </c>
      <c r="P2016">
        <v>26.5</v>
      </c>
      <c r="Q2016">
        <v>1.23</v>
      </c>
      <c r="R2016">
        <v>0.33</v>
      </c>
      <c r="S2016">
        <v>50</v>
      </c>
      <c r="T2016">
        <v>1081</v>
      </c>
      <c r="U2016">
        <v>3982</v>
      </c>
      <c r="V2016">
        <v>49</v>
      </c>
      <c r="W2016">
        <v>12.86</v>
      </c>
      <c r="X2016" s="10">
        <v>0.71060653402387119</v>
      </c>
      <c r="Y2016" s="9">
        <v>1510</v>
      </c>
      <c r="Z2016" s="9">
        <v>1310</v>
      </c>
      <c r="AA2016" s="9">
        <v>1510</v>
      </c>
      <c r="AB2016">
        <v>1</v>
      </c>
      <c r="AC2016" s="11">
        <v>2.1568491247568771</v>
      </c>
      <c r="AD2016" s="9">
        <v>1353.6327683615821</v>
      </c>
      <c r="AE2016" s="8">
        <v>0.14828897338403041</v>
      </c>
    </row>
    <row r="2017" spans="1:31" x14ac:dyDescent="0.35">
      <c r="A2017" s="6" t="s">
        <v>2038</v>
      </c>
      <c r="B2017" s="7">
        <v>12</v>
      </c>
      <c r="C2017" s="7">
        <v>1</v>
      </c>
      <c r="D2017" s="7">
        <v>4</v>
      </c>
      <c r="E2017" s="7">
        <v>1</v>
      </c>
      <c r="F2017">
        <v>10124</v>
      </c>
      <c r="G2017">
        <v>1219</v>
      </c>
      <c r="H2017">
        <v>12.04</v>
      </c>
      <c r="I2017">
        <v>869</v>
      </c>
      <c r="J2017">
        <v>8.58</v>
      </c>
      <c r="K2017">
        <v>19172</v>
      </c>
      <c r="L2017">
        <v>5764</v>
      </c>
      <c r="M2017">
        <v>13408</v>
      </c>
      <c r="N2017">
        <v>3556.65</v>
      </c>
      <c r="O2017">
        <v>6.72</v>
      </c>
      <c r="P2017">
        <v>11.61</v>
      </c>
      <c r="Q2017">
        <v>0.84</v>
      </c>
      <c r="R2017">
        <v>1</v>
      </c>
      <c r="S2017">
        <v>12527</v>
      </c>
      <c r="T2017">
        <v>173854</v>
      </c>
      <c r="U2017">
        <v>145929</v>
      </c>
      <c r="V2017">
        <v>1584</v>
      </c>
      <c r="W2017">
        <v>7.85</v>
      </c>
      <c r="X2017" s="10">
        <v>0.86085404847520997</v>
      </c>
      <c r="Y2017" s="9">
        <v>188000</v>
      </c>
      <c r="Z2017" s="9">
        <v>144500</v>
      </c>
      <c r="AA2017" s="9">
        <v>177000</v>
      </c>
      <c r="AB2017">
        <v>0.74712643678160917</v>
      </c>
      <c r="AC2017" s="11">
        <v>537.45484856904693</v>
      </c>
      <c r="AD2017" s="9">
        <v>151824.29378531073</v>
      </c>
      <c r="AE2017" s="8">
        <v>0.22491349480968859</v>
      </c>
    </row>
    <row r="2018" spans="1:31" x14ac:dyDescent="0.35">
      <c r="A2018" s="6" t="s">
        <v>2039</v>
      </c>
      <c r="B2018" s="7">
        <v>0</v>
      </c>
      <c r="C2018" s="7">
        <v>15</v>
      </c>
      <c r="D2018" s="7">
        <v>0</v>
      </c>
      <c r="E2018" s="7">
        <v>3</v>
      </c>
      <c r="F2018">
        <v>4776</v>
      </c>
      <c r="G2018">
        <v>-9</v>
      </c>
      <c r="H2018">
        <v>-0.18</v>
      </c>
      <c r="I2018">
        <v>137</v>
      </c>
      <c r="J2018">
        <v>2.86</v>
      </c>
      <c r="K2018">
        <v>7025</v>
      </c>
      <c r="L2018">
        <v>4008</v>
      </c>
      <c r="M2018">
        <v>3017</v>
      </c>
      <c r="N2018">
        <v>2133.54</v>
      </c>
      <c r="O2018">
        <v>4.53</v>
      </c>
      <c r="P2018">
        <v>27.17</v>
      </c>
      <c r="Q2018">
        <v>1.25</v>
      </c>
      <c r="R2018">
        <v>0.78</v>
      </c>
      <c r="S2018">
        <v>506</v>
      </c>
      <c r="T2018">
        <v>10995</v>
      </c>
      <c r="U2018">
        <v>17672</v>
      </c>
      <c r="V2018">
        <v>94</v>
      </c>
      <c r="W2018">
        <v>50.84</v>
      </c>
      <c r="X2018" s="10">
        <v>0.40149201432510007</v>
      </c>
      <c r="Y2018" s="9">
        <v>17750</v>
      </c>
      <c r="Z2018" s="9">
        <v>11950</v>
      </c>
      <c r="AA2018" s="9">
        <v>16300</v>
      </c>
      <c r="AB2018">
        <v>0.75</v>
      </c>
      <c r="AC2018" s="11">
        <v>61.36843567657683</v>
      </c>
      <c r="AD2018" s="9">
        <v>12130.762711864407</v>
      </c>
      <c r="AE2018" s="8">
        <v>0.23018867924528302</v>
      </c>
    </row>
    <row r="2019" spans="1:31" x14ac:dyDescent="0.35">
      <c r="A2019" s="6" t="s">
        <v>2040</v>
      </c>
      <c r="B2019" s="7">
        <v>1</v>
      </c>
      <c r="C2019" s="7">
        <v>0</v>
      </c>
      <c r="D2019" s="7">
        <v>8</v>
      </c>
      <c r="E2019" s="7">
        <v>9</v>
      </c>
      <c r="F2019">
        <v>127</v>
      </c>
      <c r="G2019">
        <v>-20</v>
      </c>
      <c r="H2019">
        <v>-15.64</v>
      </c>
      <c r="I2019">
        <v>-8</v>
      </c>
      <c r="J2019">
        <v>-6.18</v>
      </c>
      <c r="K2019">
        <v>517</v>
      </c>
      <c r="L2019">
        <v>76</v>
      </c>
      <c r="M2019">
        <v>440</v>
      </c>
      <c r="N2019">
        <v>1351.13</v>
      </c>
      <c r="O2019">
        <v>-1.76</v>
      </c>
      <c r="P2019">
        <v>0</v>
      </c>
      <c r="Q2019">
        <v>0.66</v>
      </c>
      <c r="R2019">
        <v>2.27</v>
      </c>
      <c r="S2019">
        <v>-26</v>
      </c>
      <c r="T2019">
        <v>1425</v>
      </c>
      <c r="U2019">
        <v>417</v>
      </c>
      <c r="V2019">
        <v>-10</v>
      </c>
      <c r="W2019">
        <v>-29.46</v>
      </c>
      <c r="X2019" s="10">
        <v>0.40684946335234479</v>
      </c>
      <c r="Y2019" s="9">
        <v>1535</v>
      </c>
      <c r="Z2019" s="9">
        <v>942</v>
      </c>
      <c r="AA2019" s="9">
        <v>1510</v>
      </c>
      <c r="AB2019">
        <v>0.95784148397976387</v>
      </c>
      <c r="AC2019" s="11">
        <v>4.1481244790219503</v>
      </c>
      <c r="AD2019" s="9">
        <v>1046.9322033898306</v>
      </c>
      <c r="AE2019" s="8">
        <v>0.60297239915074308</v>
      </c>
    </row>
    <row r="2020" spans="1:31" x14ac:dyDescent="0.35">
      <c r="A2020" s="6" t="s">
        <v>2041</v>
      </c>
      <c r="B2020" s="7">
        <v>3</v>
      </c>
      <c r="C2020" s="7">
        <v>1</v>
      </c>
      <c r="D2020" s="7">
        <v>12</v>
      </c>
      <c r="E2020" s="7">
        <v>2</v>
      </c>
      <c r="F2020">
        <v>1162</v>
      </c>
      <c r="G2020">
        <v>-7</v>
      </c>
      <c r="H2020">
        <v>-0.63</v>
      </c>
      <c r="I2020">
        <v>-36</v>
      </c>
      <c r="J2020">
        <v>-3.1</v>
      </c>
      <c r="K2020">
        <v>2963</v>
      </c>
      <c r="L2020">
        <v>1405</v>
      </c>
      <c r="M2020">
        <v>1558</v>
      </c>
      <c r="N2020">
        <v>1460.74</v>
      </c>
      <c r="O2020">
        <v>-2.2799999999999998</v>
      </c>
      <c r="P2020">
        <v>0</v>
      </c>
      <c r="Q2020">
        <v>0.2</v>
      </c>
      <c r="R2020">
        <v>0.23</v>
      </c>
      <c r="S2020">
        <v>-1997</v>
      </c>
      <c r="T2020">
        <v>75661</v>
      </c>
      <c r="U2020">
        <v>64357</v>
      </c>
      <c r="V2020">
        <v>13</v>
      </c>
      <c r="W2020">
        <v>62.15</v>
      </c>
      <c r="X2020" s="10">
        <v>0.85467849060231083</v>
      </c>
      <c r="Y2020" s="9">
        <v>24100</v>
      </c>
      <c r="Z2020" s="9">
        <v>14500</v>
      </c>
      <c r="AA2020" s="9">
        <v>23200</v>
      </c>
      <c r="AB2020">
        <v>0.90625</v>
      </c>
      <c r="AC2020" s="11">
        <v>156.78521811614334</v>
      </c>
      <c r="AD2020" s="9">
        <v>13701.384180790959</v>
      </c>
      <c r="AE2020" s="8">
        <v>0.57823129251700678</v>
      </c>
    </row>
    <row r="2021" spans="1:31" x14ac:dyDescent="0.35">
      <c r="A2021" s="6" t="s">
        <v>2042</v>
      </c>
      <c r="B2021" s="7">
        <v>9</v>
      </c>
      <c r="C2021" s="7">
        <v>4</v>
      </c>
      <c r="D2021" s="7">
        <v>5</v>
      </c>
      <c r="E2021" s="7">
        <v>0</v>
      </c>
      <c r="F2021">
        <v>646</v>
      </c>
      <c r="G2021">
        <v>13</v>
      </c>
      <c r="H2021">
        <v>1.99</v>
      </c>
      <c r="I2021">
        <v>12</v>
      </c>
      <c r="J2021">
        <v>1.88</v>
      </c>
      <c r="K2021">
        <v>1007</v>
      </c>
      <c r="L2021">
        <v>141</v>
      </c>
      <c r="M2021">
        <v>866</v>
      </c>
      <c r="N2021">
        <v>4857.8</v>
      </c>
      <c r="O2021">
        <v>1.88</v>
      </c>
      <c r="P2021">
        <v>19.66</v>
      </c>
      <c r="Q2021">
        <v>0.38</v>
      </c>
      <c r="R2021">
        <v>0.37</v>
      </c>
      <c r="S2021">
        <v>467</v>
      </c>
      <c r="T2021">
        <v>24397</v>
      </c>
      <c r="U2021">
        <v>24896</v>
      </c>
      <c r="V2021">
        <v>27</v>
      </c>
      <c r="W2021">
        <v>12.07</v>
      </c>
      <c r="X2021" s="10">
        <v>0.47174159688004064</v>
      </c>
      <c r="Y2021" s="9">
        <v>15600</v>
      </c>
      <c r="Z2021" s="9">
        <v>8930</v>
      </c>
      <c r="AA2021" s="9">
        <v>13000</v>
      </c>
      <c r="AB2021">
        <v>0.61019490254872566</v>
      </c>
      <c r="AC2021" s="11">
        <v>80.212559044178931</v>
      </c>
      <c r="AD2021" s="9">
        <v>9401.6836158192091</v>
      </c>
      <c r="AE2021" s="8">
        <v>0.41458106637649617</v>
      </c>
    </row>
    <row r="2022" spans="1:31" x14ac:dyDescent="0.35">
      <c r="A2022" s="6" t="s">
        <v>2043</v>
      </c>
      <c r="B2022" s="7">
        <v>10</v>
      </c>
      <c r="C2022" s="7">
        <v>5</v>
      </c>
      <c r="D2022" s="7">
        <v>3</v>
      </c>
      <c r="E2022" s="7">
        <v>0</v>
      </c>
      <c r="F2022">
        <v>10785</v>
      </c>
      <c r="G2022">
        <v>2131</v>
      </c>
      <c r="H2022">
        <v>19.760000000000002</v>
      </c>
      <c r="I2022">
        <v>1668</v>
      </c>
      <c r="J2022">
        <v>15.47</v>
      </c>
      <c r="K2022">
        <v>9228</v>
      </c>
      <c r="L2022">
        <v>2268</v>
      </c>
      <c r="M2022">
        <v>6961</v>
      </c>
      <c r="N2022">
        <v>7634.11</v>
      </c>
      <c r="O2022">
        <v>25.32</v>
      </c>
      <c r="P2022">
        <v>21.49</v>
      </c>
      <c r="Q2022">
        <v>5.2</v>
      </c>
      <c r="R2022">
        <v>3.33</v>
      </c>
      <c r="S2022">
        <v>3708</v>
      </c>
      <c r="T2022">
        <v>15321</v>
      </c>
      <c r="U2022">
        <v>23967</v>
      </c>
      <c r="V2022">
        <v>2417</v>
      </c>
      <c r="W2022">
        <v>14.84</v>
      </c>
      <c r="X2022" s="10">
        <v>0.76051728427564924</v>
      </c>
      <c r="Y2022" s="9">
        <v>99800</v>
      </c>
      <c r="Z2022" s="9">
        <v>76700</v>
      </c>
      <c r="AA2022" s="9">
        <v>94400</v>
      </c>
      <c r="AB2022">
        <v>0.76623376623376627</v>
      </c>
      <c r="AC2022" s="11">
        <v>261.11141983884414</v>
      </c>
      <c r="AD2022" s="9">
        <v>80519.435028248583</v>
      </c>
      <c r="AE2022" s="8">
        <v>0.21336760925449871</v>
      </c>
    </row>
    <row r="2023" spans="1:31" x14ac:dyDescent="0.35">
      <c r="A2023" s="6" t="s">
        <v>2044</v>
      </c>
      <c r="B2023" s="7">
        <v>0</v>
      </c>
      <c r="C2023" s="7">
        <v>15</v>
      </c>
      <c r="D2023" s="7">
        <v>2</v>
      </c>
      <c r="E2023" s="7">
        <v>1</v>
      </c>
      <c r="F2023">
        <v>5822</v>
      </c>
      <c r="G2023">
        <v>561</v>
      </c>
      <c r="H2023">
        <v>9.6300000000000008</v>
      </c>
      <c r="I2023">
        <v>455</v>
      </c>
      <c r="J2023">
        <v>7.82</v>
      </c>
      <c r="K2023">
        <v>8049</v>
      </c>
      <c r="L2023">
        <v>4067</v>
      </c>
      <c r="M2023">
        <v>3982</v>
      </c>
      <c r="N2023">
        <v>5244.04</v>
      </c>
      <c r="O2023">
        <v>15.55</v>
      </c>
      <c r="P2023">
        <v>40.630000000000003</v>
      </c>
      <c r="Q2023">
        <v>6.49</v>
      </c>
      <c r="R2023">
        <v>3.18</v>
      </c>
      <c r="S2023">
        <v>1595</v>
      </c>
      <c r="T2023">
        <v>9978</v>
      </c>
      <c r="U2023">
        <v>20399</v>
      </c>
      <c r="V2023">
        <v>859</v>
      </c>
      <c r="W2023">
        <v>28.84</v>
      </c>
      <c r="X2023" s="10">
        <v>1.1799512931079094E-2</v>
      </c>
      <c r="Y2023" s="9">
        <v>51800</v>
      </c>
      <c r="Z2023" s="9">
        <v>41850</v>
      </c>
      <c r="AA2023" s="9">
        <v>48000</v>
      </c>
      <c r="AB2023">
        <v>0.61809045226130654</v>
      </c>
      <c r="AC2023" s="11">
        <v>16.343428730202834</v>
      </c>
      <c r="AD2023" s="9">
        <v>46231.52542372881</v>
      </c>
      <c r="AE2023" s="8">
        <v>-7.3359073359073365E-2</v>
      </c>
    </row>
    <row r="2024" spans="1:31" x14ac:dyDescent="0.35">
      <c r="A2024" s="6" t="s">
        <v>2045</v>
      </c>
      <c r="B2024" s="7">
        <v>4</v>
      </c>
      <c r="C2024" s="7">
        <v>4</v>
      </c>
      <c r="D2024" s="7">
        <v>9</v>
      </c>
      <c r="E2024" s="7">
        <v>1</v>
      </c>
      <c r="F2024">
        <v>3292</v>
      </c>
      <c r="G2024">
        <v>128</v>
      </c>
      <c r="H2024">
        <v>3.9</v>
      </c>
      <c r="I2024">
        <v>6</v>
      </c>
      <c r="J2024">
        <v>0.17</v>
      </c>
      <c r="K2024">
        <v>1558</v>
      </c>
      <c r="L2024">
        <v>944</v>
      </c>
      <c r="M2024">
        <v>613</v>
      </c>
      <c r="N2024">
        <v>276.33</v>
      </c>
      <c r="O2024">
        <v>0.86</v>
      </c>
      <c r="P2024">
        <v>355.56</v>
      </c>
      <c r="Q2024">
        <v>3.44</v>
      </c>
      <c r="R2024">
        <v>0.63</v>
      </c>
      <c r="S2024">
        <v>18</v>
      </c>
      <c r="T2024">
        <v>1858</v>
      </c>
      <c r="U2024">
        <v>10099</v>
      </c>
      <c r="V2024">
        <v>149</v>
      </c>
      <c r="W2024">
        <v>13.97</v>
      </c>
      <c r="X2024" s="10">
        <v>4.2661813671719818E-2</v>
      </c>
      <c r="Y2024" s="9">
        <v>6550</v>
      </c>
      <c r="Z2024" s="9">
        <v>5510</v>
      </c>
      <c r="AA2024" s="9">
        <v>6490</v>
      </c>
      <c r="AB2024">
        <v>0.94230769230769229</v>
      </c>
      <c r="AC2024" s="11">
        <v>-3.3626007224228944</v>
      </c>
      <c r="AD2024" s="9">
        <v>6152.8926553672309</v>
      </c>
      <c r="AE2024" s="8">
        <v>2.5276461295418641E-2</v>
      </c>
    </row>
    <row r="2025" spans="1:31" x14ac:dyDescent="0.35">
      <c r="A2025" s="6" t="s">
        <v>2046</v>
      </c>
      <c r="B2025" s="7">
        <v>7</v>
      </c>
      <c r="C2025" s="7">
        <v>11</v>
      </c>
      <c r="D2025" s="7">
        <v>0</v>
      </c>
      <c r="E2025" s="7">
        <v>0</v>
      </c>
      <c r="F2025">
        <v>13064</v>
      </c>
      <c r="G2025">
        <v>420</v>
      </c>
      <c r="H2025">
        <v>3.22</v>
      </c>
      <c r="I2025">
        <v>428</v>
      </c>
      <c r="J2025">
        <v>3.28</v>
      </c>
      <c r="K2025">
        <v>19041</v>
      </c>
      <c r="L2025">
        <v>11116</v>
      </c>
      <c r="M2025">
        <v>7925</v>
      </c>
      <c r="N2025">
        <v>1233.6500000000001</v>
      </c>
      <c r="O2025">
        <v>5.73</v>
      </c>
      <c r="P2025">
        <v>14.94</v>
      </c>
      <c r="Q2025">
        <v>0.84</v>
      </c>
      <c r="R2025">
        <v>0.49</v>
      </c>
      <c r="S2025">
        <v>3627</v>
      </c>
      <c r="T2025">
        <v>64590</v>
      </c>
      <c r="U2025">
        <v>110676</v>
      </c>
      <c r="V2025">
        <v>771</v>
      </c>
      <c r="W2025">
        <v>16.61</v>
      </c>
      <c r="X2025" s="10">
        <v>0.51935589839378271</v>
      </c>
      <c r="Y2025" s="9">
        <v>68500</v>
      </c>
      <c r="Z2025" s="9">
        <v>53900</v>
      </c>
      <c r="AA2025" s="9">
        <v>62300</v>
      </c>
      <c r="AB2025">
        <v>0.57534246575342463</v>
      </c>
      <c r="AC2025" s="11">
        <v>142.53681578216171</v>
      </c>
      <c r="AD2025" s="9">
        <v>57157.627118644072</v>
      </c>
      <c r="AE2025" s="8">
        <v>0.15584415584415584</v>
      </c>
    </row>
    <row r="2026" spans="1:31" x14ac:dyDescent="0.35">
      <c r="A2026" s="6" t="s">
        <v>2047</v>
      </c>
      <c r="B2026" s="7">
        <v>0</v>
      </c>
      <c r="C2026" s="7">
        <v>4</v>
      </c>
      <c r="D2026" s="7">
        <v>2</v>
      </c>
      <c r="E2026" s="7">
        <v>12</v>
      </c>
      <c r="F2026">
        <v>17990</v>
      </c>
      <c r="G2026">
        <v>-1062</v>
      </c>
      <c r="H2026">
        <v>-5.91</v>
      </c>
      <c r="I2026">
        <v>-2257</v>
      </c>
      <c r="J2026">
        <v>-12.55</v>
      </c>
      <c r="K2026">
        <v>54698</v>
      </c>
      <c r="L2026">
        <v>37079</v>
      </c>
      <c r="M2026">
        <v>17619</v>
      </c>
      <c r="N2026">
        <v>244.77</v>
      </c>
      <c r="O2026">
        <v>-12.66</v>
      </c>
      <c r="P2026">
        <v>0</v>
      </c>
      <c r="Q2026">
        <v>0.26</v>
      </c>
      <c r="R2026">
        <v>0.2</v>
      </c>
      <c r="S2026">
        <v>-2771</v>
      </c>
      <c r="T2026">
        <v>17099</v>
      </c>
      <c r="U2026">
        <v>22084</v>
      </c>
      <c r="V2026">
        <v>-745</v>
      </c>
      <c r="W2026">
        <v>-28.66</v>
      </c>
      <c r="X2026" s="10">
        <v>0.72053611279397989</v>
      </c>
      <c r="Y2026" s="9">
        <v>5920</v>
      </c>
      <c r="Z2026" s="9">
        <v>3540</v>
      </c>
      <c r="AA2026" s="9">
        <v>5540</v>
      </c>
      <c r="AB2026">
        <v>0.84033613445378152</v>
      </c>
      <c r="AC2026" s="11">
        <v>40.975131981105868</v>
      </c>
      <c r="AD2026" s="9">
        <v>3224.675141242938</v>
      </c>
      <c r="AE2026" s="8">
        <v>0.25623582766439912</v>
      </c>
    </row>
    <row r="2027" spans="1:31" x14ac:dyDescent="0.35">
      <c r="A2027" s="6" t="s">
        <v>2048</v>
      </c>
      <c r="B2027" s="7">
        <v>7</v>
      </c>
      <c r="C2027" s="7">
        <v>1</v>
      </c>
      <c r="D2027" s="7">
        <v>9</v>
      </c>
      <c r="E2027" s="7">
        <v>1</v>
      </c>
      <c r="F2027">
        <v>151</v>
      </c>
      <c r="G2027">
        <v>111</v>
      </c>
      <c r="H2027">
        <v>73.3</v>
      </c>
      <c r="I2027">
        <v>91</v>
      </c>
      <c r="J2027">
        <v>60.25</v>
      </c>
      <c r="K2027">
        <v>11243</v>
      </c>
      <c r="L2027">
        <v>654</v>
      </c>
      <c r="M2027">
        <v>10589</v>
      </c>
      <c r="N2027">
        <v>598.17999999999995</v>
      </c>
      <c r="O2027">
        <v>0.86</v>
      </c>
      <c r="P2027">
        <v>23.39</v>
      </c>
      <c r="Q2027">
        <v>0.23</v>
      </c>
      <c r="R2027">
        <v>14.08</v>
      </c>
      <c r="S2027">
        <v>348</v>
      </c>
      <c r="T2027">
        <v>35843</v>
      </c>
      <c r="U2027">
        <v>578</v>
      </c>
      <c r="V2027">
        <v>115</v>
      </c>
      <c r="W2027">
        <v>23.92</v>
      </c>
      <c r="X2027" s="10">
        <v>5.9567527536864458E-2</v>
      </c>
      <c r="Y2027" s="9">
        <v>8140</v>
      </c>
      <c r="Z2027" s="9">
        <v>6810</v>
      </c>
      <c r="AA2027" s="9">
        <v>7280</v>
      </c>
      <c r="AB2027">
        <v>0.35338345864661652</v>
      </c>
      <c r="AC2027" s="11">
        <v>5.3564879133092536</v>
      </c>
      <c r="AD2027" s="9">
        <v>7152.2937853107351</v>
      </c>
      <c r="AE2027" s="8">
        <v>-0.1045510455104551</v>
      </c>
    </row>
    <row r="2028" spans="1:31" x14ac:dyDescent="0.35">
      <c r="A2028" s="6" t="s">
        <v>2049</v>
      </c>
      <c r="B2028" s="7">
        <v>11</v>
      </c>
      <c r="C2028" s="7">
        <v>5</v>
      </c>
      <c r="D2028" s="7">
        <v>1</v>
      </c>
      <c r="E2028" s="7">
        <v>1</v>
      </c>
      <c r="F2028">
        <v>418</v>
      </c>
      <c r="G2028">
        <v>342</v>
      </c>
      <c r="H2028">
        <v>81.67</v>
      </c>
      <c r="I2028">
        <v>221</v>
      </c>
      <c r="J2028">
        <v>52.85</v>
      </c>
      <c r="K2028">
        <v>15311</v>
      </c>
      <c r="L2028">
        <v>3053</v>
      </c>
      <c r="M2028">
        <v>12258</v>
      </c>
      <c r="N2028">
        <v>834.89</v>
      </c>
      <c r="O2028">
        <v>2.5</v>
      </c>
      <c r="P2028">
        <v>41.26</v>
      </c>
      <c r="Q2028">
        <v>1.33</v>
      </c>
      <c r="R2028">
        <v>22.21</v>
      </c>
      <c r="S2028">
        <v>744</v>
      </c>
      <c r="T2028">
        <v>23107</v>
      </c>
      <c r="U2028">
        <v>1382</v>
      </c>
      <c r="V2028">
        <v>347</v>
      </c>
      <c r="W2028">
        <v>51.94</v>
      </c>
      <c r="X2028" s="10">
        <v>5.9400038967210057E-3</v>
      </c>
      <c r="Y2028" s="9">
        <v>32800</v>
      </c>
      <c r="Z2028" s="9">
        <v>28300</v>
      </c>
      <c r="AA2028" s="9">
        <v>31800</v>
      </c>
      <c r="AB2028">
        <v>0.77777777777777779</v>
      </c>
      <c r="AC2028" s="11">
        <v>-4.3956654626285054</v>
      </c>
      <c r="AD2028" s="9">
        <v>31132.401129943501</v>
      </c>
      <c r="AE2028" s="8">
        <v>0.06</v>
      </c>
    </row>
    <row r="2029" spans="1:31" x14ac:dyDescent="0.35">
      <c r="A2029" s="6" t="s">
        <v>2050</v>
      </c>
      <c r="B2029" s="7">
        <v>0</v>
      </c>
      <c r="C2029" s="7">
        <v>0</v>
      </c>
      <c r="D2029" s="7">
        <v>0</v>
      </c>
      <c r="E2029" s="7">
        <v>18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 s="10">
        <v>0.49668653665257012</v>
      </c>
      <c r="Y2029" s="9">
        <v>15000</v>
      </c>
      <c r="Z2029" s="9">
        <v>13150</v>
      </c>
      <c r="AA2029" s="9">
        <v>14600</v>
      </c>
      <c r="AB2029">
        <v>0.78378378378378377</v>
      </c>
      <c r="AC2029" s="11">
        <v>18.15921089191442</v>
      </c>
      <c r="AD2029" s="9">
        <v>13193.644067796609</v>
      </c>
      <c r="AE2029" s="8">
        <v>8.1481481481481488E-2</v>
      </c>
    </row>
    <row r="2030" spans="1:31" x14ac:dyDescent="0.35">
      <c r="A2030" s="6" t="s">
        <v>2051</v>
      </c>
      <c r="B2030" s="7">
        <v>0</v>
      </c>
      <c r="C2030" s="7">
        <v>13</v>
      </c>
      <c r="D2030" s="7">
        <v>3</v>
      </c>
      <c r="E2030" s="7">
        <v>2</v>
      </c>
      <c r="F2030">
        <v>632</v>
      </c>
      <c r="G2030">
        <v>27</v>
      </c>
      <c r="H2030">
        <v>4.21</v>
      </c>
      <c r="I2030">
        <v>47</v>
      </c>
      <c r="J2030">
        <v>7.38</v>
      </c>
      <c r="K2030">
        <v>1242</v>
      </c>
      <c r="L2030">
        <v>745</v>
      </c>
      <c r="M2030">
        <v>498</v>
      </c>
      <c r="N2030">
        <v>23.71</v>
      </c>
      <c r="O2030">
        <v>22.96</v>
      </c>
      <c r="P2030">
        <v>22.75</v>
      </c>
      <c r="Q2030">
        <v>3.07</v>
      </c>
      <c r="R2030">
        <v>1.67</v>
      </c>
      <c r="S2030">
        <v>80</v>
      </c>
      <c r="T2030">
        <v>593</v>
      </c>
      <c r="U2030">
        <v>1091</v>
      </c>
      <c r="V2030">
        <v>35</v>
      </c>
      <c r="W2030">
        <v>52.21</v>
      </c>
      <c r="X2030" s="10">
        <v>0.81427056921835872</v>
      </c>
      <c r="Y2030" s="9">
        <v>1930</v>
      </c>
      <c r="Z2030" s="9">
        <v>1490</v>
      </c>
      <c r="AA2030" s="9">
        <v>1915</v>
      </c>
      <c r="AB2030">
        <v>0.96590909090909094</v>
      </c>
      <c r="AC2030" s="11">
        <v>7.0148652403445402</v>
      </c>
      <c r="AD2030" s="9">
        <v>1489.7966101694915</v>
      </c>
      <c r="AE2030" s="8">
        <v>0.26821192052980131</v>
      </c>
    </row>
    <row r="2031" spans="1:31" x14ac:dyDescent="0.35">
      <c r="A2031" s="6" t="s">
        <v>2052</v>
      </c>
      <c r="B2031" s="7">
        <v>1</v>
      </c>
      <c r="C2031" s="7">
        <v>10</v>
      </c>
      <c r="D2031" s="7">
        <v>2</v>
      </c>
      <c r="E2031" s="7">
        <v>5</v>
      </c>
      <c r="F2031">
        <v>84385</v>
      </c>
      <c r="G2031">
        <v>-212</v>
      </c>
      <c r="H2031">
        <v>-0.25</v>
      </c>
      <c r="I2031">
        <v>-4635</v>
      </c>
      <c r="J2031">
        <v>-5.49</v>
      </c>
      <c r="K2031">
        <v>80835</v>
      </c>
      <c r="L2031">
        <v>73269</v>
      </c>
      <c r="M2031">
        <v>7566</v>
      </c>
      <c r="N2031">
        <v>9.74</v>
      </c>
      <c r="O2031">
        <v>-65.75</v>
      </c>
      <c r="P2031">
        <v>0</v>
      </c>
      <c r="Q2031">
        <v>2.2799999999999998</v>
      </c>
      <c r="R2031">
        <v>0.11</v>
      </c>
      <c r="S2031">
        <v>-2896</v>
      </c>
      <c r="T2031">
        <v>2645</v>
      </c>
      <c r="U2031">
        <v>52730</v>
      </c>
      <c r="V2031">
        <v>3030</v>
      </c>
      <c r="W2031">
        <v>23.43</v>
      </c>
      <c r="X2031" s="10">
        <v>0.61772580705540892</v>
      </c>
      <c r="Y2031" s="9">
        <v>7950</v>
      </c>
      <c r="Z2031" s="9">
        <v>5470</v>
      </c>
      <c r="AA2031" s="9">
        <v>6770</v>
      </c>
      <c r="AB2031">
        <v>0.52419354838709675</v>
      </c>
      <c r="AC2031" s="11">
        <v>35.926646290636285</v>
      </c>
      <c r="AD2031" s="9">
        <v>5553.2372881355932</v>
      </c>
      <c r="AE2031" s="8">
        <v>0.13590604026845637</v>
      </c>
    </row>
    <row r="2032" spans="1:31" x14ac:dyDescent="0.35">
      <c r="A2032" s="6" t="s">
        <v>2053</v>
      </c>
      <c r="B2032" s="7">
        <v>3</v>
      </c>
      <c r="C2032" s="7">
        <v>9</v>
      </c>
      <c r="D2032" s="7">
        <v>5</v>
      </c>
      <c r="E2032" s="7">
        <v>1</v>
      </c>
      <c r="F2032">
        <v>129</v>
      </c>
      <c r="G2032">
        <v>3</v>
      </c>
      <c r="H2032">
        <v>2.4900000000000002</v>
      </c>
      <c r="I2032">
        <v>20</v>
      </c>
      <c r="J2032">
        <v>15.19</v>
      </c>
      <c r="K2032">
        <v>374</v>
      </c>
      <c r="L2032">
        <v>115</v>
      </c>
      <c r="M2032">
        <v>259</v>
      </c>
      <c r="N2032">
        <v>71.599999999999994</v>
      </c>
      <c r="O2032">
        <v>7.84</v>
      </c>
      <c r="P2032">
        <v>17.87</v>
      </c>
      <c r="Q2032">
        <v>1.62</v>
      </c>
      <c r="R2032">
        <v>2.73</v>
      </c>
      <c r="S2032">
        <v>68</v>
      </c>
      <c r="T2032">
        <v>752</v>
      </c>
      <c r="U2032">
        <v>445</v>
      </c>
      <c r="V2032">
        <v>3</v>
      </c>
      <c r="W2032">
        <v>122.39</v>
      </c>
      <c r="X2032" s="10">
        <v>0.44614906610560195</v>
      </c>
      <c r="Y2032" s="9">
        <v>4205</v>
      </c>
      <c r="Z2032" s="9">
        <v>1130</v>
      </c>
      <c r="AA2032" s="9">
        <v>3535</v>
      </c>
      <c r="AB2032">
        <v>0.78211382113821137</v>
      </c>
      <c r="AC2032" s="11">
        <v>31.794109474854125</v>
      </c>
      <c r="AD2032" s="9">
        <v>2013.4463276836157</v>
      </c>
      <c r="AE2032" s="8">
        <v>2.1283185840707963</v>
      </c>
    </row>
    <row r="2033" spans="1:31" x14ac:dyDescent="0.35">
      <c r="A2033" s="6" t="s">
        <v>2054</v>
      </c>
      <c r="B2033" s="7">
        <v>3</v>
      </c>
      <c r="C2033" s="7">
        <v>4</v>
      </c>
      <c r="D2033" s="7">
        <v>9</v>
      </c>
      <c r="E2033" s="7">
        <v>2</v>
      </c>
      <c r="F2033">
        <v>341</v>
      </c>
      <c r="G2033">
        <v>9</v>
      </c>
      <c r="H2033">
        <v>2.68</v>
      </c>
      <c r="I2033">
        <v>8</v>
      </c>
      <c r="J2033">
        <v>2.27</v>
      </c>
      <c r="K2033">
        <v>572</v>
      </c>
      <c r="L2033">
        <v>53</v>
      </c>
      <c r="M2033">
        <v>519</v>
      </c>
      <c r="N2033">
        <v>1900.8</v>
      </c>
      <c r="O2033">
        <v>1.98</v>
      </c>
      <c r="P2033">
        <v>20.53</v>
      </c>
      <c r="Q2033">
        <v>0.42</v>
      </c>
      <c r="R2033">
        <v>0.46</v>
      </c>
      <c r="S2033">
        <v>199</v>
      </c>
      <c r="T2033">
        <v>9839</v>
      </c>
      <c r="U2033">
        <v>8788</v>
      </c>
      <c r="V2033">
        <v>31</v>
      </c>
      <c r="W2033">
        <v>6.85</v>
      </c>
      <c r="X2033" s="10">
        <v>0.54717847625579863</v>
      </c>
      <c r="Y2033" s="9">
        <v>8970</v>
      </c>
      <c r="Z2033" s="9">
        <v>4265</v>
      </c>
      <c r="AA2033" s="9">
        <v>5850</v>
      </c>
      <c r="AB2033">
        <v>0.33687566418703507</v>
      </c>
      <c r="AC2033" s="11">
        <v>46.060711308696867</v>
      </c>
      <c r="AD2033" s="9">
        <v>4087.5649717514125</v>
      </c>
      <c r="AE2033" s="8">
        <v>0.29139072847682118</v>
      </c>
    </row>
    <row r="2034" spans="1:31" x14ac:dyDescent="0.35">
      <c r="A2034" s="6" t="s">
        <v>2055</v>
      </c>
      <c r="B2034" s="7">
        <v>5</v>
      </c>
      <c r="C2034" s="7">
        <v>8</v>
      </c>
      <c r="D2034" s="7">
        <v>4</v>
      </c>
      <c r="E2034" s="7">
        <v>1</v>
      </c>
      <c r="F2034">
        <v>1742</v>
      </c>
      <c r="G2034">
        <v>67</v>
      </c>
      <c r="H2034">
        <v>3.86</v>
      </c>
      <c r="I2034">
        <v>23</v>
      </c>
      <c r="J2034">
        <v>1.35</v>
      </c>
      <c r="K2034">
        <v>1460</v>
      </c>
      <c r="L2034">
        <v>1066</v>
      </c>
      <c r="M2034">
        <v>393</v>
      </c>
      <c r="N2034">
        <v>31.84</v>
      </c>
      <c r="O2034">
        <v>6.14</v>
      </c>
      <c r="P2034">
        <v>17.079999999999998</v>
      </c>
      <c r="Q2034">
        <v>1.02</v>
      </c>
      <c r="R2034">
        <v>0.23</v>
      </c>
      <c r="S2034">
        <v>39</v>
      </c>
      <c r="T2034">
        <v>654</v>
      </c>
      <c r="U2034">
        <v>2920</v>
      </c>
      <c r="V2034">
        <v>132</v>
      </c>
      <c r="W2034">
        <v>6.58</v>
      </c>
      <c r="X2034" s="10">
        <v>0.56409917289365918</v>
      </c>
      <c r="Y2034" s="9">
        <v>880</v>
      </c>
      <c r="Z2034" s="9">
        <v>655</v>
      </c>
      <c r="AA2034" s="9">
        <v>803</v>
      </c>
      <c r="AB2034">
        <v>0.65777777777777779</v>
      </c>
      <c r="AC2034" s="11">
        <v>2.1976660183384276</v>
      </c>
      <c r="AD2034" s="9">
        <v>653.67118644067796</v>
      </c>
      <c r="AE2034" s="8">
        <v>0.18611521418020679</v>
      </c>
    </row>
    <row r="2035" spans="1:31" x14ac:dyDescent="0.35">
      <c r="A2035" s="6" t="s">
        <v>2056</v>
      </c>
      <c r="B2035" s="7">
        <v>5</v>
      </c>
      <c r="C2035" s="7">
        <v>8</v>
      </c>
      <c r="D2035" s="7">
        <v>5</v>
      </c>
      <c r="E2035" s="7">
        <v>0</v>
      </c>
      <c r="F2035">
        <v>50570</v>
      </c>
      <c r="G2035">
        <v>1603</v>
      </c>
      <c r="H2035">
        <v>3.17</v>
      </c>
      <c r="I2035">
        <v>954</v>
      </c>
      <c r="J2035">
        <v>1.89</v>
      </c>
      <c r="K2035">
        <v>65882</v>
      </c>
      <c r="L2035">
        <v>39074</v>
      </c>
      <c r="M2035">
        <v>26809</v>
      </c>
      <c r="N2035">
        <v>616.25</v>
      </c>
      <c r="O2035">
        <v>3.59</v>
      </c>
      <c r="P2035">
        <v>22.79</v>
      </c>
      <c r="Q2035">
        <v>0.92</v>
      </c>
      <c r="R2035">
        <v>0.43</v>
      </c>
      <c r="S2035">
        <v>1371</v>
      </c>
      <c r="T2035">
        <v>34110</v>
      </c>
      <c r="U2035">
        <v>72703</v>
      </c>
      <c r="V2035">
        <v>2146</v>
      </c>
      <c r="W2035">
        <v>20.03</v>
      </c>
      <c r="X2035" s="10">
        <v>0.35391315970860021</v>
      </c>
      <c r="Y2035" s="9">
        <v>36000</v>
      </c>
      <c r="Z2035" s="9">
        <v>26850</v>
      </c>
      <c r="AA2035" s="9">
        <v>35050</v>
      </c>
      <c r="AB2035">
        <v>0.89617486338797814</v>
      </c>
      <c r="AC2035" s="11">
        <v>88.59266462906362</v>
      </c>
      <c r="AD2035" s="9">
        <v>27602.090395480227</v>
      </c>
      <c r="AE2035" s="8">
        <v>0.13614262560777957</v>
      </c>
    </row>
    <row r="2036" spans="1:31" x14ac:dyDescent="0.35">
      <c r="A2036" s="6" t="s">
        <v>2057</v>
      </c>
      <c r="B2036" s="7">
        <v>9</v>
      </c>
      <c r="C2036" s="7">
        <v>6</v>
      </c>
      <c r="D2036" s="7">
        <v>0</v>
      </c>
      <c r="E2036" s="7">
        <v>3</v>
      </c>
      <c r="F2036">
        <v>1603</v>
      </c>
      <c r="G2036">
        <v>334</v>
      </c>
      <c r="H2036">
        <v>20.84</v>
      </c>
      <c r="I2036">
        <v>245</v>
      </c>
      <c r="J2036">
        <v>15.26</v>
      </c>
      <c r="K2036">
        <v>4085</v>
      </c>
      <c r="L2036">
        <v>1247</v>
      </c>
      <c r="M2036">
        <v>2838</v>
      </c>
      <c r="N2036">
        <v>852.06</v>
      </c>
      <c r="O2036">
        <v>9.0299999999999994</v>
      </c>
      <c r="P2036">
        <v>18.21</v>
      </c>
      <c r="Q2036">
        <v>1.62</v>
      </c>
      <c r="R2036">
        <v>2.78</v>
      </c>
      <c r="S2036">
        <v>4185</v>
      </c>
      <c r="T2036">
        <v>46987</v>
      </c>
      <c r="U2036">
        <v>27426</v>
      </c>
      <c r="V2036">
        <v>398</v>
      </c>
      <c r="W2036">
        <v>11.5</v>
      </c>
      <c r="X2036" s="10">
        <v>0.29106825241295242</v>
      </c>
      <c r="Y2036" s="9">
        <v>76200</v>
      </c>
      <c r="Z2036" s="9">
        <v>54300</v>
      </c>
      <c r="AA2036" s="9">
        <v>70300</v>
      </c>
      <c r="AB2036">
        <v>0.73059360730593603</v>
      </c>
      <c r="AC2036" s="11">
        <v>-164.36510141706026</v>
      </c>
      <c r="AD2036" s="9">
        <v>68931.468926553673</v>
      </c>
      <c r="AE2036" s="8">
        <v>-3.6986301369863014E-2</v>
      </c>
    </row>
    <row r="2037" spans="1:31" x14ac:dyDescent="0.35">
      <c r="A2037" s="6" t="s">
        <v>2058</v>
      </c>
      <c r="B2037" s="7">
        <v>2</v>
      </c>
      <c r="C2037" s="7">
        <v>7</v>
      </c>
      <c r="D2037" s="7">
        <v>5</v>
      </c>
      <c r="E2037" s="7">
        <v>4</v>
      </c>
      <c r="F2037">
        <v>103221</v>
      </c>
      <c r="G2037">
        <v>4462</v>
      </c>
      <c r="H2037">
        <v>4.32</v>
      </c>
      <c r="I2037">
        <v>3825</v>
      </c>
      <c r="J2037">
        <v>3.71</v>
      </c>
      <c r="K2037">
        <v>876102</v>
      </c>
      <c r="L2037">
        <v>800039</v>
      </c>
      <c r="M2037">
        <v>76063</v>
      </c>
      <c r="N2037">
        <v>79.56</v>
      </c>
      <c r="O2037">
        <v>6.99</v>
      </c>
      <c r="P2037">
        <v>11.74</v>
      </c>
      <c r="Q2037">
        <v>0.82</v>
      </c>
      <c r="R2037">
        <v>0.43</v>
      </c>
      <c r="S2037">
        <v>605</v>
      </c>
      <c r="T2037">
        <v>8668</v>
      </c>
      <c r="U2037">
        <v>16335</v>
      </c>
      <c r="V2037">
        <v>0</v>
      </c>
      <c r="W2037">
        <v>0</v>
      </c>
      <c r="X2037" s="10">
        <v>0.18259850731904301</v>
      </c>
      <c r="Y2037" s="9">
        <v>8290</v>
      </c>
      <c r="Z2037" s="9">
        <v>7430</v>
      </c>
      <c r="AA2037" s="9">
        <v>7430</v>
      </c>
      <c r="AB2037">
        <v>0</v>
      </c>
      <c r="AC2037" s="11">
        <v>-4.3575993331480971</v>
      </c>
      <c r="AD2037" s="9">
        <v>7935.406779661017</v>
      </c>
      <c r="AE2037" s="8">
        <v>-9.3902439024390244E-2</v>
      </c>
    </row>
    <row r="2038" spans="1:31" x14ac:dyDescent="0.35">
      <c r="A2038" s="6" t="s">
        <v>2059</v>
      </c>
      <c r="B2038" s="7">
        <v>4</v>
      </c>
      <c r="C2038" s="7">
        <v>10</v>
      </c>
      <c r="D2038" s="7">
        <v>1</v>
      </c>
      <c r="E2038" s="7">
        <v>3</v>
      </c>
      <c r="F2038">
        <v>53133</v>
      </c>
      <c r="G2038">
        <v>322</v>
      </c>
      <c r="H2038">
        <v>0.61</v>
      </c>
      <c r="I2038">
        <v>163</v>
      </c>
      <c r="J2038">
        <v>0.31</v>
      </c>
      <c r="K2038">
        <v>103309</v>
      </c>
      <c r="L2038">
        <v>97363</v>
      </c>
      <c r="M2038">
        <v>5946</v>
      </c>
      <c r="N2038">
        <v>31.06</v>
      </c>
      <c r="O2038">
        <v>2.85</v>
      </c>
      <c r="P2038">
        <v>25.67</v>
      </c>
      <c r="Q2038">
        <v>0.77</v>
      </c>
      <c r="R2038">
        <v>0.08</v>
      </c>
      <c r="S2038">
        <v>179</v>
      </c>
      <c r="T2038">
        <v>6001</v>
      </c>
      <c r="U2038">
        <v>58555</v>
      </c>
      <c r="V2038">
        <v>0</v>
      </c>
      <c r="W2038">
        <v>0</v>
      </c>
      <c r="X2038" s="10">
        <v>2.8003437464356271E-2</v>
      </c>
      <c r="Y2038" s="9">
        <v>4715</v>
      </c>
      <c r="Z2038" s="9">
        <v>4065</v>
      </c>
      <c r="AA2038" s="9">
        <v>4565</v>
      </c>
      <c r="AB2038">
        <v>0.76923076923076927</v>
      </c>
      <c r="AC2038" s="11">
        <v>1.723117532647958</v>
      </c>
      <c r="AD2038" s="9">
        <v>4325.3615819209044</v>
      </c>
      <c r="AE2038" s="8">
        <v>-4.3620501635768813E-3</v>
      </c>
    </row>
    <row r="2039" spans="1:31" x14ac:dyDescent="0.35">
      <c r="A2039" s="6" t="s">
        <v>2060</v>
      </c>
      <c r="B2039" s="7">
        <v>0</v>
      </c>
      <c r="C2039" s="7">
        <v>0</v>
      </c>
      <c r="D2039" s="7">
        <v>0</v>
      </c>
      <c r="E2039" s="7">
        <v>18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 s="10">
        <v>0.384009549928718</v>
      </c>
      <c r="Y2039" s="9">
        <v>15350</v>
      </c>
      <c r="Z2039" s="9">
        <v>13300</v>
      </c>
      <c r="AA2039" s="9">
        <v>15350</v>
      </c>
      <c r="AB2039">
        <v>1</v>
      </c>
      <c r="AC2039" s="11">
        <v>21.136426785218116</v>
      </c>
      <c r="AD2039" s="9">
        <v>13505.338983050848</v>
      </c>
      <c r="AE2039" s="8">
        <v>6.5972222222222224E-2</v>
      </c>
    </row>
    <row r="2040" spans="1:31" x14ac:dyDescent="0.35">
      <c r="A2040" s="6" t="s">
        <v>2061</v>
      </c>
      <c r="B2040" s="7">
        <v>1</v>
      </c>
      <c r="C2040" s="7">
        <v>0</v>
      </c>
      <c r="D2040" s="7">
        <v>10</v>
      </c>
      <c r="E2040" s="7">
        <v>7</v>
      </c>
      <c r="F2040">
        <v>35795</v>
      </c>
      <c r="G2040">
        <v>303</v>
      </c>
      <c r="H2040">
        <v>0.85</v>
      </c>
      <c r="I2040">
        <v>802</v>
      </c>
      <c r="J2040">
        <v>2.2400000000000002</v>
      </c>
      <c r="K2040">
        <v>67134</v>
      </c>
      <c r="L2040">
        <v>28021</v>
      </c>
      <c r="M2040">
        <v>39113</v>
      </c>
      <c r="N2040">
        <v>379.73</v>
      </c>
      <c r="O2040">
        <v>2.15</v>
      </c>
      <c r="P2040">
        <v>22.96</v>
      </c>
      <c r="Q2040">
        <v>0.5</v>
      </c>
      <c r="R2040">
        <v>0.51</v>
      </c>
      <c r="S2040">
        <v>514</v>
      </c>
      <c r="T2040">
        <v>23630</v>
      </c>
      <c r="U2040">
        <v>22945</v>
      </c>
      <c r="V2040">
        <v>2029</v>
      </c>
      <c r="W2040">
        <v>17.91</v>
      </c>
      <c r="X2040" s="10">
        <v>0.87544207651105477</v>
      </c>
      <c r="Y2040" s="9">
        <v>16150</v>
      </c>
      <c r="Z2040" s="9">
        <v>10900</v>
      </c>
      <c r="AA2040" s="9">
        <v>14900</v>
      </c>
      <c r="AB2040">
        <v>0.76190476190476186</v>
      </c>
      <c r="AC2040" s="11">
        <v>84.816615726590726</v>
      </c>
      <c r="AD2040" s="9">
        <v>10640.593220338982</v>
      </c>
      <c r="AE2040" s="8">
        <v>0.22633744855967078</v>
      </c>
    </row>
    <row r="2041" spans="1:31" x14ac:dyDescent="0.35">
      <c r="A2041" s="6" t="s">
        <v>2062</v>
      </c>
      <c r="B2041" s="7">
        <v>0</v>
      </c>
      <c r="C2041" s="7">
        <v>0</v>
      </c>
      <c r="D2041" s="7">
        <v>0</v>
      </c>
      <c r="E2041" s="7">
        <v>18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 s="10">
        <v>0.77927106388629575</v>
      </c>
      <c r="Y2041" s="9">
        <v>8010</v>
      </c>
      <c r="Z2041" s="9">
        <v>6350</v>
      </c>
      <c r="AA2041" s="9">
        <v>7530</v>
      </c>
      <c r="AB2041">
        <v>0.71084337349397586</v>
      </c>
      <c r="AC2041" s="11">
        <v>24.76410113920533</v>
      </c>
      <c r="AD2041" s="9">
        <v>6237.0282485875705</v>
      </c>
      <c r="AE2041" s="8">
        <v>8.3453237410071948E-2</v>
      </c>
    </row>
    <row r="2042" spans="1:31" x14ac:dyDescent="0.35">
      <c r="A2042" s="6" t="s">
        <v>2063</v>
      </c>
      <c r="B2042" s="7">
        <v>0</v>
      </c>
      <c r="C2042" s="7">
        <v>13</v>
      </c>
      <c r="D2042" s="7">
        <v>3</v>
      </c>
      <c r="E2042" s="7">
        <v>2</v>
      </c>
      <c r="F2042">
        <v>9767</v>
      </c>
      <c r="G2042">
        <v>222</v>
      </c>
      <c r="H2042">
        <v>2.27</v>
      </c>
      <c r="I2042">
        <v>183</v>
      </c>
      <c r="J2042">
        <v>1.87</v>
      </c>
      <c r="K2042">
        <v>67052</v>
      </c>
      <c r="L2042">
        <v>59241</v>
      </c>
      <c r="M2042">
        <v>7811</v>
      </c>
      <c r="N2042">
        <v>83.69</v>
      </c>
      <c r="O2042">
        <v>2.37</v>
      </c>
      <c r="P2042">
        <v>16.059999999999999</v>
      </c>
      <c r="Q2042">
        <v>0.47</v>
      </c>
      <c r="R2042">
        <v>0.32</v>
      </c>
      <c r="S2042">
        <v>232</v>
      </c>
      <c r="T2042">
        <v>7923</v>
      </c>
      <c r="U2042">
        <v>11698</v>
      </c>
      <c r="V2042">
        <v>0</v>
      </c>
      <c r="W2042">
        <v>0</v>
      </c>
      <c r="X2042" s="10">
        <v>0.86401821502950704</v>
      </c>
      <c r="Y2042" s="9">
        <v>4820</v>
      </c>
      <c r="Z2042" s="9">
        <v>3640</v>
      </c>
      <c r="AA2042" s="9">
        <v>4635</v>
      </c>
      <c r="AB2042">
        <v>0.84322033898305082</v>
      </c>
      <c r="AC2042" s="11">
        <v>17.490275076410118</v>
      </c>
      <c r="AD2042" s="9">
        <v>3531.129943502825</v>
      </c>
      <c r="AE2042" s="8">
        <v>0.23930481283422461</v>
      </c>
    </row>
    <row r="2043" spans="1:31" x14ac:dyDescent="0.35">
      <c r="A2043" s="6" t="s">
        <v>2064</v>
      </c>
      <c r="B2043" s="7">
        <v>0</v>
      </c>
      <c r="C2043" s="7">
        <v>0</v>
      </c>
      <c r="D2043" s="7">
        <v>0</v>
      </c>
      <c r="E2043" s="7">
        <v>18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 s="10">
        <v>0.76595375090200057</v>
      </c>
      <c r="Y2043" s="9">
        <v>3065</v>
      </c>
      <c r="Z2043" s="9">
        <v>2230</v>
      </c>
      <c r="AA2043" s="9">
        <v>3060</v>
      </c>
      <c r="AB2043">
        <v>0.99401197604790414</v>
      </c>
      <c r="AC2043" s="11">
        <v>13.700611280911366</v>
      </c>
      <c r="AD2043" s="9">
        <v>2090.2146892655369</v>
      </c>
      <c r="AE2043" s="8">
        <v>0.27234927234927236</v>
      </c>
    </row>
    <row r="2044" spans="1:31" x14ac:dyDescent="0.35">
      <c r="A2044" s="6" t="s">
        <v>2065</v>
      </c>
      <c r="B2044" s="7">
        <v>1</v>
      </c>
      <c r="C2044" s="7">
        <v>2</v>
      </c>
      <c r="D2044" s="7">
        <v>0</v>
      </c>
      <c r="E2044" s="7">
        <v>15</v>
      </c>
      <c r="F2044">
        <v>1366</v>
      </c>
      <c r="G2044">
        <v>-392</v>
      </c>
      <c r="H2044">
        <v>-28.67</v>
      </c>
      <c r="I2044">
        <v>-496</v>
      </c>
      <c r="J2044">
        <v>-36.340000000000003</v>
      </c>
      <c r="K2044">
        <v>1452</v>
      </c>
      <c r="L2044">
        <v>1055</v>
      </c>
      <c r="M2044">
        <v>397</v>
      </c>
      <c r="N2044">
        <v>109.07</v>
      </c>
      <c r="O2044">
        <v>-76.73</v>
      </c>
      <c r="P2044">
        <v>0</v>
      </c>
      <c r="Q2044">
        <v>1.65</v>
      </c>
      <c r="R2044">
        <v>0.48</v>
      </c>
      <c r="S2044">
        <v>-13063</v>
      </c>
      <c r="T2044">
        <v>10379</v>
      </c>
      <c r="U2044">
        <v>35943</v>
      </c>
      <c r="V2044">
        <v>-291</v>
      </c>
      <c r="W2044">
        <v>-4.07</v>
      </c>
      <c r="X2044" s="10">
        <v>7.199489545904135E-2</v>
      </c>
      <c r="Y2044" s="9">
        <v>18150</v>
      </c>
      <c r="Z2044" s="9">
        <v>15000</v>
      </c>
      <c r="AA2044" s="9">
        <v>16800</v>
      </c>
      <c r="AB2044">
        <v>0.5714285714285714</v>
      </c>
      <c r="AC2044" s="11">
        <v>14.315087524312313</v>
      </c>
      <c r="AD2044" s="9">
        <v>16231.723163841807</v>
      </c>
      <c r="AE2044" s="8">
        <v>-1.7543859649122806E-2</v>
      </c>
    </row>
    <row r="2045" spans="1:31" x14ac:dyDescent="0.35">
      <c r="A2045" s="6" t="s">
        <v>2066</v>
      </c>
      <c r="B2045" s="7">
        <v>1</v>
      </c>
      <c r="C2045" s="7">
        <v>10</v>
      </c>
      <c r="D2045" s="7">
        <v>5</v>
      </c>
      <c r="E2045" s="7">
        <v>2</v>
      </c>
      <c r="F2045">
        <v>41</v>
      </c>
      <c r="G2045">
        <v>-15</v>
      </c>
      <c r="H2045">
        <v>-35.83</v>
      </c>
      <c r="I2045">
        <v>-52</v>
      </c>
      <c r="J2045">
        <v>-128.6</v>
      </c>
      <c r="K2045">
        <v>182</v>
      </c>
      <c r="L2045">
        <v>14</v>
      </c>
      <c r="M2045">
        <v>168</v>
      </c>
      <c r="N2045">
        <v>63.91</v>
      </c>
      <c r="O2045">
        <v>-49.85</v>
      </c>
      <c r="P2045">
        <v>0</v>
      </c>
      <c r="Q2045">
        <v>2.0699999999999998</v>
      </c>
      <c r="R2045">
        <v>5.54</v>
      </c>
      <c r="S2045">
        <v>-389</v>
      </c>
      <c r="T2045">
        <v>811</v>
      </c>
      <c r="U2045">
        <v>303</v>
      </c>
      <c r="V2045">
        <v>-18</v>
      </c>
      <c r="W2045">
        <v>-19.39</v>
      </c>
      <c r="X2045" s="10">
        <v>0.26073689410035911</v>
      </c>
      <c r="Y2045" s="9">
        <v>3190</v>
      </c>
      <c r="Z2045" s="9">
        <v>2500</v>
      </c>
      <c r="AA2045" s="9">
        <v>2690</v>
      </c>
      <c r="AB2045">
        <v>0.27536231884057971</v>
      </c>
      <c r="AC2045" s="11">
        <v>-4.3245345929424843</v>
      </c>
      <c r="AD2045" s="9">
        <v>3007.7316384180795</v>
      </c>
      <c r="AE2045" s="8">
        <v>4.0618955512572531E-2</v>
      </c>
    </row>
    <row r="2046" spans="1:31" x14ac:dyDescent="0.35">
      <c r="A2046" s="6" t="s">
        <v>2067</v>
      </c>
      <c r="B2046" s="7">
        <v>2</v>
      </c>
      <c r="C2046" s="7">
        <v>5</v>
      </c>
      <c r="D2046" s="7">
        <v>7</v>
      </c>
      <c r="E2046" s="7">
        <v>4</v>
      </c>
      <c r="F2046">
        <v>623</v>
      </c>
      <c r="G2046">
        <v>87</v>
      </c>
      <c r="H2046">
        <v>13.98</v>
      </c>
      <c r="I2046">
        <v>38</v>
      </c>
      <c r="J2046">
        <v>6.17</v>
      </c>
      <c r="K2046">
        <v>2146</v>
      </c>
      <c r="L2046">
        <v>1082</v>
      </c>
      <c r="M2046">
        <v>1064</v>
      </c>
      <c r="N2046">
        <v>2076.09</v>
      </c>
      <c r="O2046">
        <v>3.59</v>
      </c>
      <c r="P2046">
        <v>17.010000000000002</v>
      </c>
      <c r="Q2046">
        <v>0.63</v>
      </c>
      <c r="R2046">
        <v>1.05</v>
      </c>
      <c r="S2046">
        <v>394</v>
      </c>
      <c r="T2046">
        <v>10665</v>
      </c>
      <c r="U2046">
        <v>6391</v>
      </c>
      <c r="V2046">
        <v>97</v>
      </c>
      <c r="W2046">
        <v>6.84</v>
      </c>
      <c r="X2046" s="10">
        <v>0.59063026682947395</v>
      </c>
      <c r="Y2046" s="9">
        <v>8000</v>
      </c>
      <c r="Z2046" s="9">
        <v>6390</v>
      </c>
      <c r="AA2046" s="9">
        <v>8000</v>
      </c>
      <c r="AB2046">
        <v>1</v>
      </c>
      <c r="AC2046" s="11">
        <v>20.1989441511531</v>
      </c>
      <c r="AD2046" s="9">
        <v>6239.9322033898306</v>
      </c>
      <c r="AE2046" s="8">
        <v>0.19402985074626866</v>
      </c>
    </row>
    <row r="2047" spans="1:31" x14ac:dyDescent="0.35">
      <c r="A2047" s="6" t="s">
        <v>2068</v>
      </c>
      <c r="B2047" s="7">
        <v>5</v>
      </c>
      <c r="C2047" s="7">
        <v>0</v>
      </c>
      <c r="D2047" s="7">
        <v>10</v>
      </c>
      <c r="E2047" s="7">
        <v>3</v>
      </c>
      <c r="F2047">
        <v>97</v>
      </c>
      <c r="G2047">
        <v>21</v>
      </c>
      <c r="H2047">
        <v>21.76</v>
      </c>
      <c r="I2047">
        <v>36</v>
      </c>
      <c r="J2047">
        <v>37.450000000000003</v>
      </c>
      <c r="K2047">
        <v>1463</v>
      </c>
      <c r="L2047">
        <v>136</v>
      </c>
      <c r="M2047">
        <v>1327</v>
      </c>
      <c r="N2047">
        <v>2614.66</v>
      </c>
      <c r="O2047">
        <v>3.7</v>
      </c>
      <c r="P2047">
        <v>63.81</v>
      </c>
      <c r="Q2047">
        <v>2.34</v>
      </c>
      <c r="R2047">
        <v>23.85</v>
      </c>
      <c r="S2047">
        <v>496</v>
      </c>
      <c r="T2047">
        <v>13536</v>
      </c>
      <c r="U2047">
        <v>1327</v>
      </c>
      <c r="V2047">
        <v>33</v>
      </c>
      <c r="W2047">
        <v>94.57</v>
      </c>
      <c r="X2047" s="10">
        <v>0.73120420758645799</v>
      </c>
      <c r="Y2047" s="9">
        <v>30100</v>
      </c>
      <c r="Z2047" s="9">
        <v>20950</v>
      </c>
      <c r="AA2047" s="9">
        <v>30100</v>
      </c>
      <c r="AB2047">
        <v>1</v>
      </c>
      <c r="AC2047" s="11">
        <v>161.42261739372049</v>
      </c>
      <c r="AD2047" s="9">
        <v>19561.610169491527</v>
      </c>
      <c r="AE2047" s="8">
        <v>0.41647058823529409</v>
      </c>
    </row>
    <row r="2048" spans="1:31" x14ac:dyDescent="0.35">
      <c r="A2048" s="6" t="s">
        <v>2069</v>
      </c>
      <c r="B2048" s="7">
        <v>7</v>
      </c>
      <c r="C2048" s="7">
        <v>2</v>
      </c>
      <c r="D2048" s="7">
        <v>5</v>
      </c>
      <c r="E2048" s="7">
        <v>4</v>
      </c>
      <c r="F2048">
        <v>1904</v>
      </c>
      <c r="G2048">
        <v>50</v>
      </c>
      <c r="H2048">
        <v>2.64</v>
      </c>
      <c r="I2048">
        <v>47</v>
      </c>
      <c r="J2048">
        <v>2.4500000000000002</v>
      </c>
      <c r="K2048">
        <v>1479</v>
      </c>
      <c r="L2048">
        <v>817</v>
      </c>
      <c r="M2048">
        <v>662</v>
      </c>
      <c r="N2048">
        <v>718.26</v>
      </c>
      <c r="O2048">
        <v>7.28</v>
      </c>
      <c r="P2048">
        <v>15.54</v>
      </c>
      <c r="Q2048">
        <v>1.45</v>
      </c>
      <c r="R2048">
        <v>0.38</v>
      </c>
      <c r="S2048">
        <v>345</v>
      </c>
      <c r="T2048">
        <v>3700</v>
      </c>
      <c r="U2048">
        <v>14101</v>
      </c>
      <c r="V2048">
        <v>153</v>
      </c>
      <c r="W2048">
        <v>8.8800000000000008</v>
      </c>
      <c r="X2048" s="10">
        <v>0.19784963801556538</v>
      </c>
      <c r="Y2048" s="9">
        <v>7450</v>
      </c>
      <c r="Z2048" s="9">
        <v>5360</v>
      </c>
      <c r="AA2048" s="9">
        <v>6830</v>
      </c>
      <c r="AB2048">
        <v>0.70334928229665072</v>
      </c>
      <c r="AC2048" s="11">
        <v>11.394276187829952</v>
      </c>
      <c r="AD2048" s="9">
        <v>6409.8079096045194</v>
      </c>
      <c r="AE2048" s="8">
        <v>0.26481481481481484</v>
      </c>
    </row>
    <row r="2049" spans="1:31" x14ac:dyDescent="0.35">
      <c r="A2049" s="6" t="s">
        <v>2070</v>
      </c>
      <c r="B2049" s="7">
        <v>8</v>
      </c>
      <c r="C2049" s="7">
        <v>6</v>
      </c>
      <c r="D2049" s="7">
        <v>2</v>
      </c>
      <c r="E2049" s="7">
        <v>2</v>
      </c>
      <c r="F2049">
        <v>125</v>
      </c>
      <c r="G2049">
        <v>2</v>
      </c>
      <c r="H2049">
        <v>1.73</v>
      </c>
      <c r="I2049">
        <v>-29</v>
      </c>
      <c r="J2049">
        <v>-23.14</v>
      </c>
      <c r="K2049">
        <v>590</v>
      </c>
      <c r="L2049">
        <v>275</v>
      </c>
      <c r="M2049">
        <v>315</v>
      </c>
      <c r="N2049">
        <v>74.75</v>
      </c>
      <c r="O2049">
        <v>-14.44</v>
      </c>
      <c r="P2049">
        <v>0</v>
      </c>
      <c r="Q2049">
        <v>0.28000000000000003</v>
      </c>
      <c r="R2049">
        <v>0.53</v>
      </c>
      <c r="S2049">
        <v>-108</v>
      </c>
      <c r="T2049">
        <v>870</v>
      </c>
      <c r="U2049">
        <v>464</v>
      </c>
      <c r="V2049">
        <v>6</v>
      </c>
      <c r="W2049">
        <v>52.11</v>
      </c>
      <c r="X2049" s="10">
        <v>0.38524754890275614</v>
      </c>
      <c r="Y2049" s="9">
        <v>689</v>
      </c>
      <c r="Z2049" s="9">
        <v>405</v>
      </c>
      <c r="AA2049" s="9">
        <v>499</v>
      </c>
      <c r="AB2049">
        <v>0.33098591549295775</v>
      </c>
      <c r="AC2049" s="11">
        <v>2.372659071964434</v>
      </c>
      <c r="AD2049" s="9">
        <v>417.3672316384181</v>
      </c>
      <c r="AE2049" s="8">
        <v>8.714596949891068E-2</v>
      </c>
    </row>
    <row r="2050" spans="1:31" x14ac:dyDescent="0.35">
      <c r="A2050" s="6" t="s">
        <v>2071</v>
      </c>
      <c r="B2050" s="7">
        <v>1</v>
      </c>
      <c r="C2050" s="7">
        <v>2</v>
      </c>
      <c r="D2050" s="7">
        <v>9</v>
      </c>
      <c r="E2050" s="7">
        <v>6</v>
      </c>
      <c r="F2050">
        <v>448</v>
      </c>
      <c r="G2050">
        <v>-11</v>
      </c>
      <c r="H2050">
        <v>-2.48</v>
      </c>
      <c r="I2050">
        <v>-14</v>
      </c>
      <c r="J2050">
        <v>-3.17</v>
      </c>
      <c r="K2050">
        <v>501</v>
      </c>
      <c r="L2050">
        <v>218</v>
      </c>
      <c r="M2050">
        <v>283</v>
      </c>
      <c r="N2050">
        <v>-3.19</v>
      </c>
      <c r="O2050">
        <v>-4.88</v>
      </c>
      <c r="P2050">
        <v>0</v>
      </c>
      <c r="Q2050">
        <v>0.64</v>
      </c>
      <c r="R2050">
        <v>0.38</v>
      </c>
      <c r="S2050">
        <v>-248</v>
      </c>
      <c r="T2050">
        <v>4675</v>
      </c>
      <c r="U2050">
        <v>7839</v>
      </c>
      <c r="V2050">
        <v>-6</v>
      </c>
      <c r="W2050">
        <v>-47.21</v>
      </c>
      <c r="X2050" s="10">
        <v>0.79346405210695214</v>
      </c>
      <c r="Y2050" s="9">
        <v>4955</v>
      </c>
      <c r="Z2050" s="9">
        <v>2955</v>
      </c>
      <c r="AA2050" s="9">
        <v>4120</v>
      </c>
      <c r="AB2050">
        <v>0.58250000000000002</v>
      </c>
      <c r="AC2050" s="11">
        <v>22.206168380105588</v>
      </c>
      <c r="AD2050" s="9">
        <v>2962.5451977401131</v>
      </c>
      <c r="AE2050" s="8">
        <v>0.39424703891708968</v>
      </c>
    </row>
    <row r="2051" spans="1:31" x14ac:dyDescent="0.35">
      <c r="A2051" s="6" t="s">
        <v>2072</v>
      </c>
      <c r="B2051" s="7">
        <v>2</v>
      </c>
      <c r="C2051" s="7">
        <v>8</v>
      </c>
      <c r="D2051" s="7">
        <v>0</v>
      </c>
      <c r="E2051" s="7">
        <v>8</v>
      </c>
      <c r="F2051">
        <v>186</v>
      </c>
      <c r="G2051">
        <v>4</v>
      </c>
      <c r="H2051">
        <v>2.2400000000000002</v>
      </c>
      <c r="I2051">
        <v>-4</v>
      </c>
      <c r="J2051">
        <v>-2.09</v>
      </c>
      <c r="K2051">
        <v>184</v>
      </c>
      <c r="L2051">
        <v>134</v>
      </c>
      <c r="M2051">
        <v>50</v>
      </c>
      <c r="N2051">
        <v>-28.84</v>
      </c>
      <c r="O2051">
        <v>-10.029999999999999</v>
      </c>
      <c r="P2051">
        <v>0</v>
      </c>
      <c r="Q2051">
        <v>2.62</v>
      </c>
      <c r="R2051">
        <v>0.51</v>
      </c>
      <c r="S2051">
        <v>-33</v>
      </c>
      <c r="T2051">
        <v>314</v>
      </c>
      <c r="U2051">
        <v>1605</v>
      </c>
      <c r="V2051">
        <v>8</v>
      </c>
      <c r="W2051">
        <v>25.52</v>
      </c>
      <c r="X2051" s="10">
        <v>0.43545862922722595</v>
      </c>
      <c r="Y2051" s="9">
        <v>4325</v>
      </c>
      <c r="Z2051" s="9">
        <v>1285</v>
      </c>
      <c r="AA2051" s="9">
        <v>1450</v>
      </c>
      <c r="AB2051">
        <v>5.4276315789473686E-2</v>
      </c>
      <c r="AC2051" s="11">
        <v>-33.805362600722425</v>
      </c>
      <c r="AD2051" s="9">
        <v>2972.980225988701</v>
      </c>
      <c r="AE2051" s="8">
        <v>-0.51827242524916939</v>
      </c>
    </row>
    <row r="2052" spans="1:31" x14ac:dyDescent="0.35">
      <c r="A2052" s="6" t="s">
        <v>2073</v>
      </c>
      <c r="B2052" s="7">
        <v>13</v>
      </c>
      <c r="C2052" s="7">
        <v>1</v>
      </c>
      <c r="D2052" s="7">
        <v>3</v>
      </c>
      <c r="E2052" s="7">
        <v>1</v>
      </c>
      <c r="F2052">
        <v>7956</v>
      </c>
      <c r="G2052">
        <v>335</v>
      </c>
      <c r="H2052">
        <v>4.22</v>
      </c>
      <c r="I2052">
        <v>229</v>
      </c>
      <c r="J2052">
        <v>2.88</v>
      </c>
      <c r="K2052">
        <v>4798</v>
      </c>
      <c r="L2052">
        <v>3191</v>
      </c>
      <c r="M2052">
        <v>1606</v>
      </c>
      <c r="N2052">
        <v>833.96</v>
      </c>
      <c r="O2052">
        <v>15.14</v>
      </c>
      <c r="P2052">
        <v>9.94</v>
      </c>
      <c r="Q2052">
        <v>1.46</v>
      </c>
      <c r="R2052">
        <v>0.28999999999999998</v>
      </c>
      <c r="S2052">
        <v>718</v>
      </c>
      <c r="T2052">
        <v>4896</v>
      </c>
      <c r="U2052">
        <v>24939</v>
      </c>
      <c r="V2052">
        <v>391</v>
      </c>
      <c r="W2052">
        <v>10.71</v>
      </c>
      <c r="X2052" s="10">
        <v>0.42342685017681742</v>
      </c>
      <c r="Y2052" s="9">
        <v>9080</v>
      </c>
      <c r="Z2052" s="9">
        <v>6950</v>
      </c>
      <c r="AA2052" s="9">
        <v>8390</v>
      </c>
      <c r="AB2052">
        <v>0.676056338028169</v>
      </c>
      <c r="AC2052" s="11">
        <v>22.804667963323144</v>
      </c>
      <c r="AD2052" s="9">
        <v>7541.4576271186443</v>
      </c>
      <c r="AE2052" s="8">
        <v>0.17342657342657342</v>
      </c>
    </row>
    <row r="2053" spans="1:31" x14ac:dyDescent="0.35">
      <c r="A2053" s="6" t="s">
        <v>2074</v>
      </c>
      <c r="B2053" s="7">
        <v>9</v>
      </c>
      <c r="C2053" s="7">
        <v>0</v>
      </c>
      <c r="D2053" s="7">
        <v>4</v>
      </c>
      <c r="E2053" s="7">
        <v>5</v>
      </c>
      <c r="F2053">
        <v>107558</v>
      </c>
      <c r="G2053">
        <v>4780</v>
      </c>
      <c r="H2053">
        <v>4.4400000000000004</v>
      </c>
      <c r="I2053">
        <v>3131</v>
      </c>
      <c r="J2053">
        <v>2.91</v>
      </c>
      <c r="K2053">
        <v>123197</v>
      </c>
      <c r="L2053">
        <v>73733</v>
      </c>
      <c r="M2053">
        <v>49464</v>
      </c>
      <c r="N2053">
        <v>787.61</v>
      </c>
      <c r="O2053">
        <v>6.5</v>
      </c>
      <c r="P2053">
        <v>14.97</v>
      </c>
      <c r="Q2053">
        <v>0.95</v>
      </c>
      <c r="R2053">
        <v>0.44</v>
      </c>
      <c r="S2053">
        <v>2812</v>
      </c>
      <c r="T2053">
        <v>44112</v>
      </c>
      <c r="U2053">
        <v>96504</v>
      </c>
      <c r="V2053">
        <v>5001</v>
      </c>
      <c r="W2053">
        <v>10.49</v>
      </c>
      <c r="X2053" s="10">
        <v>0.78052141596841063</v>
      </c>
      <c r="Y2053" s="9">
        <v>53900</v>
      </c>
      <c r="Z2053" s="9">
        <v>36400</v>
      </c>
      <c r="AA2053" s="9">
        <v>49050</v>
      </c>
      <c r="AB2053">
        <v>0.72285714285714286</v>
      </c>
      <c r="AC2053" s="11">
        <v>251.73103639899972</v>
      </c>
      <c r="AD2053" s="9">
        <v>37597.203389830509</v>
      </c>
      <c r="AE2053" s="8">
        <v>0.16508313539192399</v>
      </c>
    </row>
    <row r="2054" spans="1:31" x14ac:dyDescent="0.35">
      <c r="A2054" s="6" t="s">
        <v>2075</v>
      </c>
      <c r="B2054" s="7">
        <v>0</v>
      </c>
      <c r="C2054" s="7">
        <v>0</v>
      </c>
      <c r="D2054" s="7">
        <v>0</v>
      </c>
      <c r="E2054" s="7">
        <v>18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 s="10">
        <v>0.82573827936667377</v>
      </c>
      <c r="Y2054" s="9">
        <v>39900</v>
      </c>
      <c r="Z2054" s="9">
        <v>29500</v>
      </c>
      <c r="AA2054" s="9">
        <v>39100</v>
      </c>
      <c r="AB2054">
        <v>0.92307692307692313</v>
      </c>
      <c r="AC2054" s="11">
        <v>166.71992220061125</v>
      </c>
      <c r="AD2054" s="9">
        <v>29649.209039548019</v>
      </c>
      <c r="AE2054" s="8">
        <v>0.17241379310344829</v>
      </c>
    </row>
    <row r="2055" spans="1:31" x14ac:dyDescent="0.35">
      <c r="A2055" s="6" t="s">
        <v>2076</v>
      </c>
      <c r="B2055" s="7">
        <v>9</v>
      </c>
      <c r="C2055" s="7">
        <v>4</v>
      </c>
      <c r="D2055" s="7">
        <v>5</v>
      </c>
      <c r="E2055" s="7">
        <v>0</v>
      </c>
      <c r="F2055">
        <v>1168</v>
      </c>
      <c r="G2055">
        <v>31</v>
      </c>
      <c r="H2055">
        <v>2.68</v>
      </c>
      <c r="I2055">
        <v>150</v>
      </c>
      <c r="J2055">
        <v>12.85</v>
      </c>
      <c r="K2055">
        <v>829</v>
      </c>
      <c r="L2055">
        <v>255</v>
      </c>
      <c r="M2055">
        <v>574</v>
      </c>
      <c r="N2055">
        <v>1042.3399999999999</v>
      </c>
      <c r="O2055">
        <v>29.86</v>
      </c>
      <c r="P2055">
        <v>5.96</v>
      </c>
      <c r="Q2055">
        <v>1.6</v>
      </c>
      <c r="R2055">
        <v>0.77</v>
      </c>
      <c r="S2055">
        <v>1501</v>
      </c>
      <c r="T2055">
        <v>5600</v>
      </c>
      <c r="U2055">
        <v>11678</v>
      </c>
      <c r="V2055">
        <v>40</v>
      </c>
      <c r="W2055">
        <v>22.49</v>
      </c>
      <c r="X2055" s="10">
        <v>8.2170014306499076E-2</v>
      </c>
      <c r="Y2055" s="9">
        <v>10250</v>
      </c>
      <c r="Z2055" s="9">
        <v>8310</v>
      </c>
      <c r="AA2055" s="9">
        <v>10250</v>
      </c>
      <c r="AB2055">
        <v>1</v>
      </c>
      <c r="AC2055" s="11">
        <v>7.8730202834120586</v>
      </c>
      <c r="AD2055" s="9">
        <v>8857.039548022598</v>
      </c>
      <c r="AE2055" s="8">
        <v>0.16345062429057888</v>
      </c>
    </row>
    <row r="2056" spans="1:31" x14ac:dyDescent="0.35">
      <c r="A2056" s="6" t="s">
        <v>2077</v>
      </c>
      <c r="B2056" s="7">
        <v>3</v>
      </c>
      <c r="C2056" s="7">
        <v>8</v>
      </c>
      <c r="D2056" s="7">
        <v>5</v>
      </c>
      <c r="E2056" s="7">
        <v>2</v>
      </c>
      <c r="F2056">
        <v>13646</v>
      </c>
      <c r="G2056">
        <v>543</v>
      </c>
      <c r="H2056">
        <v>3.98</v>
      </c>
      <c r="I2056">
        <v>530</v>
      </c>
      <c r="J2056">
        <v>3.88</v>
      </c>
      <c r="K2056">
        <v>14572</v>
      </c>
      <c r="L2056">
        <v>2868</v>
      </c>
      <c r="M2056">
        <v>11705</v>
      </c>
      <c r="N2056">
        <v>2446.09</v>
      </c>
      <c r="O2056">
        <v>4.37</v>
      </c>
      <c r="P2056">
        <v>31.22</v>
      </c>
      <c r="Q2056">
        <v>1.75</v>
      </c>
      <c r="R2056">
        <v>1.21</v>
      </c>
      <c r="S2056">
        <v>607</v>
      </c>
      <c r="T2056">
        <v>10802</v>
      </c>
      <c r="U2056">
        <v>15632</v>
      </c>
      <c r="V2056">
        <v>676</v>
      </c>
      <c r="W2056">
        <v>27.38</v>
      </c>
      <c r="X2056" s="10">
        <v>0.1016701413702318</v>
      </c>
      <c r="Y2056" s="9">
        <v>19400</v>
      </c>
      <c r="Z2056" s="9">
        <v>16950</v>
      </c>
      <c r="AA2056" s="9">
        <v>19050</v>
      </c>
      <c r="AB2056">
        <v>0.8571428571428571</v>
      </c>
      <c r="AC2056" s="11">
        <v>10.969713809391498</v>
      </c>
      <c r="AD2056" s="9">
        <v>17820.423728813559</v>
      </c>
      <c r="AE2056" s="8">
        <v>-1.038961038961039E-2</v>
      </c>
    </row>
    <row r="2057" spans="1:31" x14ac:dyDescent="0.35">
      <c r="A2057" s="6" t="s">
        <v>2078</v>
      </c>
      <c r="B2057" s="7">
        <v>8</v>
      </c>
      <c r="C2057" s="7">
        <v>8</v>
      </c>
      <c r="D2057" s="7">
        <v>1</v>
      </c>
      <c r="E2057" s="7">
        <v>1</v>
      </c>
      <c r="F2057">
        <v>111668</v>
      </c>
      <c r="G2057">
        <v>4232</v>
      </c>
      <c r="H2057">
        <v>3.79</v>
      </c>
      <c r="I2057">
        <v>5763</v>
      </c>
      <c r="J2057">
        <v>5.16</v>
      </c>
      <c r="K2057">
        <v>55417</v>
      </c>
      <c r="L2057">
        <v>29790</v>
      </c>
      <c r="M2057">
        <v>25627</v>
      </c>
      <c r="N2057">
        <v>13567.74</v>
      </c>
      <c r="O2057">
        <v>24.85</v>
      </c>
      <c r="P2057">
        <v>18.97</v>
      </c>
      <c r="Q2057">
        <v>4.32</v>
      </c>
      <c r="R2057">
        <v>0.98</v>
      </c>
      <c r="S2057">
        <v>15367</v>
      </c>
      <c r="T2057">
        <v>67462</v>
      </c>
      <c r="U2057">
        <v>297780</v>
      </c>
      <c r="V2057">
        <v>5060</v>
      </c>
      <c r="W2057">
        <v>24.21</v>
      </c>
      <c r="X2057" s="10">
        <v>0.39154427696676858</v>
      </c>
      <c r="Y2057" s="9">
        <v>308500</v>
      </c>
      <c r="Z2057" s="9">
        <v>225500</v>
      </c>
      <c r="AA2057" s="9">
        <v>231000</v>
      </c>
      <c r="AB2057">
        <v>6.6265060240963861E-2</v>
      </c>
      <c r="AC2057" s="11">
        <v>-843.38705195887746</v>
      </c>
      <c r="AD2057" s="9">
        <v>272731.63841807912</v>
      </c>
      <c r="AE2057" s="8">
        <v>-0.2195945945945946</v>
      </c>
    </row>
    <row r="2058" spans="1:31" x14ac:dyDescent="0.35">
      <c r="A2058" s="6" t="s">
        <v>2079</v>
      </c>
      <c r="B2058" s="7">
        <v>0</v>
      </c>
      <c r="C2058" s="7">
        <v>6</v>
      </c>
      <c r="D2058" s="7">
        <v>0</v>
      </c>
      <c r="E2058" s="7">
        <v>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148</v>
      </c>
      <c r="L2058">
        <v>14</v>
      </c>
      <c r="M2058">
        <v>134</v>
      </c>
      <c r="N2058">
        <v>1863.29</v>
      </c>
      <c r="O2058">
        <v>-0.2</v>
      </c>
      <c r="P2058">
        <v>0</v>
      </c>
      <c r="Q2058">
        <v>1.02</v>
      </c>
      <c r="R2058">
        <v>0</v>
      </c>
      <c r="S2058">
        <v>-40</v>
      </c>
      <c r="T2058">
        <v>1963</v>
      </c>
      <c r="U2058">
        <v>0</v>
      </c>
      <c r="V2058">
        <v>0</v>
      </c>
      <c r="W2058">
        <v>-596.08000000000004</v>
      </c>
      <c r="X2058" s="10">
        <v>0.72263902444920192</v>
      </c>
      <c r="Y2058" s="9">
        <v>2575</v>
      </c>
      <c r="Z2058" s="9">
        <v>1995</v>
      </c>
      <c r="AA2058" s="9">
        <v>2400</v>
      </c>
      <c r="AB2058">
        <v>0.69827586206896552</v>
      </c>
      <c r="AC2058" s="11">
        <v>5.9190052792442343</v>
      </c>
      <c r="AD2058" s="9">
        <v>1974.3870056497174</v>
      </c>
      <c r="AE2058" s="8">
        <v>0.20300751879699247</v>
      </c>
    </row>
    <row r="2059" spans="1:31" x14ac:dyDescent="0.35">
      <c r="A2059" s="6" t="s">
        <v>2080</v>
      </c>
      <c r="B2059" s="7">
        <v>2</v>
      </c>
      <c r="C2059" s="7">
        <v>1</v>
      </c>
      <c r="D2059" s="7">
        <v>14</v>
      </c>
      <c r="E2059" s="7">
        <v>1</v>
      </c>
      <c r="F2059">
        <v>29315</v>
      </c>
      <c r="G2059">
        <v>-119</v>
      </c>
      <c r="H2059">
        <v>-0.4</v>
      </c>
      <c r="I2059">
        <v>-132</v>
      </c>
      <c r="J2059">
        <v>-0.45</v>
      </c>
      <c r="K2059">
        <v>40351</v>
      </c>
      <c r="L2059">
        <v>23911</v>
      </c>
      <c r="M2059">
        <v>16439</v>
      </c>
      <c r="N2059">
        <v>286.81</v>
      </c>
      <c r="O2059">
        <v>-0.79</v>
      </c>
      <c r="P2059">
        <v>0</v>
      </c>
      <c r="Q2059">
        <v>1.1599999999999999</v>
      </c>
      <c r="R2059">
        <v>0.57999999999999996</v>
      </c>
      <c r="S2059">
        <v>-155</v>
      </c>
      <c r="T2059">
        <v>17203</v>
      </c>
      <c r="U2059">
        <v>34489</v>
      </c>
      <c r="V2059">
        <v>337</v>
      </c>
      <c r="W2059">
        <v>79.7</v>
      </c>
      <c r="X2059" s="10">
        <v>9.9400637035515216E-2</v>
      </c>
      <c r="Y2059" s="9">
        <v>20500</v>
      </c>
      <c r="Z2059" s="9">
        <v>16700</v>
      </c>
      <c r="AA2059" s="9">
        <v>19800</v>
      </c>
      <c r="AB2059">
        <v>0.81578947368421051</v>
      </c>
      <c r="AC2059" s="11">
        <v>19.349819394276189</v>
      </c>
      <c r="AD2059" s="9">
        <v>17953.163841807909</v>
      </c>
      <c r="AE2059" s="8">
        <v>-2.2222222222222223E-2</v>
      </c>
    </row>
    <row r="2060" spans="1:31" x14ac:dyDescent="0.35">
      <c r="A2060" s="6" t="s">
        <v>2081</v>
      </c>
      <c r="B2060" s="7">
        <v>15</v>
      </c>
      <c r="C2060" s="7">
        <v>1</v>
      </c>
      <c r="D2060" s="7">
        <v>2</v>
      </c>
      <c r="E2060" s="7">
        <v>0</v>
      </c>
      <c r="F2060">
        <v>6312</v>
      </c>
      <c r="G2060">
        <v>343</v>
      </c>
      <c r="H2060">
        <v>5.43</v>
      </c>
      <c r="I2060">
        <v>229</v>
      </c>
      <c r="J2060">
        <v>3.63</v>
      </c>
      <c r="K2060">
        <v>3400</v>
      </c>
      <c r="L2060">
        <v>1233</v>
      </c>
      <c r="M2060">
        <v>2167</v>
      </c>
      <c r="N2060">
        <v>1174.68</v>
      </c>
      <c r="O2060">
        <v>11.14</v>
      </c>
      <c r="P2060">
        <v>27.85</v>
      </c>
      <c r="Q2060">
        <v>3.05</v>
      </c>
      <c r="R2060">
        <v>1.01</v>
      </c>
      <c r="S2060">
        <v>1361</v>
      </c>
      <c r="T2060">
        <v>12421</v>
      </c>
      <c r="U2060">
        <v>37478</v>
      </c>
      <c r="V2060">
        <v>397</v>
      </c>
      <c r="W2060">
        <v>16.489999999999998</v>
      </c>
      <c r="X2060" s="10">
        <v>0.59396076364082195</v>
      </c>
      <c r="Y2060" s="9">
        <v>43250</v>
      </c>
      <c r="Z2060" s="9">
        <v>31200</v>
      </c>
      <c r="AA2060" s="9">
        <v>40100</v>
      </c>
      <c r="AB2060">
        <v>0.7385892116182573</v>
      </c>
      <c r="AC2060" s="11">
        <v>155.7418727424284</v>
      </c>
      <c r="AD2060" s="9">
        <v>33089.0395480226</v>
      </c>
      <c r="AE2060" s="8">
        <v>6.933333333333333E-2</v>
      </c>
    </row>
    <row r="2061" spans="1:31" x14ac:dyDescent="0.35">
      <c r="A2061" s="6" t="s">
        <v>2082</v>
      </c>
      <c r="B2061" s="7">
        <v>6</v>
      </c>
      <c r="C2061" s="7">
        <v>3</v>
      </c>
      <c r="D2061" s="7">
        <v>2</v>
      </c>
      <c r="E2061" s="7">
        <v>7</v>
      </c>
      <c r="F2061">
        <v>184517</v>
      </c>
      <c r="G2061">
        <v>19139</v>
      </c>
      <c r="H2061">
        <v>10.37</v>
      </c>
      <c r="I2061">
        <v>21385</v>
      </c>
      <c r="J2061">
        <v>11.59</v>
      </c>
      <c r="K2061">
        <v>217880</v>
      </c>
      <c r="L2061">
        <v>46133</v>
      </c>
      <c r="M2061">
        <v>171746</v>
      </c>
      <c r="N2061">
        <v>3421.98</v>
      </c>
      <c r="O2061">
        <v>13.16</v>
      </c>
      <c r="P2061">
        <v>10.54</v>
      </c>
      <c r="Q2061">
        <v>1.4</v>
      </c>
      <c r="R2061">
        <v>1.22</v>
      </c>
      <c r="S2061">
        <v>22383</v>
      </c>
      <c r="T2061">
        <v>168773</v>
      </c>
      <c r="U2061">
        <v>193106</v>
      </c>
      <c r="V2061">
        <v>21560</v>
      </c>
      <c r="W2061">
        <v>10.66</v>
      </c>
      <c r="X2061" s="10">
        <v>0.16787025279383802</v>
      </c>
      <c r="Y2061" s="9">
        <v>265500</v>
      </c>
      <c r="Z2061" s="9">
        <v>229000</v>
      </c>
      <c r="AA2061" s="9">
        <v>246000</v>
      </c>
      <c r="AB2061">
        <v>0.46575342465753422</v>
      </c>
      <c r="AC2061" s="11">
        <v>194.49847179772155</v>
      </c>
      <c r="AD2061" s="9">
        <v>242451.12994350283</v>
      </c>
      <c r="AE2061" s="8">
        <v>3.7974683544303799E-2</v>
      </c>
    </row>
    <row r="2062" spans="1:31" x14ac:dyDescent="0.35">
      <c r="A2062" s="6" t="s">
        <v>2083</v>
      </c>
      <c r="B2062" s="7">
        <v>1</v>
      </c>
      <c r="C2062" s="7">
        <v>1</v>
      </c>
      <c r="D2062" s="7">
        <v>3</v>
      </c>
      <c r="E2062" s="7">
        <v>13</v>
      </c>
      <c r="F2062">
        <v>33653</v>
      </c>
      <c r="G2062">
        <v>-8324</v>
      </c>
      <c r="H2062">
        <v>-24.73</v>
      </c>
      <c r="I2062">
        <v>-6953</v>
      </c>
      <c r="J2062">
        <v>-20.66</v>
      </c>
      <c r="K2062">
        <v>49877</v>
      </c>
      <c r="L2062">
        <v>31760</v>
      </c>
      <c r="M2062">
        <v>18117</v>
      </c>
      <c r="N2062">
        <v>1741.25</v>
      </c>
      <c r="O2062">
        <v>-27.9</v>
      </c>
      <c r="P2062">
        <v>0</v>
      </c>
      <c r="Q2062">
        <v>0.77</v>
      </c>
      <c r="R2062">
        <v>0.41</v>
      </c>
      <c r="S2062">
        <v>-35482</v>
      </c>
      <c r="T2062">
        <v>90300</v>
      </c>
      <c r="U2062">
        <v>171738</v>
      </c>
      <c r="V2062">
        <v>-7888</v>
      </c>
      <c r="W2062">
        <v>-1.83</v>
      </c>
      <c r="X2062" s="10">
        <v>0.30802137268969804</v>
      </c>
      <c r="Y2062" s="9">
        <v>83000</v>
      </c>
      <c r="Z2062" s="9">
        <v>65100</v>
      </c>
      <c r="AA2062" s="9">
        <v>73800</v>
      </c>
      <c r="AB2062">
        <v>0.48603351955307261</v>
      </c>
      <c r="AC2062" s="11">
        <v>138.63295359822172</v>
      </c>
      <c r="AD2062" s="9">
        <v>69431.694915254237</v>
      </c>
      <c r="AE2062" s="8">
        <v>6.0344827586206899E-2</v>
      </c>
    </row>
    <row r="2063" spans="1:31" x14ac:dyDescent="0.35">
      <c r="A2063" s="6" t="s">
        <v>2084</v>
      </c>
      <c r="B2063" s="7">
        <v>3</v>
      </c>
      <c r="C2063" s="7">
        <v>0</v>
      </c>
      <c r="D2063" s="7">
        <v>7</v>
      </c>
      <c r="E2063" s="7">
        <v>8</v>
      </c>
      <c r="F2063">
        <v>11210</v>
      </c>
      <c r="G2063">
        <v>2688</v>
      </c>
      <c r="H2063">
        <v>23.98</v>
      </c>
      <c r="I2063">
        <v>2212</v>
      </c>
      <c r="J2063">
        <v>19.73</v>
      </c>
      <c r="K2063">
        <v>40683</v>
      </c>
      <c r="L2063">
        <v>12097</v>
      </c>
      <c r="M2063">
        <v>28586</v>
      </c>
      <c r="N2063">
        <v>2388.79</v>
      </c>
      <c r="O2063">
        <v>8.01</v>
      </c>
      <c r="P2063">
        <v>12.81</v>
      </c>
      <c r="Q2063">
        <v>1.02</v>
      </c>
      <c r="R2063">
        <v>2.5299999999999998</v>
      </c>
      <c r="S2063">
        <v>9602</v>
      </c>
      <c r="T2063">
        <v>120328</v>
      </c>
      <c r="U2063">
        <v>48667</v>
      </c>
      <c r="V2063">
        <v>3380</v>
      </c>
      <c r="W2063">
        <v>9.16</v>
      </c>
      <c r="X2063" s="10">
        <v>0.85806592590599051</v>
      </c>
      <c r="Y2063" s="9">
        <v>149000</v>
      </c>
      <c r="Z2063" s="9">
        <v>116000</v>
      </c>
      <c r="AA2063" s="9">
        <v>148500</v>
      </c>
      <c r="AB2063">
        <v>0.98484848484848486</v>
      </c>
      <c r="AC2063" s="11">
        <v>534.39844401222558</v>
      </c>
      <c r="AD2063" s="9">
        <v>114000.84745762713</v>
      </c>
      <c r="AE2063" s="8">
        <v>0.19758064516129031</v>
      </c>
    </row>
    <row r="2064" spans="1:31" x14ac:dyDescent="0.35">
      <c r="A2064" s="6" t="s">
        <v>2085</v>
      </c>
      <c r="B2064" s="7">
        <v>10</v>
      </c>
      <c r="C2064" s="7">
        <v>4</v>
      </c>
      <c r="D2064" s="7">
        <v>3</v>
      </c>
      <c r="E2064" s="7">
        <v>1</v>
      </c>
      <c r="F2064">
        <v>7116</v>
      </c>
      <c r="G2064">
        <v>484</v>
      </c>
      <c r="H2064">
        <v>6.8</v>
      </c>
      <c r="I2064">
        <v>296</v>
      </c>
      <c r="J2064">
        <v>4.16</v>
      </c>
      <c r="K2064">
        <v>6304</v>
      </c>
      <c r="L2064">
        <v>3078</v>
      </c>
      <c r="M2064">
        <v>3226</v>
      </c>
      <c r="N2064">
        <v>324.8</v>
      </c>
      <c r="O2064">
        <v>9.58</v>
      </c>
      <c r="P2064">
        <v>8.66</v>
      </c>
      <c r="Q2064">
        <v>0.85</v>
      </c>
      <c r="R2064">
        <v>0.36</v>
      </c>
      <c r="S2064">
        <v>1951</v>
      </c>
      <c r="T2064">
        <v>19995</v>
      </c>
      <c r="U2064">
        <v>46854</v>
      </c>
      <c r="V2064">
        <v>700</v>
      </c>
      <c r="W2064">
        <v>6.24</v>
      </c>
      <c r="X2064" s="10">
        <v>1.563813234754714E-3</v>
      </c>
      <c r="Y2064" s="9">
        <v>17300</v>
      </c>
      <c r="Z2064" s="9">
        <v>14150</v>
      </c>
      <c r="AA2064" s="9">
        <v>14850</v>
      </c>
      <c r="AB2064">
        <v>0.22222222222222221</v>
      </c>
      <c r="AC2064" s="11">
        <v>-1.6462906362878587</v>
      </c>
      <c r="AD2064" s="9">
        <v>15384.378531073446</v>
      </c>
      <c r="AE2064" s="8">
        <v>-0.1416184971098266</v>
      </c>
    </row>
    <row r="2065" spans="1:31" x14ac:dyDescent="0.35">
      <c r="A2065" s="6" t="s">
        <v>2086</v>
      </c>
      <c r="B2065" s="7">
        <v>0</v>
      </c>
      <c r="C2065" s="7">
        <v>0</v>
      </c>
      <c r="D2065" s="7">
        <v>0</v>
      </c>
      <c r="E2065" s="7">
        <v>18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 s="10">
        <v>0.68238756425541769</v>
      </c>
      <c r="Y2065" s="9">
        <v>42300</v>
      </c>
      <c r="Z2065" s="9">
        <v>23900</v>
      </c>
      <c r="AA2065" s="9">
        <v>31350</v>
      </c>
      <c r="AB2065">
        <v>0.40489130434782611</v>
      </c>
      <c r="AC2065" s="11">
        <v>201.01000277854956</v>
      </c>
      <c r="AD2065" s="9">
        <v>22915.028248587572</v>
      </c>
      <c r="AE2065" s="8">
        <v>0.27439024390243905</v>
      </c>
    </row>
    <row r="2066" spans="1:31" x14ac:dyDescent="0.35">
      <c r="A2066" s="6" t="s">
        <v>2087</v>
      </c>
      <c r="B2066" s="7">
        <v>3</v>
      </c>
      <c r="C2066" s="7">
        <v>13</v>
      </c>
      <c r="D2066" s="7">
        <v>0</v>
      </c>
      <c r="E2066" s="7">
        <v>2</v>
      </c>
      <c r="F2066">
        <v>31520</v>
      </c>
      <c r="G2066">
        <v>1554</v>
      </c>
      <c r="H2066">
        <v>4.93</v>
      </c>
      <c r="I2066">
        <v>404</v>
      </c>
      <c r="J2066">
        <v>1.28</v>
      </c>
      <c r="K2066">
        <v>49547</v>
      </c>
      <c r="L2066">
        <v>26428</v>
      </c>
      <c r="M2066">
        <v>23119</v>
      </c>
      <c r="N2066">
        <v>535.59</v>
      </c>
      <c r="O2066">
        <v>1.76</v>
      </c>
      <c r="P2066">
        <v>70.489999999999995</v>
      </c>
      <c r="Q2066">
        <v>1.27</v>
      </c>
      <c r="R2066">
        <v>0.9</v>
      </c>
      <c r="S2066">
        <v>549</v>
      </c>
      <c r="T2066">
        <v>30570</v>
      </c>
      <c r="U2066">
        <v>42836</v>
      </c>
      <c r="V2066">
        <v>1759</v>
      </c>
      <c r="W2066">
        <v>22.06</v>
      </c>
      <c r="X2066" s="10">
        <v>0.82234622857034045</v>
      </c>
      <c r="Y2066" s="9">
        <v>56100</v>
      </c>
      <c r="Z2066" s="9">
        <v>38000</v>
      </c>
      <c r="AA2066" s="9">
        <v>56100</v>
      </c>
      <c r="AB2066">
        <v>1</v>
      </c>
      <c r="AC2066" s="11">
        <v>240.42511808835792</v>
      </c>
      <c r="AD2066" s="9">
        <v>37805.367231638418</v>
      </c>
      <c r="AE2066" s="8">
        <v>0.43478260869565216</v>
      </c>
    </row>
    <row r="2067" spans="1:31" x14ac:dyDescent="0.35">
      <c r="A2067" s="6" t="s">
        <v>2088</v>
      </c>
      <c r="B2067" s="7">
        <v>3</v>
      </c>
      <c r="C2067" s="7">
        <v>7</v>
      </c>
      <c r="D2067" s="7">
        <v>4</v>
      </c>
      <c r="E2067" s="7">
        <v>4</v>
      </c>
      <c r="F2067">
        <v>45910</v>
      </c>
      <c r="G2067">
        <v>318</v>
      </c>
      <c r="H2067">
        <v>0.69</v>
      </c>
      <c r="I2067">
        <v>462</v>
      </c>
      <c r="J2067">
        <v>1.01</v>
      </c>
      <c r="K2067">
        <v>14680</v>
      </c>
      <c r="L2067">
        <v>10416</v>
      </c>
      <c r="M2067">
        <v>4264</v>
      </c>
      <c r="N2067">
        <v>281.87</v>
      </c>
      <c r="O2067">
        <v>11.01</v>
      </c>
      <c r="P2067">
        <v>14.51</v>
      </c>
      <c r="Q2067">
        <v>1.79</v>
      </c>
      <c r="R2067">
        <v>0.15</v>
      </c>
      <c r="S2067">
        <v>2068</v>
      </c>
      <c r="T2067">
        <v>16753</v>
      </c>
      <c r="U2067">
        <v>205601</v>
      </c>
      <c r="V2067">
        <v>359</v>
      </c>
      <c r="W2067">
        <v>22.98</v>
      </c>
      <c r="X2067" s="10">
        <v>0.393824091274532</v>
      </c>
      <c r="Y2067" s="9">
        <v>30000</v>
      </c>
      <c r="Z2067" s="9">
        <v>25700</v>
      </c>
      <c r="AA2067" s="9">
        <v>26900</v>
      </c>
      <c r="AB2067">
        <v>0.27906976744186046</v>
      </c>
      <c r="AC2067" s="11">
        <v>-37.557654904140037</v>
      </c>
      <c r="AD2067" s="9">
        <v>29240.508474576272</v>
      </c>
      <c r="AE2067" s="8">
        <v>-0.1018363939899833</v>
      </c>
    </row>
    <row r="2068" spans="1:31" x14ac:dyDescent="0.35">
      <c r="A2068" s="6" t="s">
        <v>2089</v>
      </c>
      <c r="B2068" s="7">
        <v>6</v>
      </c>
      <c r="C2068" s="7">
        <v>6</v>
      </c>
      <c r="D2068" s="7">
        <v>1</v>
      </c>
      <c r="E2068" s="7">
        <v>5</v>
      </c>
      <c r="F2068">
        <v>62716</v>
      </c>
      <c r="G2068">
        <v>-2584</v>
      </c>
      <c r="H2068">
        <v>-4.12</v>
      </c>
      <c r="I2068">
        <v>637</v>
      </c>
      <c r="J2068">
        <v>1.02</v>
      </c>
      <c r="K2068">
        <v>64768</v>
      </c>
      <c r="L2068">
        <v>58273</v>
      </c>
      <c r="M2068">
        <v>6495</v>
      </c>
      <c r="N2068">
        <v>-28.73</v>
      </c>
      <c r="O2068">
        <v>11.51</v>
      </c>
      <c r="P2068">
        <v>27.32</v>
      </c>
      <c r="Q2068">
        <v>3.01</v>
      </c>
      <c r="R2068">
        <v>0.28999999999999998</v>
      </c>
      <c r="S2068">
        <v>366</v>
      </c>
      <c r="T2068">
        <v>3324</v>
      </c>
      <c r="U2068">
        <v>34645</v>
      </c>
      <c r="V2068">
        <v>-617</v>
      </c>
      <c r="W2068">
        <v>-101.59</v>
      </c>
      <c r="X2068" s="10">
        <v>0.58422921243369808</v>
      </c>
      <c r="Y2068" s="9">
        <v>11000</v>
      </c>
      <c r="Z2068" s="9">
        <v>8760</v>
      </c>
      <c r="AA2068" s="9">
        <v>9300</v>
      </c>
      <c r="AB2068">
        <v>0.24107142857142858</v>
      </c>
      <c r="AC2068" s="11">
        <v>-25.875520978049458</v>
      </c>
      <c r="AD2068" s="9">
        <v>10461.203389830509</v>
      </c>
      <c r="AE2068" s="8">
        <v>-6.0606060606060608E-2</v>
      </c>
    </row>
    <row r="2069" spans="1:31" x14ac:dyDescent="0.35">
      <c r="A2069" s="6" t="s">
        <v>2090</v>
      </c>
      <c r="B2069" s="7">
        <v>3</v>
      </c>
      <c r="C2069" s="7">
        <v>9</v>
      </c>
      <c r="D2069" s="7">
        <v>4</v>
      </c>
      <c r="E2069" s="7">
        <v>2</v>
      </c>
      <c r="F2069">
        <v>3251</v>
      </c>
      <c r="G2069">
        <v>487</v>
      </c>
      <c r="H2069">
        <v>14.98</v>
      </c>
      <c r="I2069">
        <v>2829</v>
      </c>
      <c r="J2069">
        <v>87.04</v>
      </c>
      <c r="K2069">
        <v>4696</v>
      </c>
      <c r="L2069">
        <v>4137</v>
      </c>
      <c r="M2069">
        <v>559</v>
      </c>
      <c r="N2069">
        <v>90.83</v>
      </c>
      <c r="O2069">
        <v>0</v>
      </c>
      <c r="P2069">
        <v>0.26</v>
      </c>
      <c r="Q2069">
        <v>1.76</v>
      </c>
      <c r="R2069">
        <v>0.22</v>
      </c>
      <c r="S2069">
        <v>41176</v>
      </c>
      <c r="T2069">
        <v>6010</v>
      </c>
      <c r="U2069">
        <v>47307</v>
      </c>
      <c r="V2069">
        <v>623</v>
      </c>
      <c r="W2069">
        <v>3.1</v>
      </c>
      <c r="X2069" s="10">
        <v>0.83498789786518279</v>
      </c>
      <c r="Y2069" s="9">
        <v>24900</v>
      </c>
      <c r="Z2069" s="9">
        <v>10550</v>
      </c>
      <c r="AA2069" s="9">
        <v>23300</v>
      </c>
      <c r="AB2069">
        <v>0.88850174216027877</v>
      </c>
      <c r="AC2069" s="11">
        <v>212.77854959711033</v>
      </c>
      <c r="AD2069" s="9">
        <v>9861.9209039548005</v>
      </c>
      <c r="AE2069" s="8">
        <v>1.1376146788990826</v>
      </c>
    </row>
    <row r="2070" spans="1:31" x14ac:dyDescent="0.35">
      <c r="A2070" s="6" t="s">
        <v>2091</v>
      </c>
      <c r="B2070" s="7">
        <v>2</v>
      </c>
      <c r="C2070" s="7">
        <v>9</v>
      </c>
      <c r="D2070" s="7">
        <v>2</v>
      </c>
      <c r="E2070" s="7">
        <v>5</v>
      </c>
      <c r="F2070">
        <v>172</v>
      </c>
      <c r="G2070">
        <v>3</v>
      </c>
      <c r="H2070">
        <v>1.88</v>
      </c>
      <c r="I2070">
        <v>-9</v>
      </c>
      <c r="J2070">
        <v>-5.38</v>
      </c>
      <c r="K2070">
        <v>303</v>
      </c>
      <c r="L2070">
        <v>97</v>
      </c>
      <c r="M2070">
        <v>205</v>
      </c>
      <c r="N2070">
        <v>38.26</v>
      </c>
      <c r="O2070">
        <v>-5.87</v>
      </c>
      <c r="P2070">
        <v>0</v>
      </c>
      <c r="Q2070">
        <v>3.06</v>
      </c>
      <c r="R2070">
        <v>0</v>
      </c>
      <c r="S2070">
        <v>-41</v>
      </c>
      <c r="T2070">
        <v>656</v>
      </c>
      <c r="U2070">
        <v>0</v>
      </c>
      <c r="V2070">
        <v>15</v>
      </c>
      <c r="W2070">
        <v>43.04</v>
      </c>
      <c r="X2070" s="10">
        <v>4.3819834922894112E-4</v>
      </c>
      <c r="Y2070" s="9">
        <v>9550</v>
      </c>
      <c r="Z2070" s="9">
        <v>4610</v>
      </c>
      <c r="AA2070" s="9">
        <v>6870</v>
      </c>
      <c r="AB2070">
        <v>0.45748987854251011</v>
      </c>
      <c r="AC2070" s="11">
        <v>-1.4210891914420603</v>
      </c>
      <c r="AD2070" s="9">
        <v>6547.926553672316</v>
      </c>
      <c r="AE2070" s="8">
        <v>0.26055045871559634</v>
      </c>
    </row>
    <row r="2071" spans="1:31" x14ac:dyDescent="0.35">
      <c r="A2071" s="6" t="s">
        <v>2092</v>
      </c>
      <c r="B2071" s="7">
        <v>16</v>
      </c>
      <c r="C2071" s="7">
        <v>2</v>
      </c>
      <c r="D2071" s="7">
        <v>0</v>
      </c>
      <c r="E2071" s="7">
        <v>0</v>
      </c>
      <c r="F2071">
        <v>1078</v>
      </c>
      <c r="G2071">
        <v>23</v>
      </c>
      <c r="H2071">
        <v>2.09</v>
      </c>
      <c r="I2071">
        <v>15</v>
      </c>
      <c r="J2071">
        <v>1.36</v>
      </c>
      <c r="K2071">
        <v>1473</v>
      </c>
      <c r="L2071">
        <v>426</v>
      </c>
      <c r="M2071">
        <v>1047</v>
      </c>
      <c r="N2071">
        <v>744.42</v>
      </c>
      <c r="O2071">
        <v>1.43</v>
      </c>
      <c r="P2071">
        <v>39.369999999999997</v>
      </c>
      <c r="Q2071">
        <v>0.67</v>
      </c>
      <c r="R2071">
        <v>0.54</v>
      </c>
      <c r="S2071">
        <v>63</v>
      </c>
      <c r="T2071">
        <v>3675</v>
      </c>
      <c r="U2071">
        <v>4599</v>
      </c>
      <c r="V2071">
        <v>42</v>
      </c>
      <c r="W2071">
        <v>17.88</v>
      </c>
      <c r="X2071" s="10">
        <v>0.78261180498863381</v>
      </c>
      <c r="Y2071" s="9">
        <v>3130</v>
      </c>
      <c r="Z2071" s="9">
        <v>2415</v>
      </c>
      <c r="AA2071" s="9">
        <v>2940</v>
      </c>
      <c r="AB2071">
        <v>0.73426573426573427</v>
      </c>
      <c r="AC2071" s="11">
        <v>8.2345095859961095</v>
      </c>
      <c r="AD2071" s="9">
        <v>2416.3474576271187</v>
      </c>
      <c r="AE2071" s="8">
        <v>0.20491803278688525</v>
      </c>
    </row>
    <row r="2072" spans="1:31" x14ac:dyDescent="0.35">
      <c r="A2072" s="6" t="s">
        <v>2093</v>
      </c>
      <c r="B2072" s="7">
        <v>0</v>
      </c>
      <c r="C2072" s="7">
        <v>0</v>
      </c>
      <c r="D2072" s="7">
        <v>0</v>
      </c>
      <c r="E2072" s="7">
        <v>18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 s="10">
        <v>0.76966486263641887</v>
      </c>
      <c r="Y2072" s="9">
        <v>2250</v>
      </c>
      <c r="Z2072" s="9">
        <v>1995</v>
      </c>
      <c r="AA2072" s="9">
        <v>2165</v>
      </c>
      <c r="AB2072">
        <v>0.66666666666666663</v>
      </c>
      <c r="AC2072" s="11">
        <v>3.4941650458460689</v>
      </c>
      <c r="AD2072" s="9">
        <v>2016.5112994350284</v>
      </c>
      <c r="AE2072" s="8">
        <v>7.7114427860696513E-2</v>
      </c>
    </row>
    <row r="2073" spans="1:31" x14ac:dyDescent="0.35">
      <c r="A2073" s="6" t="s">
        <v>2094</v>
      </c>
      <c r="B2073" s="7">
        <v>6</v>
      </c>
      <c r="C2073" s="7">
        <v>3</v>
      </c>
      <c r="D2073" s="7">
        <v>4</v>
      </c>
      <c r="E2073" s="7">
        <v>5</v>
      </c>
      <c r="F2073">
        <v>418</v>
      </c>
      <c r="G2073">
        <v>88</v>
      </c>
      <c r="H2073">
        <v>21.05</v>
      </c>
      <c r="I2073">
        <v>136</v>
      </c>
      <c r="J2073">
        <v>32.479999999999997</v>
      </c>
      <c r="K2073">
        <v>4159</v>
      </c>
      <c r="L2073">
        <v>109</v>
      </c>
      <c r="M2073">
        <v>4049</v>
      </c>
      <c r="N2073">
        <v>650.80999999999995</v>
      </c>
      <c r="O2073">
        <v>3.39</v>
      </c>
      <c r="P2073">
        <v>35.200000000000003</v>
      </c>
      <c r="Q2073">
        <v>1.18</v>
      </c>
      <c r="R2073">
        <v>12.67</v>
      </c>
      <c r="S2073">
        <v>126</v>
      </c>
      <c r="T2073">
        <v>3743</v>
      </c>
      <c r="U2073">
        <v>350</v>
      </c>
      <c r="V2073">
        <v>139</v>
      </c>
      <c r="W2073">
        <v>34.4</v>
      </c>
      <c r="X2073" s="10">
        <v>0.56746898450998629</v>
      </c>
      <c r="Y2073" s="9">
        <v>4940</v>
      </c>
      <c r="Z2073" s="9">
        <v>4270</v>
      </c>
      <c r="AA2073" s="9">
        <v>4755</v>
      </c>
      <c r="AB2073">
        <v>0.72388059701492535</v>
      </c>
      <c r="AC2073" s="11">
        <v>6.1911642122811887</v>
      </c>
      <c r="AD2073" s="9">
        <v>4318.0028248587569</v>
      </c>
      <c r="AE2073" s="8">
        <v>9.5622119815668205E-2</v>
      </c>
    </row>
    <row r="2074" spans="1:31" x14ac:dyDescent="0.35">
      <c r="A2074" s="6" t="s">
        <v>2095</v>
      </c>
      <c r="B2074" s="7">
        <v>4</v>
      </c>
      <c r="C2074" s="7">
        <v>4</v>
      </c>
      <c r="D2074" s="7">
        <v>2</v>
      </c>
      <c r="E2074" s="7">
        <v>8</v>
      </c>
      <c r="F2074">
        <v>12111</v>
      </c>
      <c r="G2074">
        <v>1288</v>
      </c>
      <c r="H2074">
        <v>10.63</v>
      </c>
      <c r="I2074">
        <v>-2207</v>
      </c>
      <c r="J2074">
        <v>-18.22</v>
      </c>
      <c r="K2074">
        <v>12343</v>
      </c>
      <c r="L2074">
        <v>6603</v>
      </c>
      <c r="M2074">
        <v>5740</v>
      </c>
      <c r="N2074">
        <v>484.78</v>
      </c>
      <c r="O2074">
        <v>-36.76</v>
      </c>
      <c r="P2074">
        <v>0</v>
      </c>
      <c r="Q2074">
        <v>2.0099999999999998</v>
      </c>
      <c r="R2074">
        <v>0.89</v>
      </c>
      <c r="S2074">
        <v>-11858</v>
      </c>
      <c r="T2074">
        <v>28954</v>
      </c>
      <c r="U2074">
        <v>65065</v>
      </c>
      <c r="V2074">
        <v>1362</v>
      </c>
      <c r="W2074">
        <v>9.61</v>
      </c>
      <c r="X2074" s="10">
        <v>0.68144147791700693</v>
      </c>
      <c r="Y2074" s="9">
        <v>71900</v>
      </c>
      <c r="Z2074" s="9">
        <v>55700</v>
      </c>
      <c r="AA2074" s="9">
        <v>69600</v>
      </c>
      <c r="AB2074">
        <v>0.85802469135802473</v>
      </c>
      <c r="AC2074" s="11">
        <v>186.46568491247575</v>
      </c>
      <c r="AD2074" s="9">
        <v>57921.129943502827</v>
      </c>
      <c r="AE2074" s="8">
        <v>0.24955116696588869</v>
      </c>
    </row>
    <row r="2075" spans="1:31" x14ac:dyDescent="0.35">
      <c r="A2075" s="6" t="s">
        <v>2096</v>
      </c>
      <c r="B2075" s="7">
        <v>9</v>
      </c>
      <c r="C2075" s="7">
        <v>1</v>
      </c>
      <c r="D2075" s="7">
        <v>4</v>
      </c>
      <c r="E2075" s="7">
        <v>4</v>
      </c>
      <c r="F2075">
        <v>68170</v>
      </c>
      <c r="G2075">
        <v>4576</v>
      </c>
      <c r="H2075">
        <v>6.71</v>
      </c>
      <c r="I2075">
        <v>4047</v>
      </c>
      <c r="J2075">
        <v>5.94</v>
      </c>
      <c r="K2075">
        <v>53647</v>
      </c>
      <c r="L2075">
        <v>26795</v>
      </c>
      <c r="M2075">
        <v>26852</v>
      </c>
      <c r="N2075">
        <v>1960.69</v>
      </c>
      <c r="O2075">
        <v>16.920000000000002</v>
      </c>
      <c r="P2075">
        <v>11.25</v>
      </c>
      <c r="Q2075">
        <v>1.94</v>
      </c>
      <c r="R2075">
        <v>0.67</v>
      </c>
      <c r="S2075">
        <v>15644</v>
      </c>
      <c r="T2075">
        <v>90871</v>
      </c>
      <c r="U2075">
        <v>263519</v>
      </c>
      <c r="V2075">
        <v>5680</v>
      </c>
      <c r="W2075">
        <v>8.52</v>
      </c>
      <c r="X2075" s="10">
        <v>0.59752445868862725</v>
      </c>
      <c r="Y2075" s="9">
        <v>192500</v>
      </c>
      <c r="Z2075" s="9">
        <v>135000</v>
      </c>
      <c r="AA2075" s="9">
        <v>141000</v>
      </c>
      <c r="AB2075">
        <v>0.10434782608695652</v>
      </c>
      <c r="AC2075" s="11">
        <v>-741.31703250903035</v>
      </c>
      <c r="AD2075" s="9">
        <v>178676.83615819208</v>
      </c>
      <c r="AE2075" s="8">
        <v>-0.20786516853932585</v>
      </c>
    </row>
    <row r="2076" spans="1:31" x14ac:dyDescent="0.35">
      <c r="A2076" s="6" t="s">
        <v>2097</v>
      </c>
      <c r="B2076" s="7">
        <v>3</v>
      </c>
      <c r="C2076" s="7">
        <v>8</v>
      </c>
      <c r="D2076" s="7">
        <v>0</v>
      </c>
      <c r="E2076" s="7">
        <v>7</v>
      </c>
      <c r="F2076">
        <v>1420</v>
      </c>
      <c r="G2076">
        <v>-63</v>
      </c>
      <c r="H2076">
        <v>-4.43</v>
      </c>
      <c r="I2076">
        <v>-93</v>
      </c>
      <c r="J2076">
        <v>-6.58</v>
      </c>
      <c r="K2076">
        <v>1486</v>
      </c>
      <c r="L2076">
        <v>1198</v>
      </c>
      <c r="M2076">
        <v>288</v>
      </c>
      <c r="N2076">
        <v>-42.81</v>
      </c>
      <c r="O2076">
        <v>-29.62</v>
      </c>
      <c r="P2076">
        <v>0</v>
      </c>
      <c r="Q2076">
        <v>3.77</v>
      </c>
      <c r="R2076">
        <v>0.57999999999999996</v>
      </c>
      <c r="S2076">
        <v>-186</v>
      </c>
      <c r="T2076">
        <v>438</v>
      </c>
      <c r="U2076">
        <v>2822</v>
      </c>
      <c r="V2076">
        <v>18</v>
      </c>
      <c r="W2076">
        <v>82.14</v>
      </c>
      <c r="X2076" s="10">
        <v>1.2586456301723932E-2</v>
      </c>
      <c r="Y2076" s="9">
        <v>1740</v>
      </c>
      <c r="Z2076" s="9">
        <v>1520</v>
      </c>
      <c r="AA2076" s="9">
        <v>1570</v>
      </c>
      <c r="AB2076">
        <v>0.22727272727272727</v>
      </c>
      <c r="AC2076" s="11">
        <v>-0.32425673798277305</v>
      </c>
      <c r="AD2076" s="9">
        <v>1614.2231638418079</v>
      </c>
      <c r="AE2076" s="8">
        <v>-7.1005917159763315E-2</v>
      </c>
    </row>
    <row r="2077" spans="1:31" x14ac:dyDescent="0.35">
      <c r="A2077" s="6" t="s">
        <v>2098</v>
      </c>
      <c r="B2077" s="7">
        <v>1</v>
      </c>
      <c r="C2077" s="7">
        <v>7</v>
      </c>
      <c r="D2077" s="7">
        <v>6</v>
      </c>
      <c r="E2077" s="7">
        <v>4</v>
      </c>
      <c r="F2077">
        <v>160329</v>
      </c>
      <c r="G2077">
        <v>14400</v>
      </c>
      <c r="H2077">
        <v>8.98</v>
      </c>
      <c r="I2077">
        <v>7511</v>
      </c>
      <c r="J2077">
        <v>4.68</v>
      </c>
      <c r="K2077">
        <v>283366</v>
      </c>
      <c r="L2077">
        <v>147682</v>
      </c>
      <c r="M2077">
        <v>135684</v>
      </c>
      <c r="N2077">
        <v>2230.5100000000002</v>
      </c>
      <c r="O2077">
        <v>5.62</v>
      </c>
      <c r="P2077">
        <v>9.8000000000000007</v>
      </c>
      <c r="Q2077">
        <v>0.6</v>
      </c>
      <c r="R2077">
        <v>0.46</v>
      </c>
      <c r="S2077">
        <v>6481</v>
      </c>
      <c r="T2077">
        <v>105075</v>
      </c>
      <c r="U2077">
        <v>138360</v>
      </c>
      <c r="V2077">
        <v>26052</v>
      </c>
      <c r="W2077">
        <v>7.13</v>
      </c>
      <c r="X2077" s="10">
        <v>0.60611243312246144</v>
      </c>
      <c r="Y2077" s="9">
        <v>75600</v>
      </c>
      <c r="Z2077" s="9">
        <v>63400</v>
      </c>
      <c r="AA2077" s="9">
        <v>75600</v>
      </c>
      <c r="AB2077">
        <v>1</v>
      </c>
      <c r="AC2077" s="11">
        <v>115.54876354542928</v>
      </c>
      <c r="AD2077" s="9">
        <v>64095.762711864409</v>
      </c>
      <c r="AE2077" s="8">
        <v>0.17391304347826086</v>
      </c>
    </row>
    <row r="2078" spans="1:31" x14ac:dyDescent="0.35">
      <c r="A2078" s="6" t="s">
        <v>2099</v>
      </c>
      <c r="B2078" s="7">
        <v>1</v>
      </c>
      <c r="C2078" s="7">
        <v>0</v>
      </c>
      <c r="D2078" s="7">
        <v>8</v>
      </c>
      <c r="E2078" s="7">
        <v>9</v>
      </c>
      <c r="F2078">
        <v>234635</v>
      </c>
      <c r="G2078">
        <v>-19233</v>
      </c>
      <c r="H2078">
        <v>-8.1999999999999993</v>
      </c>
      <c r="I2078">
        <v>-17547</v>
      </c>
      <c r="J2078">
        <v>-7.48</v>
      </c>
      <c r="K2078">
        <v>319994</v>
      </c>
      <c r="L2078">
        <v>182262</v>
      </c>
      <c r="M2078">
        <v>137732</v>
      </c>
      <c r="N2078">
        <v>3893.07</v>
      </c>
      <c r="O2078">
        <v>-11.96</v>
      </c>
      <c r="P2078">
        <v>0</v>
      </c>
      <c r="Q2078">
        <v>0.65</v>
      </c>
      <c r="R2078">
        <v>0.3</v>
      </c>
      <c r="S2078">
        <v>-28641</v>
      </c>
      <c r="T2078">
        <v>176416</v>
      </c>
      <c r="U2078">
        <v>382837</v>
      </c>
      <c r="V2078">
        <v>-13993</v>
      </c>
      <c r="W2078">
        <v>-10.35</v>
      </c>
      <c r="X2078" s="10">
        <v>0.62558453078053478</v>
      </c>
      <c r="Y2078" s="9">
        <v>131000</v>
      </c>
      <c r="Z2078" s="9">
        <v>95000</v>
      </c>
      <c r="AA2078" s="9">
        <v>123000</v>
      </c>
      <c r="AB2078">
        <v>0.77777777777777779</v>
      </c>
      <c r="AC2078" s="11">
        <v>459.97221450402895</v>
      </c>
      <c r="AD2078" s="9">
        <v>101807.51412429378</v>
      </c>
      <c r="AE2078" s="8">
        <v>6.0344827586206899E-2</v>
      </c>
    </row>
    <row r="2079" spans="1:31" x14ac:dyDescent="0.35">
      <c r="A2079" s="6" t="s">
        <v>2100</v>
      </c>
      <c r="B2079" s="7">
        <v>0</v>
      </c>
      <c r="C2079" s="7">
        <v>15</v>
      </c>
      <c r="D2079" s="7">
        <v>0</v>
      </c>
      <c r="E2079" s="7">
        <v>3</v>
      </c>
      <c r="F2079">
        <v>23627</v>
      </c>
      <c r="G2079">
        <v>223</v>
      </c>
      <c r="H2079">
        <v>0.95</v>
      </c>
      <c r="I2079">
        <v>176</v>
      </c>
      <c r="J2079">
        <v>0.75</v>
      </c>
      <c r="K2079">
        <v>191722</v>
      </c>
      <c r="L2079">
        <v>161055</v>
      </c>
      <c r="M2079">
        <v>30667</v>
      </c>
      <c r="N2079">
        <v>173.34</v>
      </c>
      <c r="O2079">
        <v>0.57999999999999996</v>
      </c>
      <c r="P2079">
        <v>177.44</v>
      </c>
      <c r="Q2079">
        <v>0.55000000000000004</v>
      </c>
      <c r="R2079">
        <v>0.74</v>
      </c>
      <c r="S2079">
        <v>39</v>
      </c>
      <c r="T2079">
        <v>12690</v>
      </c>
      <c r="U2079">
        <v>9331</v>
      </c>
      <c r="V2079">
        <v>0</v>
      </c>
      <c r="W2079">
        <v>0</v>
      </c>
      <c r="X2079" s="10">
        <v>0.51081908777671581</v>
      </c>
      <c r="Y2079" s="9">
        <v>8230</v>
      </c>
      <c r="Z2079" s="9">
        <v>6730</v>
      </c>
      <c r="AA2079" s="9">
        <v>8100</v>
      </c>
      <c r="AB2079">
        <v>0.91333333333333333</v>
      </c>
      <c r="AC2079" s="11">
        <v>14.120311197554875</v>
      </c>
      <c r="AD2079" s="9">
        <v>6917.1638418079092</v>
      </c>
      <c r="AE2079" s="8">
        <v>0.18075801749271136</v>
      </c>
    </row>
    <row r="2080" spans="1:31" x14ac:dyDescent="0.35">
      <c r="A2080" s="6" t="s">
        <v>2101</v>
      </c>
      <c r="B2080" s="7">
        <v>4</v>
      </c>
      <c r="C2080" s="7">
        <v>4</v>
      </c>
      <c r="D2080" s="7">
        <v>4</v>
      </c>
      <c r="E2080" s="7">
        <v>6</v>
      </c>
      <c r="F2080">
        <v>430459</v>
      </c>
      <c r="G2080">
        <v>37355</v>
      </c>
      <c r="H2080">
        <v>8.68</v>
      </c>
      <c r="I2080">
        <v>49137</v>
      </c>
      <c r="J2080">
        <v>11.42</v>
      </c>
      <c r="K2080">
        <v>613434</v>
      </c>
      <c r="L2080">
        <v>156814</v>
      </c>
      <c r="M2080">
        <v>456620</v>
      </c>
      <c r="N2080">
        <v>3052.18</v>
      </c>
      <c r="O2080">
        <v>11.22</v>
      </c>
      <c r="P2080">
        <v>9.35</v>
      </c>
      <c r="Q2080">
        <v>1.1200000000000001</v>
      </c>
      <c r="R2080">
        <v>1.08</v>
      </c>
      <c r="S2080">
        <v>18077</v>
      </c>
      <c r="T2080">
        <v>150272</v>
      </c>
      <c r="U2080">
        <v>156859</v>
      </c>
      <c r="V2080">
        <v>53491</v>
      </c>
      <c r="W2080">
        <v>8.5500000000000007</v>
      </c>
      <c r="X2080" s="10">
        <v>5.0353545080512397E-3</v>
      </c>
      <c r="Y2080" s="9">
        <v>184000</v>
      </c>
      <c r="Z2080" s="9">
        <v>155000</v>
      </c>
      <c r="AA2080" s="9">
        <v>167500</v>
      </c>
      <c r="AB2080">
        <v>0.43103448275862066</v>
      </c>
      <c r="AC2080" s="11">
        <v>28.494026118366218</v>
      </c>
      <c r="AD2080" s="9">
        <v>168189.26553672316</v>
      </c>
      <c r="AE2080" s="8">
        <v>-2.3323615160349854E-2</v>
      </c>
    </row>
    <row r="2081" spans="1:31" x14ac:dyDescent="0.35">
      <c r="A2081" s="6" t="s">
        <v>2102</v>
      </c>
      <c r="B2081" s="7">
        <v>0</v>
      </c>
      <c r="C2081" s="7">
        <v>0</v>
      </c>
      <c r="D2081" s="7">
        <v>0</v>
      </c>
      <c r="E2081" s="7">
        <v>18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 s="10">
        <v>0.53942443429592346</v>
      </c>
      <c r="Y2081" s="9">
        <v>138500</v>
      </c>
      <c r="Z2081" s="9">
        <v>107000</v>
      </c>
      <c r="AA2081" s="9">
        <v>113500</v>
      </c>
      <c r="AB2081">
        <v>0.20634920634920634</v>
      </c>
      <c r="AC2081" s="11">
        <v>-355.97388163378713</v>
      </c>
      <c r="AD2081" s="9">
        <v>131198.87005649717</v>
      </c>
      <c r="AE2081" s="8">
        <v>-0.18050541516245489</v>
      </c>
    </row>
    <row r="2082" spans="1:31" x14ac:dyDescent="0.35">
      <c r="A2082" s="6" t="s">
        <v>2103</v>
      </c>
      <c r="B2082" s="7">
        <v>0</v>
      </c>
      <c r="C2082" s="7">
        <v>0</v>
      </c>
      <c r="D2082" s="7">
        <v>0</v>
      </c>
      <c r="E2082" s="7">
        <v>18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 s="10">
        <v>0.457518571418708</v>
      </c>
      <c r="Y2082" s="9">
        <v>122000</v>
      </c>
      <c r="Z2082" s="9">
        <v>102500</v>
      </c>
      <c r="AA2082" s="9">
        <v>107500</v>
      </c>
      <c r="AB2082">
        <v>0.25641025641025639</v>
      </c>
      <c r="AC2082" s="11">
        <v>-213.05918310641846</v>
      </c>
      <c r="AD2082" s="9">
        <v>118531.63841807909</v>
      </c>
      <c r="AE2082" s="8">
        <v>-9.2827004219409287E-2</v>
      </c>
    </row>
    <row r="2083" spans="1:31" x14ac:dyDescent="0.35">
      <c r="A2083" s="6" t="s">
        <v>2104</v>
      </c>
      <c r="B2083" s="7">
        <v>0</v>
      </c>
      <c r="C2083" s="7">
        <v>0</v>
      </c>
      <c r="D2083" s="7">
        <v>0</v>
      </c>
      <c r="E2083" s="7">
        <v>18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 s="10">
        <v>0.46858236799621295</v>
      </c>
      <c r="Y2083" s="9">
        <v>129000</v>
      </c>
      <c r="Z2083" s="9">
        <v>103500</v>
      </c>
      <c r="AA2083" s="9">
        <v>113000</v>
      </c>
      <c r="AB2083">
        <v>0.37254901960784315</v>
      </c>
      <c r="AC2083" s="11">
        <v>-258.22450680744652</v>
      </c>
      <c r="AD2083" s="9">
        <v>123400.84745762713</v>
      </c>
      <c r="AE2083" s="8">
        <v>-0.12403100775193798</v>
      </c>
    </row>
    <row r="2084" spans="1:31" x14ac:dyDescent="0.35">
      <c r="A2084" s="6" t="s">
        <v>2105</v>
      </c>
      <c r="B2084" s="7">
        <v>6</v>
      </c>
      <c r="C2084" s="7">
        <v>10</v>
      </c>
      <c r="D2084" s="7">
        <v>2</v>
      </c>
      <c r="E2084" s="7">
        <v>0</v>
      </c>
      <c r="F2084">
        <v>733</v>
      </c>
      <c r="G2084">
        <v>53</v>
      </c>
      <c r="H2084">
        <v>7.21</v>
      </c>
      <c r="I2084">
        <v>56</v>
      </c>
      <c r="J2084">
        <v>7.59</v>
      </c>
      <c r="K2084">
        <v>544</v>
      </c>
      <c r="L2084">
        <v>258</v>
      </c>
      <c r="M2084">
        <v>286</v>
      </c>
      <c r="N2084">
        <v>563.9</v>
      </c>
      <c r="O2084">
        <v>21.52</v>
      </c>
      <c r="P2084">
        <v>8.39</v>
      </c>
      <c r="Q2084">
        <v>1.79</v>
      </c>
      <c r="R2084">
        <v>0.64</v>
      </c>
      <c r="S2084">
        <v>645</v>
      </c>
      <c r="T2084">
        <v>3030</v>
      </c>
      <c r="U2084">
        <v>8494</v>
      </c>
      <c r="V2084">
        <v>57</v>
      </c>
      <c r="W2084">
        <v>8.1999999999999993</v>
      </c>
      <c r="X2084" s="10">
        <v>0.74473785581601049</v>
      </c>
      <c r="Y2084" s="9">
        <v>7500</v>
      </c>
      <c r="Z2084" s="9">
        <v>4885</v>
      </c>
      <c r="AA2084" s="9">
        <v>6640</v>
      </c>
      <c r="AB2084">
        <v>0.67112810707456982</v>
      </c>
      <c r="AC2084" s="11">
        <v>37.804529035843288</v>
      </c>
      <c r="AD2084" s="9">
        <v>4745.2118644067796</v>
      </c>
      <c r="AE2084" s="8">
        <v>0.30451866404715128</v>
      </c>
    </row>
    <row r="2085" spans="1:31" x14ac:dyDescent="0.35">
      <c r="A2085" s="6" t="s">
        <v>2106</v>
      </c>
      <c r="B2085" s="7">
        <v>5</v>
      </c>
      <c r="C2085" s="7">
        <v>9</v>
      </c>
      <c r="D2085" s="7">
        <v>1</v>
      </c>
      <c r="E2085" s="7">
        <v>3</v>
      </c>
      <c r="F2085">
        <v>239</v>
      </c>
      <c r="G2085">
        <v>-27</v>
      </c>
      <c r="H2085">
        <v>-11.45</v>
      </c>
      <c r="I2085">
        <v>183</v>
      </c>
      <c r="J2085">
        <v>76.37</v>
      </c>
      <c r="K2085">
        <v>431</v>
      </c>
      <c r="L2085">
        <v>356</v>
      </c>
      <c r="M2085">
        <v>76</v>
      </c>
      <c r="N2085">
        <v>-46.02</v>
      </c>
      <c r="O2085">
        <v>0</v>
      </c>
      <c r="P2085">
        <v>3.07</v>
      </c>
      <c r="Q2085">
        <v>9.6300000000000008</v>
      </c>
      <c r="R2085">
        <v>2.35</v>
      </c>
      <c r="S2085">
        <v>846</v>
      </c>
      <c r="T2085">
        <v>270</v>
      </c>
      <c r="U2085">
        <v>1108</v>
      </c>
      <c r="V2085">
        <v>-25</v>
      </c>
      <c r="W2085">
        <v>-27</v>
      </c>
      <c r="X2085" s="10">
        <v>3.2334012189863121E-2</v>
      </c>
      <c r="Y2085" s="9">
        <v>3020</v>
      </c>
      <c r="Z2085" s="9">
        <v>2070</v>
      </c>
      <c r="AA2085" s="9">
        <v>2570</v>
      </c>
      <c r="AB2085">
        <v>0.52631578947368418</v>
      </c>
      <c r="AC2085" s="11">
        <v>-2.7377049180327875</v>
      </c>
      <c r="AD2085" s="9">
        <v>2583.1666666666665</v>
      </c>
      <c r="AE2085" s="8">
        <v>-0.11379310344827587</v>
      </c>
    </row>
    <row r="2086" spans="1:31" x14ac:dyDescent="0.35">
      <c r="A2086" s="6" t="s">
        <v>2107</v>
      </c>
      <c r="B2086" s="7">
        <v>3</v>
      </c>
      <c r="C2086" s="7">
        <v>8</v>
      </c>
      <c r="D2086" s="7">
        <v>5</v>
      </c>
      <c r="E2086" s="7">
        <v>2</v>
      </c>
      <c r="F2086">
        <v>13738</v>
      </c>
      <c r="G2086">
        <v>567</v>
      </c>
      <c r="H2086">
        <v>4.13</v>
      </c>
      <c r="I2086">
        <v>411</v>
      </c>
      <c r="J2086">
        <v>2.99</v>
      </c>
      <c r="K2086">
        <v>12379</v>
      </c>
      <c r="L2086">
        <v>6108</v>
      </c>
      <c r="M2086">
        <v>6271</v>
      </c>
      <c r="N2086">
        <v>456.25</v>
      </c>
      <c r="O2086">
        <v>7.19</v>
      </c>
      <c r="P2086">
        <v>37.53</v>
      </c>
      <c r="Q2086">
        <v>2.68</v>
      </c>
      <c r="R2086">
        <v>1.1200000000000001</v>
      </c>
      <c r="S2086">
        <v>1937</v>
      </c>
      <c r="T2086">
        <v>27103</v>
      </c>
      <c r="U2086">
        <v>64754</v>
      </c>
      <c r="V2086">
        <v>786</v>
      </c>
      <c r="W2086">
        <v>23.32</v>
      </c>
      <c r="X2086" s="10">
        <v>0.65179453163941004</v>
      </c>
      <c r="Y2086" s="9">
        <v>80000</v>
      </c>
      <c r="Z2086" s="9">
        <v>60400</v>
      </c>
      <c r="AA2086" s="9">
        <v>64600</v>
      </c>
      <c r="AB2086">
        <v>0.21428571428571427</v>
      </c>
      <c r="AC2086" s="11">
        <v>-261.86996387885523</v>
      </c>
      <c r="AD2086" s="9">
        <v>77738.700564971761</v>
      </c>
      <c r="AE2086" s="8">
        <v>-0.11989100817438691</v>
      </c>
    </row>
    <row r="2087" spans="1:31" x14ac:dyDescent="0.35">
      <c r="A2087" s="6" t="s">
        <v>2108</v>
      </c>
      <c r="B2087" s="7">
        <v>2</v>
      </c>
      <c r="C2087" s="7">
        <v>9</v>
      </c>
      <c r="D2087" s="7">
        <v>3</v>
      </c>
      <c r="E2087" s="7">
        <v>4</v>
      </c>
      <c r="F2087">
        <v>132918</v>
      </c>
      <c r="G2087">
        <v>3388</v>
      </c>
      <c r="H2087">
        <v>2.5499999999999998</v>
      </c>
      <c r="I2087">
        <v>2333</v>
      </c>
      <c r="J2087">
        <v>1.76</v>
      </c>
      <c r="K2087">
        <v>276477</v>
      </c>
      <c r="L2087">
        <v>253351</v>
      </c>
      <c r="M2087">
        <v>23126</v>
      </c>
      <c r="N2087">
        <v>5118.49</v>
      </c>
      <c r="O2087">
        <v>10.87</v>
      </c>
      <c r="P2087">
        <v>8.9600000000000009</v>
      </c>
      <c r="Q2087">
        <v>1.02</v>
      </c>
      <c r="R2087">
        <v>0.16</v>
      </c>
      <c r="S2087">
        <v>2902</v>
      </c>
      <c r="T2087">
        <v>25450</v>
      </c>
      <c r="U2087">
        <v>165291</v>
      </c>
      <c r="V2087">
        <v>0</v>
      </c>
      <c r="W2087">
        <v>0</v>
      </c>
      <c r="X2087" s="10">
        <v>6.7226091904419971E-2</v>
      </c>
      <c r="Y2087" s="9">
        <v>27450</v>
      </c>
      <c r="Z2087" s="9">
        <v>24700</v>
      </c>
      <c r="AA2087" s="9">
        <v>24900</v>
      </c>
      <c r="AB2087">
        <v>7.2727272727272724E-2</v>
      </c>
      <c r="AC2087" s="11">
        <v>-10.487635454292858</v>
      </c>
      <c r="AD2087" s="9">
        <v>26292.372881355932</v>
      </c>
      <c r="AE2087" s="8">
        <v>-2.9239766081871343E-2</v>
      </c>
    </row>
    <row r="2088" spans="1:31" x14ac:dyDescent="0.35">
      <c r="A2088" s="6" t="s">
        <v>2109</v>
      </c>
      <c r="B2088" s="7">
        <v>6</v>
      </c>
      <c r="C2088" s="7">
        <v>3</v>
      </c>
      <c r="D2088" s="7">
        <v>7</v>
      </c>
      <c r="E2088" s="7">
        <v>2</v>
      </c>
      <c r="F2088">
        <v>8679</v>
      </c>
      <c r="G2088">
        <v>1451</v>
      </c>
      <c r="H2088">
        <v>16.72</v>
      </c>
      <c r="I2088">
        <v>1478</v>
      </c>
      <c r="J2088">
        <v>17.04</v>
      </c>
      <c r="K2088">
        <v>15503</v>
      </c>
      <c r="L2088">
        <v>2847</v>
      </c>
      <c r="M2088">
        <v>12655</v>
      </c>
      <c r="N2088">
        <v>2044.49</v>
      </c>
      <c r="O2088">
        <v>12.22</v>
      </c>
      <c r="P2088">
        <v>11.19</v>
      </c>
      <c r="Q2088">
        <v>1.31</v>
      </c>
      <c r="R2088">
        <v>1.91</v>
      </c>
      <c r="S2088">
        <v>12331</v>
      </c>
      <c r="T2088">
        <v>105029</v>
      </c>
      <c r="U2088">
        <v>72388</v>
      </c>
      <c r="V2088">
        <v>1532</v>
      </c>
      <c r="W2088">
        <v>10.81</v>
      </c>
      <c r="X2088" s="10">
        <v>3.7181387122404842E-3</v>
      </c>
      <c r="Y2088" s="9">
        <v>139000</v>
      </c>
      <c r="Z2088" s="9">
        <v>118000</v>
      </c>
      <c r="AA2088" s="9">
        <v>127000</v>
      </c>
      <c r="AB2088">
        <v>0.42857142857142855</v>
      </c>
      <c r="AC2088" s="11">
        <v>18.921922756321223</v>
      </c>
      <c r="AD2088" s="9">
        <v>128089.54802259887</v>
      </c>
      <c r="AE2088" s="8">
        <v>-8.3032490974729242E-2</v>
      </c>
    </row>
    <row r="2089" spans="1:31" x14ac:dyDescent="0.35">
      <c r="A2089" s="6" t="s">
        <v>2110</v>
      </c>
      <c r="B2089" s="7">
        <v>1</v>
      </c>
      <c r="C2089" s="7">
        <v>0</v>
      </c>
      <c r="D2089" s="7">
        <v>2</v>
      </c>
      <c r="E2089" s="7">
        <v>15</v>
      </c>
      <c r="F2089">
        <v>854</v>
      </c>
      <c r="G2089">
        <v>-44</v>
      </c>
      <c r="H2089">
        <v>-5.13</v>
      </c>
      <c r="I2089">
        <v>-38</v>
      </c>
      <c r="J2089">
        <v>-4.4400000000000004</v>
      </c>
      <c r="K2089">
        <v>1192</v>
      </c>
      <c r="L2089">
        <v>643</v>
      </c>
      <c r="M2089">
        <v>549</v>
      </c>
      <c r="N2089">
        <v>997.24</v>
      </c>
      <c r="O2089">
        <v>-6.66</v>
      </c>
      <c r="P2089">
        <v>0</v>
      </c>
      <c r="Q2089">
        <v>0.28999999999999998</v>
      </c>
      <c r="R2089">
        <v>0.19</v>
      </c>
      <c r="S2089">
        <v>-379</v>
      </c>
      <c r="T2089">
        <v>5423</v>
      </c>
      <c r="U2089">
        <v>8544</v>
      </c>
      <c r="V2089">
        <v>52</v>
      </c>
      <c r="W2089">
        <v>9.9</v>
      </c>
      <c r="X2089" s="10">
        <v>0.88997842655557791</v>
      </c>
      <c r="Y2089" s="9">
        <v>2185</v>
      </c>
      <c r="Z2089" s="9">
        <v>1590</v>
      </c>
      <c r="AA2089" s="9">
        <v>2185</v>
      </c>
      <c r="AB2089">
        <v>1</v>
      </c>
      <c r="AC2089" s="11">
        <v>8.5216726868574622</v>
      </c>
      <c r="AD2089" s="9">
        <v>1611.0056497175142</v>
      </c>
      <c r="AE2089" s="8">
        <v>0.3363914373088685</v>
      </c>
    </row>
    <row r="2090" spans="1:31" x14ac:dyDescent="0.35">
      <c r="A2090" s="6" t="s">
        <v>2111</v>
      </c>
      <c r="B2090" s="7">
        <v>2</v>
      </c>
      <c r="C2090" s="7">
        <v>3</v>
      </c>
      <c r="D2090" s="7">
        <v>2</v>
      </c>
      <c r="E2090" s="7">
        <v>11</v>
      </c>
      <c r="F2090">
        <v>2971</v>
      </c>
      <c r="G2090">
        <v>-403</v>
      </c>
      <c r="H2090">
        <v>-13.57</v>
      </c>
      <c r="I2090">
        <v>-590</v>
      </c>
      <c r="J2090">
        <v>-19.86</v>
      </c>
      <c r="K2090">
        <v>4482</v>
      </c>
      <c r="L2090">
        <v>3255</v>
      </c>
      <c r="M2090">
        <v>1227</v>
      </c>
      <c r="N2090">
        <v>1441.4</v>
      </c>
      <c r="O2090">
        <v>-39.31</v>
      </c>
      <c r="P2090">
        <v>0</v>
      </c>
      <c r="Q2090">
        <v>0.5</v>
      </c>
      <c r="R2090">
        <v>0.2</v>
      </c>
      <c r="S2090">
        <v>-3772</v>
      </c>
      <c r="T2090">
        <v>7619</v>
      </c>
      <c r="U2090">
        <v>18997</v>
      </c>
      <c r="V2090">
        <v>-285</v>
      </c>
      <c r="W2090">
        <v>-9.6999999999999993</v>
      </c>
      <c r="X2090" s="10">
        <v>4.3710381138748138E-2</v>
      </c>
      <c r="Y2090" s="9">
        <v>4280</v>
      </c>
      <c r="Z2090" s="9">
        <v>3370</v>
      </c>
      <c r="AA2090" s="9">
        <v>3445</v>
      </c>
      <c r="AB2090">
        <v>8.2417582417582416E-2</v>
      </c>
      <c r="AC2090" s="11">
        <v>-2.6479577660461242</v>
      </c>
      <c r="AD2090" s="9">
        <v>3816.9293785310733</v>
      </c>
      <c r="AE2090" s="8">
        <v>-8.0106809078771699E-2</v>
      </c>
    </row>
    <row r="2091" spans="1:31" x14ac:dyDescent="0.35">
      <c r="A2091" s="6" t="s">
        <v>2112</v>
      </c>
      <c r="B2091" s="7">
        <v>9</v>
      </c>
      <c r="C2091" s="7">
        <v>3</v>
      </c>
      <c r="D2091" s="7">
        <v>1</v>
      </c>
      <c r="E2091" s="7">
        <v>5</v>
      </c>
      <c r="F2091">
        <v>2143</v>
      </c>
      <c r="G2091">
        <v>105</v>
      </c>
      <c r="H2091">
        <v>4.8899999999999997</v>
      </c>
      <c r="I2091">
        <v>4</v>
      </c>
      <c r="J2091">
        <v>0.21</v>
      </c>
      <c r="K2091">
        <v>2424</v>
      </c>
      <c r="L2091">
        <v>1432</v>
      </c>
      <c r="M2091">
        <v>992</v>
      </c>
      <c r="N2091">
        <v>1565.76</v>
      </c>
      <c r="O2091">
        <v>0.45</v>
      </c>
      <c r="P2091">
        <v>83</v>
      </c>
      <c r="Q2091">
        <v>0.43</v>
      </c>
      <c r="R2091">
        <v>0.17</v>
      </c>
      <c r="S2091">
        <v>40</v>
      </c>
      <c r="T2091">
        <v>7760</v>
      </c>
      <c r="U2091">
        <v>19038</v>
      </c>
      <c r="V2091">
        <v>143</v>
      </c>
      <c r="W2091">
        <v>9.91</v>
      </c>
      <c r="X2091" s="10">
        <v>0.86485302588851487</v>
      </c>
      <c r="Y2091" s="9">
        <v>3910</v>
      </c>
      <c r="Z2091" s="9">
        <v>3280</v>
      </c>
      <c r="AA2091" s="9">
        <v>3880</v>
      </c>
      <c r="AB2091">
        <v>0.95238095238095233</v>
      </c>
      <c r="AC2091" s="11">
        <v>9.8228674631842186</v>
      </c>
      <c r="AD2091" s="9">
        <v>3242.1525423728813</v>
      </c>
      <c r="AE2091" s="8">
        <v>0.16516516516516516</v>
      </c>
    </row>
    <row r="2092" spans="1:31" x14ac:dyDescent="0.35">
      <c r="A2092" s="6" t="s">
        <v>2113</v>
      </c>
      <c r="B2092" s="7">
        <v>6</v>
      </c>
      <c r="C2092" s="7">
        <v>10</v>
      </c>
      <c r="D2092" s="7">
        <v>2</v>
      </c>
      <c r="E2092" s="7">
        <v>0</v>
      </c>
      <c r="F2092">
        <v>27954</v>
      </c>
      <c r="G2092">
        <v>1746</v>
      </c>
      <c r="H2092">
        <v>6.25</v>
      </c>
      <c r="I2092">
        <v>1127</v>
      </c>
      <c r="J2092">
        <v>4.03</v>
      </c>
      <c r="K2092">
        <v>18824</v>
      </c>
      <c r="L2092">
        <v>11124</v>
      </c>
      <c r="M2092">
        <v>7700</v>
      </c>
      <c r="N2092">
        <v>286.98</v>
      </c>
      <c r="O2092">
        <v>15.55</v>
      </c>
      <c r="P2092">
        <v>31.91</v>
      </c>
      <c r="Q2092">
        <v>4.95</v>
      </c>
      <c r="R2092">
        <v>1.29</v>
      </c>
      <c r="S2092">
        <v>2864</v>
      </c>
      <c r="T2092">
        <v>18453</v>
      </c>
      <c r="U2092">
        <v>71012</v>
      </c>
      <c r="V2092">
        <v>2358</v>
      </c>
      <c r="W2092">
        <v>17.25</v>
      </c>
      <c r="X2092" s="10">
        <v>0.13797371120714905</v>
      </c>
      <c r="Y2092" s="9">
        <v>106500</v>
      </c>
      <c r="Z2092" s="9">
        <v>90700</v>
      </c>
      <c r="AA2092" s="9">
        <v>98000</v>
      </c>
      <c r="AB2092">
        <v>0.46202531645569622</v>
      </c>
      <c r="AC2092" s="11">
        <v>-94.573492636843554</v>
      </c>
      <c r="AD2092" s="9">
        <v>102792.82485875706</v>
      </c>
      <c r="AE2092" s="8">
        <v>7.2210065645514229E-2</v>
      </c>
    </row>
    <row r="2093" spans="1:31" x14ac:dyDescent="0.35">
      <c r="A2093" s="6" t="s">
        <v>2114</v>
      </c>
      <c r="B2093" s="7">
        <v>0</v>
      </c>
      <c r="C2093" s="7">
        <v>0</v>
      </c>
      <c r="D2093" s="7">
        <v>0</v>
      </c>
      <c r="E2093" s="7">
        <v>18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 s="10">
        <v>6.9379174721313275E-2</v>
      </c>
      <c r="Y2093" s="9">
        <v>74000</v>
      </c>
      <c r="Z2093" s="9">
        <v>61000</v>
      </c>
      <c r="AA2093" s="9">
        <v>65200</v>
      </c>
      <c r="AB2093">
        <v>0.32307692307692309</v>
      </c>
      <c r="AC2093" s="11">
        <v>42.492358988607954</v>
      </c>
      <c r="AD2093" s="9">
        <v>64225.649717514119</v>
      </c>
      <c r="AE2093" s="8">
        <v>3.0015797788309637E-2</v>
      </c>
    </row>
    <row r="2094" spans="1:31" x14ac:dyDescent="0.35">
      <c r="A2094" s="6" t="s">
        <v>2115</v>
      </c>
      <c r="B2094" s="7">
        <v>1</v>
      </c>
      <c r="C2094" s="7">
        <v>2</v>
      </c>
      <c r="D2094" s="7">
        <v>6</v>
      </c>
      <c r="E2094" s="7">
        <v>9</v>
      </c>
      <c r="F2094">
        <v>593</v>
      </c>
      <c r="G2094">
        <v>-20</v>
      </c>
      <c r="H2094">
        <v>-3.34</v>
      </c>
      <c r="I2094">
        <v>-7</v>
      </c>
      <c r="J2094">
        <v>-1.1499999999999999</v>
      </c>
      <c r="K2094">
        <v>1248</v>
      </c>
      <c r="L2094">
        <v>251</v>
      </c>
      <c r="M2094">
        <v>997</v>
      </c>
      <c r="N2094">
        <v>653.78</v>
      </c>
      <c r="O2094">
        <v>-0.73</v>
      </c>
      <c r="P2094">
        <v>0</v>
      </c>
      <c r="Q2094">
        <v>0.66</v>
      </c>
      <c r="R2094">
        <v>1.01</v>
      </c>
      <c r="S2094">
        <v>-27</v>
      </c>
      <c r="T2094">
        <v>3618</v>
      </c>
      <c r="U2094">
        <v>2346</v>
      </c>
      <c r="V2094">
        <v>-8</v>
      </c>
      <c r="W2094">
        <v>-84.65</v>
      </c>
      <c r="X2094" s="10">
        <v>0.39892622002490968</v>
      </c>
      <c r="Y2094" s="9">
        <v>2750</v>
      </c>
      <c r="Z2094" s="9">
        <v>2280</v>
      </c>
      <c r="AA2094" s="9">
        <v>2590</v>
      </c>
      <c r="AB2094">
        <v>0.65957446808510634</v>
      </c>
      <c r="AC2094" s="11">
        <v>3.3824673520422341</v>
      </c>
      <c r="AD2094" s="9">
        <v>2438.5847457627119</v>
      </c>
      <c r="AE2094" s="8">
        <v>9.2827004219409287E-2</v>
      </c>
    </row>
    <row r="2095" spans="1:31" x14ac:dyDescent="0.35">
      <c r="A2095" s="6" t="s">
        <v>2116</v>
      </c>
      <c r="B2095" s="7">
        <v>1</v>
      </c>
      <c r="C2095" s="7">
        <v>15</v>
      </c>
      <c r="D2095" s="7">
        <v>0</v>
      </c>
      <c r="E2095" s="7">
        <v>2</v>
      </c>
      <c r="F2095">
        <v>717</v>
      </c>
      <c r="G2095">
        <v>72</v>
      </c>
      <c r="H2095">
        <v>10.1</v>
      </c>
      <c r="I2095">
        <v>23</v>
      </c>
      <c r="J2095">
        <v>3.19</v>
      </c>
      <c r="K2095">
        <v>1122</v>
      </c>
      <c r="L2095">
        <v>414</v>
      </c>
      <c r="M2095">
        <v>708</v>
      </c>
      <c r="N2095">
        <v>487.82</v>
      </c>
      <c r="O2095">
        <v>4.12</v>
      </c>
      <c r="P2095">
        <v>75.14</v>
      </c>
      <c r="Q2095">
        <v>2.91</v>
      </c>
      <c r="R2095">
        <v>2.4</v>
      </c>
      <c r="S2095">
        <v>111</v>
      </c>
      <c r="T2095">
        <v>2867</v>
      </c>
      <c r="U2095">
        <v>3472</v>
      </c>
      <c r="V2095">
        <v>81</v>
      </c>
      <c r="W2095">
        <v>25.2</v>
      </c>
      <c r="X2095" s="10">
        <v>0.59760850440667335</v>
      </c>
      <c r="Y2095" s="9">
        <v>8740</v>
      </c>
      <c r="Z2095" s="9">
        <v>6500</v>
      </c>
      <c r="AA2095" s="9">
        <v>6700</v>
      </c>
      <c r="AB2095">
        <v>8.9285714285714288E-2</v>
      </c>
      <c r="AC2095" s="11">
        <v>-28.371214226173933</v>
      </c>
      <c r="AD2095" s="9">
        <v>8517.6553672316386</v>
      </c>
      <c r="AE2095" s="8">
        <v>-0.23340961098398169</v>
      </c>
    </row>
    <row r="2096" spans="1:31" x14ac:dyDescent="0.35">
      <c r="A2096" s="6" t="s">
        <v>2117</v>
      </c>
      <c r="B2096" s="7">
        <v>4</v>
      </c>
      <c r="C2096" s="7">
        <v>6</v>
      </c>
      <c r="D2096" s="7">
        <v>2</v>
      </c>
      <c r="E2096" s="7">
        <v>6</v>
      </c>
      <c r="F2096">
        <v>357</v>
      </c>
      <c r="G2096">
        <v>47</v>
      </c>
      <c r="H2096">
        <v>13.11</v>
      </c>
      <c r="I2096">
        <v>36</v>
      </c>
      <c r="J2096">
        <v>10.19</v>
      </c>
      <c r="K2096">
        <v>671</v>
      </c>
      <c r="L2096">
        <v>156</v>
      </c>
      <c r="M2096">
        <v>515</v>
      </c>
      <c r="N2096">
        <v>1349.84</v>
      </c>
      <c r="O2096">
        <v>9.7799999999999994</v>
      </c>
      <c r="P2096">
        <v>6.84</v>
      </c>
      <c r="Q2096">
        <v>0.72</v>
      </c>
      <c r="R2096">
        <v>0.7</v>
      </c>
      <c r="S2096">
        <v>737</v>
      </c>
      <c r="T2096">
        <v>6971</v>
      </c>
      <c r="U2096">
        <v>7235</v>
      </c>
      <c r="V2096">
        <v>72</v>
      </c>
      <c r="W2096">
        <v>5.24</v>
      </c>
      <c r="X2096" s="10">
        <v>0.9367626085794748</v>
      </c>
      <c r="Y2096" s="9">
        <v>6670</v>
      </c>
      <c r="Z2096" s="9">
        <v>4845</v>
      </c>
      <c r="AA2096" s="9">
        <v>6670</v>
      </c>
      <c r="AB2096">
        <v>1</v>
      </c>
      <c r="AC2096" s="11">
        <v>30.217560433453738</v>
      </c>
      <c r="AD2096" s="9">
        <v>4749.8644067796613</v>
      </c>
      <c r="AE2096" s="8">
        <v>0.31818181818181818</v>
      </c>
    </row>
    <row r="2097" spans="1:31" x14ac:dyDescent="0.35">
      <c r="A2097" s="6" t="s">
        <v>2118</v>
      </c>
      <c r="B2097" s="7">
        <v>14</v>
      </c>
      <c r="C2097" s="7">
        <v>4</v>
      </c>
      <c r="D2097" s="7">
        <v>0</v>
      </c>
      <c r="E2097" s="7">
        <v>0</v>
      </c>
      <c r="F2097">
        <v>4207</v>
      </c>
      <c r="G2097">
        <v>156</v>
      </c>
      <c r="H2097">
        <v>3.72</v>
      </c>
      <c r="I2097">
        <v>213</v>
      </c>
      <c r="J2097">
        <v>5.0599999999999996</v>
      </c>
      <c r="K2097">
        <v>5198</v>
      </c>
      <c r="L2097">
        <v>2579</v>
      </c>
      <c r="M2097">
        <v>2620</v>
      </c>
      <c r="N2097">
        <v>325.75</v>
      </c>
      <c r="O2097">
        <v>8.5299999999999994</v>
      </c>
      <c r="P2097">
        <v>6.77</v>
      </c>
      <c r="Q2097">
        <v>0.56999999999999995</v>
      </c>
      <c r="R2097">
        <v>0.34</v>
      </c>
      <c r="S2097">
        <v>1779</v>
      </c>
      <c r="T2097">
        <v>20996</v>
      </c>
      <c r="U2097">
        <v>35135</v>
      </c>
      <c r="V2097">
        <v>185</v>
      </c>
      <c r="W2097">
        <v>8.1300000000000008</v>
      </c>
      <c r="X2097" s="10">
        <v>0.92921763197294116</v>
      </c>
      <c r="Y2097" s="9">
        <v>18200</v>
      </c>
      <c r="Z2097" s="9">
        <v>12000</v>
      </c>
      <c r="AA2097" s="9">
        <v>18200</v>
      </c>
      <c r="AB2097">
        <v>1</v>
      </c>
      <c r="AC2097" s="11">
        <v>102.47707696582384</v>
      </c>
      <c r="AD2097" s="9">
        <v>11855.282485875707</v>
      </c>
      <c r="AE2097" s="8">
        <v>0.51666666666666672</v>
      </c>
    </row>
    <row r="2098" spans="1:31" x14ac:dyDescent="0.35">
      <c r="A2098" s="6" t="s">
        <v>2119</v>
      </c>
      <c r="B2098" s="7">
        <v>5</v>
      </c>
      <c r="C2098" s="7">
        <v>8</v>
      </c>
      <c r="D2098" s="7">
        <v>5</v>
      </c>
      <c r="E2098" s="7">
        <v>0</v>
      </c>
      <c r="F2098">
        <v>6632</v>
      </c>
      <c r="G2098">
        <v>144</v>
      </c>
      <c r="H2098">
        <v>2.17</v>
      </c>
      <c r="I2098">
        <v>152</v>
      </c>
      <c r="J2098">
        <v>2.2999999999999998</v>
      </c>
      <c r="K2098">
        <v>6343</v>
      </c>
      <c r="L2098">
        <v>4209</v>
      </c>
      <c r="M2098">
        <v>2134</v>
      </c>
      <c r="N2098">
        <v>571.66</v>
      </c>
      <c r="O2098">
        <v>7.36</v>
      </c>
      <c r="P2098">
        <v>11.85</v>
      </c>
      <c r="Q2098">
        <v>0.95</v>
      </c>
      <c r="R2098">
        <v>0.27</v>
      </c>
      <c r="S2098">
        <v>2558</v>
      </c>
      <c r="T2098">
        <v>32051</v>
      </c>
      <c r="U2098">
        <v>111349</v>
      </c>
      <c r="V2098">
        <v>286</v>
      </c>
      <c r="W2098">
        <v>16.18</v>
      </c>
      <c r="X2098" s="10">
        <v>0.13626137994274043</v>
      </c>
      <c r="Y2098" s="9">
        <v>32550</v>
      </c>
      <c r="Z2098" s="9">
        <v>27900</v>
      </c>
      <c r="AA2098" s="9">
        <v>27950</v>
      </c>
      <c r="AB2098">
        <v>1.0752688172043012E-2</v>
      </c>
      <c r="AC2098" s="11">
        <v>-25.56543484301195</v>
      </c>
      <c r="AD2098" s="9">
        <v>31111.412429378532</v>
      </c>
      <c r="AE2098" s="8">
        <v>-9.1056910569105698E-2</v>
      </c>
    </row>
    <row r="2099" spans="1:31" x14ac:dyDescent="0.35">
      <c r="A2099" s="6" t="s">
        <v>2120</v>
      </c>
      <c r="B2099" s="7">
        <v>2</v>
      </c>
      <c r="C2099" s="7">
        <v>12</v>
      </c>
      <c r="D2099" s="7">
        <v>2</v>
      </c>
      <c r="E2099" s="7">
        <v>2</v>
      </c>
      <c r="F2099">
        <v>2267</v>
      </c>
      <c r="G2099">
        <v>-9</v>
      </c>
      <c r="H2099">
        <v>-0.38</v>
      </c>
      <c r="I2099">
        <v>-7</v>
      </c>
      <c r="J2099">
        <v>-0.32</v>
      </c>
      <c r="K2099">
        <v>3332</v>
      </c>
      <c r="L2099">
        <v>2158</v>
      </c>
      <c r="M2099">
        <v>1173</v>
      </c>
      <c r="N2099">
        <v>324.88</v>
      </c>
      <c r="O2099">
        <v>-0.63</v>
      </c>
      <c r="P2099">
        <v>0</v>
      </c>
      <c r="Q2099">
        <v>0.59</v>
      </c>
      <c r="R2099">
        <v>0.23</v>
      </c>
      <c r="S2099">
        <v>-13</v>
      </c>
      <c r="T2099">
        <v>1625</v>
      </c>
      <c r="U2099">
        <v>4124</v>
      </c>
      <c r="V2099">
        <v>34</v>
      </c>
      <c r="W2099">
        <v>54.7</v>
      </c>
      <c r="X2099" s="10">
        <v>0.8060031065680664</v>
      </c>
      <c r="Y2099" s="9">
        <v>1310</v>
      </c>
      <c r="Z2099" s="9">
        <v>951</v>
      </c>
      <c r="AA2099" s="9">
        <v>1165</v>
      </c>
      <c r="AB2099">
        <v>0.59610027855153203</v>
      </c>
      <c r="AC2099" s="11">
        <v>4.554015004167824</v>
      </c>
      <c r="AD2099" s="9">
        <v>937.18587570621457</v>
      </c>
      <c r="AE2099" s="8">
        <v>0.22502628811777076</v>
      </c>
    </row>
    <row r="2100" spans="1:31" x14ac:dyDescent="0.35">
      <c r="A2100" s="6" t="s">
        <v>2121</v>
      </c>
      <c r="B2100" s="7">
        <v>10</v>
      </c>
      <c r="C2100" s="7">
        <v>0</v>
      </c>
      <c r="D2100" s="7">
        <v>4</v>
      </c>
      <c r="E2100" s="7">
        <v>4</v>
      </c>
      <c r="F2100">
        <v>5984</v>
      </c>
      <c r="G2100">
        <v>78</v>
      </c>
      <c r="H2100">
        <v>1.31</v>
      </c>
      <c r="I2100">
        <v>706</v>
      </c>
      <c r="J2100">
        <v>11.79</v>
      </c>
      <c r="K2100">
        <v>6641</v>
      </c>
      <c r="L2100">
        <v>2395</v>
      </c>
      <c r="M2100">
        <v>4246</v>
      </c>
      <c r="N2100">
        <v>2343.3200000000002</v>
      </c>
      <c r="O2100">
        <v>17.559999999999999</v>
      </c>
      <c r="P2100">
        <v>3.58</v>
      </c>
      <c r="Q2100">
        <v>0.6</v>
      </c>
      <c r="R2100">
        <v>0.42</v>
      </c>
      <c r="S2100">
        <v>2032</v>
      </c>
      <c r="T2100">
        <v>12109</v>
      </c>
      <c r="U2100">
        <v>17233</v>
      </c>
      <c r="V2100">
        <v>265</v>
      </c>
      <c r="W2100">
        <v>12.07</v>
      </c>
      <c r="X2100" s="10">
        <v>0.53997297882504947</v>
      </c>
      <c r="Y2100" s="9">
        <v>7990</v>
      </c>
      <c r="Z2100" s="9">
        <v>6740</v>
      </c>
      <c r="AA2100" s="9">
        <v>7350</v>
      </c>
      <c r="AB2100">
        <v>0.48799999999999999</v>
      </c>
      <c r="AC2100" s="11">
        <v>16.21228118921923</v>
      </c>
      <c r="AD2100" s="9">
        <v>6753.1920903954806</v>
      </c>
      <c r="AE2100" s="8">
        <v>-3.0343007915567283E-2</v>
      </c>
    </row>
    <row r="2101" spans="1:31" x14ac:dyDescent="0.35">
      <c r="A2101" s="6" t="s">
        <v>2122</v>
      </c>
      <c r="B2101" s="7">
        <v>4</v>
      </c>
      <c r="C2101" s="7">
        <v>6</v>
      </c>
      <c r="D2101" s="7">
        <v>7</v>
      </c>
      <c r="E2101" s="7">
        <v>1</v>
      </c>
      <c r="F2101">
        <v>1849</v>
      </c>
      <c r="G2101">
        <v>60</v>
      </c>
      <c r="H2101">
        <v>3.24</v>
      </c>
      <c r="I2101">
        <v>47</v>
      </c>
      <c r="J2101">
        <v>2.56</v>
      </c>
      <c r="K2101">
        <v>1194</v>
      </c>
      <c r="L2101">
        <v>360</v>
      </c>
      <c r="M2101">
        <v>833</v>
      </c>
      <c r="N2101">
        <v>2245.19</v>
      </c>
      <c r="O2101">
        <v>7.7</v>
      </c>
      <c r="P2101">
        <v>8.58</v>
      </c>
      <c r="Q2101">
        <v>0.68</v>
      </c>
      <c r="R2101">
        <v>0.22</v>
      </c>
      <c r="S2101">
        <v>180</v>
      </c>
      <c r="T2101">
        <v>2285</v>
      </c>
      <c r="U2101">
        <v>7036</v>
      </c>
      <c r="V2101">
        <v>123</v>
      </c>
      <c r="W2101">
        <v>4.63</v>
      </c>
      <c r="X2101" s="10">
        <v>0.80945985085507444</v>
      </c>
      <c r="Y2101" s="9">
        <v>1535</v>
      </c>
      <c r="Z2101" s="9">
        <v>1310</v>
      </c>
      <c r="AA2101" s="9">
        <v>1485</v>
      </c>
      <c r="AB2101">
        <v>0.77777777777777779</v>
      </c>
      <c r="AC2101" s="11">
        <v>3.0615448735759934</v>
      </c>
      <c r="AD2101" s="9">
        <v>1329.3728813559321</v>
      </c>
      <c r="AE2101" s="8">
        <v>0.08</v>
      </c>
    </row>
    <row r="2102" spans="1:31" x14ac:dyDescent="0.35">
      <c r="A2102" s="6" t="s">
        <v>2123</v>
      </c>
      <c r="B2102" s="7">
        <v>7</v>
      </c>
      <c r="C2102" s="7">
        <v>3</v>
      </c>
      <c r="D2102" s="7">
        <v>7</v>
      </c>
      <c r="E2102" s="7">
        <v>1</v>
      </c>
      <c r="F2102">
        <v>316</v>
      </c>
      <c r="G2102">
        <v>12</v>
      </c>
      <c r="H2102">
        <v>3.72</v>
      </c>
      <c r="I2102">
        <v>23</v>
      </c>
      <c r="J2102">
        <v>7.38</v>
      </c>
      <c r="K2102">
        <v>765</v>
      </c>
      <c r="L2102">
        <v>329</v>
      </c>
      <c r="M2102">
        <v>436</v>
      </c>
      <c r="N2102">
        <v>799.74</v>
      </c>
      <c r="O2102">
        <v>7.23</v>
      </c>
      <c r="P2102">
        <v>9.76</v>
      </c>
      <c r="Q2102">
        <v>0.72</v>
      </c>
      <c r="R2102">
        <v>0.72</v>
      </c>
      <c r="S2102">
        <v>327</v>
      </c>
      <c r="T2102">
        <v>4412</v>
      </c>
      <c r="U2102">
        <v>4431</v>
      </c>
      <c r="V2102">
        <v>25</v>
      </c>
      <c r="W2102">
        <v>19.239999999999998</v>
      </c>
      <c r="X2102" s="10">
        <v>0.78145962798877222</v>
      </c>
      <c r="Y2102" s="9">
        <v>3165</v>
      </c>
      <c r="Z2102" s="9">
        <v>2400</v>
      </c>
      <c r="AA2102" s="9">
        <v>3050</v>
      </c>
      <c r="AB2102">
        <v>0.84967320261437906</v>
      </c>
      <c r="AC2102" s="11">
        <v>10.527646568491248</v>
      </c>
      <c r="AD2102" s="9">
        <v>2410.906779661017</v>
      </c>
      <c r="AE2102" s="8">
        <v>0.26819126819126821</v>
      </c>
    </row>
    <row r="2103" spans="1:31" x14ac:dyDescent="0.35">
      <c r="A2103" s="6" t="s">
        <v>2124</v>
      </c>
      <c r="B2103" s="7">
        <v>4</v>
      </c>
      <c r="C2103" s="7">
        <v>10</v>
      </c>
      <c r="D2103" s="7">
        <v>4</v>
      </c>
      <c r="E2103" s="7">
        <v>0</v>
      </c>
      <c r="F2103">
        <v>2575</v>
      </c>
      <c r="G2103">
        <v>254</v>
      </c>
      <c r="H2103">
        <v>9.86</v>
      </c>
      <c r="I2103">
        <v>183</v>
      </c>
      <c r="J2103">
        <v>7.1</v>
      </c>
      <c r="K2103">
        <v>2533</v>
      </c>
      <c r="L2103">
        <v>1484</v>
      </c>
      <c r="M2103">
        <v>1050</v>
      </c>
      <c r="N2103">
        <v>554.14</v>
      </c>
      <c r="O2103">
        <v>22.45</v>
      </c>
      <c r="P2103">
        <v>7.35</v>
      </c>
      <c r="Q2103">
        <v>1.44</v>
      </c>
      <c r="R2103">
        <v>0.52</v>
      </c>
      <c r="S2103">
        <v>632</v>
      </c>
      <c r="T2103">
        <v>3223</v>
      </c>
      <c r="U2103">
        <v>8907</v>
      </c>
      <c r="V2103">
        <v>342</v>
      </c>
      <c r="W2103">
        <v>7.6</v>
      </c>
      <c r="X2103" s="10">
        <v>0.46880045904366668</v>
      </c>
      <c r="Y2103" s="9">
        <v>4710</v>
      </c>
      <c r="Z2103" s="9">
        <v>3935</v>
      </c>
      <c r="AA2103" s="9">
        <v>4095</v>
      </c>
      <c r="AB2103">
        <v>0.20645161290322581</v>
      </c>
      <c r="AC2103" s="11">
        <v>-8.4227563212003336</v>
      </c>
      <c r="AD2103" s="9">
        <v>4513.8107344632772</v>
      </c>
      <c r="AE2103" s="8">
        <v>-0.12406417112299466</v>
      </c>
    </row>
    <row r="2104" spans="1:31" x14ac:dyDescent="0.35">
      <c r="A2104" s="6" t="s">
        <v>2125</v>
      </c>
      <c r="B2104" s="7">
        <v>4</v>
      </c>
      <c r="C2104" s="7">
        <v>5</v>
      </c>
      <c r="D2104" s="7">
        <v>3</v>
      </c>
      <c r="E2104" s="7">
        <v>6</v>
      </c>
      <c r="F2104">
        <v>961</v>
      </c>
      <c r="G2104">
        <v>59</v>
      </c>
      <c r="H2104">
        <v>6.09</v>
      </c>
      <c r="I2104">
        <v>40</v>
      </c>
      <c r="J2104">
        <v>4.1900000000000004</v>
      </c>
      <c r="K2104">
        <v>1229</v>
      </c>
      <c r="L2104">
        <v>339</v>
      </c>
      <c r="M2104">
        <v>891</v>
      </c>
      <c r="N2104">
        <v>1226.04</v>
      </c>
      <c r="O2104">
        <v>4.59</v>
      </c>
      <c r="P2104">
        <v>19.53</v>
      </c>
      <c r="Q2104">
        <v>1</v>
      </c>
      <c r="R2104">
        <v>0.82</v>
      </c>
      <c r="S2104">
        <v>298</v>
      </c>
      <c r="T2104">
        <v>5847</v>
      </c>
      <c r="U2104">
        <v>7107</v>
      </c>
      <c r="V2104">
        <v>77</v>
      </c>
      <c r="W2104">
        <v>12.47</v>
      </c>
      <c r="X2104" s="10">
        <v>0.39175476061378856</v>
      </c>
      <c r="Y2104" s="9">
        <v>6950</v>
      </c>
      <c r="Z2104" s="9">
        <v>5770</v>
      </c>
      <c r="AA2104" s="9">
        <v>6830</v>
      </c>
      <c r="AB2104">
        <v>0.89830508474576276</v>
      </c>
      <c r="AC2104" s="11">
        <v>8.9038621839399834</v>
      </c>
      <c r="AD2104" s="9">
        <v>6116.2655367231637</v>
      </c>
      <c r="AE2104" s="8">
        <v>0.18370883882149047</v>
      </c>
    </row>
    <row r="2105" spans="1:31" x14ac:dyDescent="0.35">
      <c r="A2105" s="6" t="s">
        <v>2126</v>
      </c>
      <c r="B2105" s="7">
        <v>9</v>
      </c>
      <c r="C2105" s="7">
        <v>0</v>
      </c>
      <c r="D2105" s="7">
        <v>8</v>
      </c>
      <c r="E2105" s="7">
        <v>1</v>
      </c>
      <c r="F2105">
        <v>766</v>
      </c>
      <c r="G2105">
        <v>95</v>
      </c>
      <c r="H2105">
        <v>12.33</v>
      </c>
      <c r="I2105">
        <v>92</v>
      </c>
      <c r="J2105">
        <v>12.01</v>
      </c>
      <c r="K2105">
        <v>915</v>
      </c>
      <c r="L2105">
        <v>276</v>
      </c>
      <c r="M2105">
        <v>639</v>
      </c>
      <c r="N2105">
        <v>936.58</v>
      </c>
      <c r="O2105">
        <v>15.2</v>
      </c>
      <c r="P2105">
        <v>8.5500000000000007</v>
      </c>
      <c r="Q2105">
        <v>1.26</v>
      </c>
      <c r="R2105">
        <v>1.03</v>
      </c>
      <c r="S2105">
        <v>746</v>
      </c>
      <c r="T2105">
        <v>5075</v>
      </c>
      <c r="U2105">
        <v>6216</v>
      </c>
      <c r="V2105">
        <v>125</v>
      </c>
      <c r="W2105">
        <v>6.28</v>
      </c>
      <c r="X2105" s="10">
        <v>8.3062042456391108E-3</v>
      </c>
      <c r="Y2105" s="9">
        <v>6690</v>
      </c>
      <c r="Z2105" s="9">
        <v>5940</v>
      </c>
      <c r="AA2105" s="9">
        <v>6590</v>
      </c>
      <c r="AB2105">
        <v>0.8666666666666667</v>
      </c>
      <c r="AC2105" s="11">
        <v>-0.9886079466518477</v>
      </c>
      <c r="AD2105" s="9">
        <v>6359.4858757062148</v>
      </c>
      <c r="AE2105" s="8">
        <v>6.1191626409017714E-2</v>
      </c>
    </row>
    <row r="2106" spans="1:31" x14ac:dyDescent="0.35">
      <c r="A2106" s="6" t="s">
        <v>2127</v>
      </c>
      <c r="B2106" s="7">
        <v>9</v>
      </c>
      <c r="C2106" s="7">
        <v>2</v>
      </c>
      <c r="D2106" s="7">
        <v>0</v>
      </c>
      <c r="E2106" s="7">
        <v>7</v>
      </c>
      <c r="F2106">
        <v>2753</v>
      </c>
      <c r="G2106">
        <v>65</v>
      </c>
      <c r="H2106">
        <v>2.35</v>
      </c>
      <c r="I2106">
        <v>69</v>
      </c>
      <c r="J2106">
        <v>2.5099999999999998</v>
      </c>
      <c r="K2106">
        <v>1829</v>
      </c>
      <c r="L2106">
        <v>566</v>
      </c>
      <c r="M2106">
        <v>1263</v>
      </c>
      <c r="N2106">
        <v>1064.4100000000001</v>
      </c>
      <c r="O2106">
        <v>5.56</v>
      </c>
      <c r="P2106">
        <v>8.9600000000000009</v>
      </c>
      <c r="Q2106">
        <v>0.56000000000000005</v>
      </c>
      <c r="R2106">
        <v>0.23</v>
      </c>
      <c r="S2106">
        <v>3493</v>
      </c>
      <c r="T2106">
        <v>56114</v>
      </c>
      <c r="U2106">
        <v>139063</v>
      </c>
      <c r="V2106">
        <v>94</v>
      </c>
      <c r="W2106">
        <v>7.29</v>
      </c>
      <c r="X2106" s="10">
        <v>0.35838366782603109</v>
      </c>
      <c r="Y2106" s="9">
        <v>31700</v>
      </c>
      <c r="Z2106" s="9">
        <v>29600</v>
      </c>
      <c r="AA2106" s="9">
        <v>31400</v>
      </c>
      <c r="AB2106">
        <v>0.8571428571428571</v>
      </c>
      <c r="AC2106" s="11">
        <v>24.144206724090022</v>
      </c>
      <c r="AD2106" s="9">
        <v>29802.768361581922</v>
      </c>
      <c r="AE2106" s="8">
        <v>0</v>
      </c>
    </row>
    <row r="2107" spans="1:31" x14ac:dyDescent="0.35">
      <c r="A2107" s="6" t="s">
        <v>2128</v>
      </c>
      <c r="B2107" s="7">
        <v>13</v>
      </c>
      <c r="C2107" s="7">
        <v>2</v>
      </c>
      <c r="D2107" s="7">
        <v>1</v>
      </c>
      <c r="E2107" s="7">
        <v>2</v>
      </c>
      <c r="F2107">
        <v>2283</v>
      </c>
      <c r="G2107">
        <v>207</v>
      </c>
      <c r="H2107">
        <v>9.08</v>
      </c>
      <c r="I2107">
        <v>190</v>
      </c>
      <c r="J2107">
        <v>8.33</v>
      </c>
      <c r="K2107">
        <v>3017</v>
      </c>
      <c r="L2107">
        <v>730</v>
      </c>
      <c r="M2107">
        <v>2287</v>
      </c>
      <c r="N2107">
        <v>1979.39</v>
      </c>
      <c r="O2107">
        <v>8.6300000000000008</v>
      </c>
      <c r="P2107">
        <v>7.48</v>
      </c>
      <c r="Q2107">
        <v>0.63</v>
      </c>
      <c r="R2107">
        <v>0.62</v>
      </c>
      <c r="S2107">
        <v>8651</v>
      </c>
      <c r="T2107">
        <v>103142</v>
      </c>
      <c r="U2107">
        <v>103795</v>
      </c>
      <c r="V2107">
        <v>247</v>
      </c>
      <c r="W2107">
        <v>5.76</v>
      </c>
      <c r="X2107" s="10">
        <v>0.60610787292695745</v>
      </c>
      <c r="Y2107" s="9">
        <v>74300</v>
      </c>
      <c r="Z2107" s="9">
        <v>63400</v>
      </c>
      <c r="AA2107" s="9">
        <v>74300</v>
      </c>
      <c r="AB2107">
        <v>1</v>
      </c>
      <c r="AC2107" s="11">
        <v>93.031397610447328</v>
      </c>
      <c r="AD2107" s="9">
        <v>64089.209039548026</v>
      </c>
      <c r="AE2107" s="8">
        <v>0.14660493827160495</v>
      </c>
    </row>
    <row r="2108" spans="1:31" x14ac:dyDescent="0.35">
      <c r="A2108" s="6" t="s">
        <v>2129</v>
      </c>
      <c r="B2108" s="7">
        <v>12</v>
      </c>
      <c r="C2108" s="7">
        <v>6</v>
      </c>
      <c r="D2108" s="7">
        <v>0</v>
      </c>
      <c r="E2108" s="7">
        <v>0</v>
      </c>
      <c r="F2108">
        <v>1207</v>
      </c>
      <c r="G2108">
        <v>240</v>
      </c>
      <c r="H2108">
        <v>19.89</v>
      </c>
      <c r="I2108">
        <v>188</v>
      </c>
      <c r="J2108">
        <v>15.58</v>
      </c>
      <c r="K2108">
        <v>2178</v>
      </c>
      <c r="L2108">
        <v>293</v>
      </c>
      <c r="M2108">
        <v>1885</v>
      </c>
      <c r="N2108">
        <v>1943.2</v>
      </c>
      <c r="O2108">
        <v>10.4</v>
      </c>
      <c r="P2108">
        <v>18.670000000000002</v>
      </c>
      <c r="Q2108">
        <v>2.29</v>
      </c>
      <c r="R2108">
        <v>2.91</v>
      </c>
      <c r="S2108">
        <v>1232</v>
      </c>
      <c r="T2108">
        <v>10040</v>
      </c>
      <c r="U2108">
        <v>7907</v>
      </c>
      <c r="V2108">
        <v>259</v>
      </c>
      <c r="W2108">
        <v>16.52</v>
      </c>
      <c r="X2108" s="10">
        <v>2.3334535754043297E-2</v>
      </c>
      <c r="Y2108" s="9">
        <v>24200</v>
      </c>
      <c r="Z2108" s="9">
        <v>19050</v>
      </c>
      <c r="AA2108" s="9">
        <v>22500</v>
      </c>
      <c r="AB2108">
        <v>0.66990291262135926</v>
      </c>
      <c r="AC2108" s="11">
        <v>11.397610447346485</v>
      </c>
      <c r="AD2108" s="9">
        <v>20434.0395480226</v>
      </c>
      <c r="AE2108" s="8">
        <v>3.2110091743119268E-2</v>
      </c>
    </row>
    <row r="2109" spans="1:31" x14ac:dyDescent="0.35">
      <c r="A2109" s="6" t="s">
        <v>2130</v>
      </c>
      <c r="B2109" s="7">
        <v>14</v>
      </c>
      <c r="C2109" s="7">
        <v>1</v>
      </c>
      <c r="D2109" s="7">
        <v>2</v>
      </c>
      <c r="E2109" s="7">
        <v>1</v>
      </c>
      <c r="F2109">
        <v>1486</v>
      </c>
      <c r="G2109">
        <v>75</v>
      </c>
      <c r="H2109">
        <v>5.03</v>
      </c>
      <c r="I2109">
        <v>54</v>
      </c>
      <c r="J2109">
        <v>3.63</v>
      </c>
      <c r="K2109">
        <v>2083</v>
      </c>
      <c r="L2109">
        <v>481</v>
      </c>
      <c r="M2109">
        <v>1602</v>
      </c>
      <c r="N2109">
        <v>2189.34</v>
      </c>
      <c r="O2109">
        <v>3.41</v>
      </c>
      <c r="P2109">
        <v>12.99</v>
      </c>
      <c r="Q2109">
        <v>0.44</v>
      </c>
      <c r="R2109">
        <v>0.47</v>
      </c>
      <c r="S2109">
        <v>385</v>
      </c>
      <c r="T2109">
        <v>11445</v>
      </c>
      <c r="U2109">
        <v>10612</v>
      </c>
      <c r="V2109">
        <v>100</v>
      </c>
      <c r="W2109">
        <v>9.02</v>
      </c>
      <c r="X2109" s="10">
        <v>0.4621470070651138</v>
      </c>
      <c r="Y2109" s="9">
        <v>5380</v>
      </c>
      <c r="Z2109" s="9">
        <v>4620</v>
      </c>
      <c r="AA2109" s="9">
        <v>5190</v>
      </c>
      <c r="AB2109">
        <v>0.75</v>
      </c>
      <c r="AC2109" s="11">
        <v>7.7431230897471517</v>
      </c>
      <c r="AD2109" s="9">
        <v>4741.9180790960445</v>
      </c>
      <c r="AE2109" s="8">
        <v>4.4265593561368208E-2</v>
      </c>
    </row>
    <row r="2110" spans="1:31" x14ac:dyDescent="0.35">
      <c r="A2110" s="6" t="s">
        <v>2131</v>
      </c>
      <c r="B2110" s="7">
        <v>0</v>
      </c>
      <c r="C2110" s="7">
        <v>10</v>
      </c>
      <c r="D2110" s="7">
        <v>5</v>
      </c>
      <c r="E2110" s="7">
        <v>3</v>
      </c>
      <c r="F2110">
        <v>85322</v>
      </c>
      <c r="G2110">
        <v>2047</v>
      </c>
      <c r="H2110">
        <v>2.4</v>
      </c>
      <c r="I2110">
        <v>1849</v>
      </c>
      <c r="J2110">
        <v>2.17</v>
      </c>
      <c r="K2110">
        <v>77556</v>
      </c>
      <c r="L2110">
        <v>50339</v>
      </c>
      <c r="M2110">
        <v>27217</v>
      </c>
      <c r="N2110">
        <v>1469.53</v>
      </c>
      <c r="O2110">
        <v>6.96</v>
      </c>
      <c r="P2110">
        <v>12.31</v>
      </c>
      <c r="Q2110">
        <v>0.92</v>
      </c>
      <c r="R2110">
        <v>0.27</v>
      </c>
      <c r="S2110">
        <v>5557</v>
      </c>
      <c r="T2110">
        <v>74629</v>
      </c>
      <c r="U2110">
        <v>256463</v>
      </c>
      <c r="V2110">
        <v>4296</v>
      </c>
      <c r="W2110">
        <v>12.98</v>
      </c>
      <c r="X2110" s="10">
        <v>0.55476567918264652</v>
      </c>
      <c r="Y2110" s="9">
        <v>85800</v>
      </c>
      <c r="Z2110" s="9">
        <v>64700</v>
      </c>
      <c r="AA2110" s="9">
        <v>83600</v>
      </c>
      <c r="AB2110">
        <v>0.89573459715639814</v>
      </c>
      <c r="AC2110" s="11">
        <v>175.15698805223673</v>
      </c>
      <c r="AD2110" s="9">
        <v>67976.04519774011</v>
      </c>
      <c r="AE2110" s="8">
        <v>0.19428571428571428</v>
      </c>
    </row>
    <row r="2111" spans="1:31" x14ac:dyDescent="0.35">
      <c r="A2111" s="6" t="s">
        <v>2132</v>
      </c>
      <c r="B2111" s="7">
        <v>11</v>
      </c>
      <c r="C2111" s="7">
        <v>1</v>
      </c>
      <c r="D2111" s="7">
        <v>6</v>
      </c>
      <c r="E2111" s="7">
        <v>0</v>
      </c>
      <c r="F2111">
        <v>2771</v>
      </c>
      <c r="G2111">
        <v>93</v>
      </c>
      <c r="H2111">
        <v>3.34</v>
      </c>
      <c r="I2111">
        <v>71</v>
      </c>
      <c r="J2111">
        <v>2.54</v>
      </c>
      <c r="K2111">
        <v>995</v>
      </c>
      <c r="L2111">
        <v>624</v>
      </c>
      <c r="M2111">
        <v>371</v>
      </c>
      <c r="N2111">
        <v>508.89</v>
      </c>
      <c r="O2111">
        <v>21.51</v>
      </c>
      <c r="P2111">
        <v>33.54</v>
      </c>
      <c r="Q2111">
        <v>7</v>
      </c>
      <c r="R2111">
        <v>0.85</v>
      </c>
      <c r="S2111">
        <v>568</v>
      </c>
      <c r="T2111">
        <v>2722</v>
      </c>
      <c r="U2111">
        <v>22344</v>
      </c>
      <c r="V2111">
        <v>145</v>
      </c>
      <c r="W2111">
        <v>16.41</v>
      </c>
      <c r="X2111" s="10">
        <v>0.3528301843155961</v>
      </c>
      <c r="Y2111" s="9">
        <v>19200</v>
      </c>
      <c r="Z2111" s="9">
        <v>15700</v>
      </c>
      <c r="AA2111" s="9">
        <v>15700</v>
      </c>
      <c r="AB2111">
        <v>0</v>
      </c>
      <c r="AC2111" s="11">
        <v>-23.496804667963325</v>
      </c>
      <c r="AD2111" s="9">
        <v>18354.152542372882</v>
      </c>
      <c r="AE2111" s="8">
        <v>-7.3746312684365781E-2</v>
      </c>
    </row>
    <row r="2112" spans="1:31" x14ac:dyDescent="0.35">
      <c r="A2112" s="6" t="s">
        <v>2133</v>
      </c>
      <c r="B2112" s="7">
        <v>4</v>
      </c>
      <c r="C2112" s="7">
        <v>0</v>
      </c>
      <c r="D2112" s="7">
        <v>13</v>
      </c>
      <c r="E2112" s="7">
        <v>1</v>
      </c>
      <c r="F2112">
        <v>90</v>
      </c>
      <c r="G2112">
        <v>5</v>
      </c>
      <c r="H2112">
        <v>5.72</v>
      </c>
      <c r="I2112">
        <v>2</v>
      </c>
      <c r="J2112">
        <v>1.92</v>
      </c>
      <c r="K2112">
        <v>559</v>
      </c>
      <c r="L2112">
        <v>58</v>
      </c>
      <c r="M2112">
        <v>500</v>
      </c>
      <c r="N2112">
        <v>1625.25</v>
      </c>
      <c r="O2112">
        <v>0.68</v>
      </c>
      <c r="P2112">
        <v>433.33</v>
      </c>
      <c r="Q2112">
        <v>3.02</v>
      </c>
      <c r="R2112">
        <v>8.42</v>
      </c>
      <c r="S2112">
        <v>60</v>
      </c>
      <c r="T2112">
        <v>8623</v>
      </c>
      <c r="U2112">
        <v>3088</v>
      </c>
      <c r="V2112">
        <v>20</v>
      </c>
      <c r="W2112">
        <v>75.569999999999993</v>
      </c>
      <c r="X2112" s="10">
        <v>1.0169376498071493E-2</v>
      </c>
      <c r="Y2112" s="9">
        <v>29500</v>
      </c>
      <c r="Z2112" s="9">
        <v>23400</v>
      </c>
      <c r="AA2112" s="9">
        <v>29500</v>
      </c>
      <c r="AB2112">
        <v>1</v>
      </c>
      <c r="AC2112" s="11">
        <v>-7.1547652125590417</v>
      </c>
      <c r="AD2112" s="9">
        <v>25951.553672316382</v>
      </c>
      <c r="AE2112" s="8">
        <v>0.15913555992141454</v>
      </c>
    </row>
    <row r="2113" spans="1:31" x14ac:dyDescent="0.35">
      <c r="A2113" s="6" t="s">
        <v>2134</v>
      </c>
      <c r="B2113" s="7">
        <v>1</v>
      </c>
      <c r="C2113" s="7">
        <v>5</v>
      </c>
      <c r="D2113" s="7">
        <v>0</v>
      </c>
      <c r="E2113" s="7">
        <v>12</v>
      </c>
      <c r="F2113">
        <v>1752</v>
      </c>
      <c r="G2113">
        <v>-95</v>
      </c>
      <c r="H2113">
        <v>-5.44</v>
      </c>
      <c r="I2113">
        <v>-672</v>
      </c>
      <c r="J2113">
        <v>-38.380000000000003</v>
      </c>
      <c r="K2113">
        <v>1961</v>
      </c>
      <c r="L2113">
        <v>1452</v>
      </c>
      <c r="M2113">
        <v>509</v>
      </c>
      <c r="N2113">
        <v>23.65</v>
      </c>
      <c r="O2113">
        <v>-78.42</v>
      </c>
      <c r="P2113">
        <v>0</v>
      </c>
      <c r="Q2113">
        <v>5.61</v>
      </c>
      <c r="R2113">
        <v>1.54</v>
      </c>
      <c r="S2113">
        <v>-795</v>
      </c>
      <c r="T2113">
        <v>569</v>
      </c>
      <c r="U2113">
        <v>2072</v>
      </c>
      <c r="V2113">
        <v>85</v>
      </c>
      <c r="W2113">
        <v>44.43</v>
      </c>
      <c r="X2113" s="10">
        <v>0.22466996260368213</v>
      </c>
      <c r="Y2113" s="9">
        <v>3395</v>
      </c>
      <c r="Z2113" s="9">
        <v>2820</v>
      </c>
      <c r="AA2113" s="9">
        <v>3130</v>
      </c>
      <c r="AB2113">
        <v>0.53913043478260869</v>
      </c>
      <c r="AC2113" s="11">
        <v>-3.3673242567379829</v>
      </c>
      <c r="AD2113" s="9">
        <v>3178.7033898305085</v>
      </c>
      <c r="AE2113" s="8">
        <v>-2.1874999999999999E-2</v>
      </c>
    </row>
    <row r="2114" spans="1:31" x14ac:dyDescent="0.35">
      <c r="A2114" s="6" t="s">
        <v>2135</v>
      </c>
      <c r="B2114" s="7">
        <v>3</v>
      </c>
      <c r="C2114" s="7">
        <v>1</v>
      </c>
      <c r="D2114" s="7">
        <v>6</v>
      </c>
      <c r="E2114" s="7">
        <v>8</v>
      </c>
      <c r="F2114">
        <v>132</v>
      </c>
      <c r="G2114">
        <v>11</v>
      </c>
      <c r="H2114">
        <v>8.4700000000000006</v>
      </c>
      <c r="I2114">
        <v>-135</v>
      </c>
      <c r="J2114">
        <v>-102.68</v>
      </c>
      <c r="K2114">
        <v>982</v>
      </c>
      <c r="L2114">
        <v>505</v>
      </c>
      <c r="M2114">
        <v>477</v>
      </c>
      <c r="N2114">
        <v>79.66</v>
      </c>
      <c r="O2114">
        <v>-24.82</v>
      </c>
      <c r="P2114">
        <v>0</v>
      </c>
      <c r="Q2114">
        <v>1.67</v>
      </c>
      <c r="R2114">
        <v>5.35</v>
      </c>
      <c r="S2114">
        <v>-251</v>
      </c>
      <c r="T2114">
        <v>783</v>
      </c>
      <c r="U2114">
        <v>244</v>
      </c>
      <c r="V2114">
        <v>55</v>
      </c>
      <c r="W2114">
        <v>17.41</v>
      </c>
      <c r="X2114" s="10">
        <v>0.32663527960033129</v>
      </c>
      <c r="Y2114" s="9">
        <v>1915</v>
      </c>
      <c r="Z2114" s="9">
        <v>1300</v>
      </c>
      <c r="AA2114" s="9">
        <v>1650</v>
      </c>
      <c r="AB2114">
        <v>0.56910569105691056</v>
      </c>
      <c r="AC2114" s="11">
        <v>4.5043067518755207</v>
      </c>
      <c r="AD2114" s="9">
        <v>1432.6186440677966</v>
      </c>
      <c r="AE2114" s="8">
        <v>0.26923076923076922</v>
      </c>
    </row>
    <row r="2115" spans="1:31" x14ac:dyDescent="0.35">
      <c r="A2115" s="6" t="s">
        <v>2136</v>
      </c>
      <c r="B2115" s="7">
        <v>5</v>
      </c>
      <c r="C2115" s="7">
        <v>0</v>
      </c>
      <c r="D2115" s="7">
        <v>4</v>
      </c>
      <c r="E2115" s="7">
        <v>9</v>
      </c>
      <c r="F2115">
        <v>3975</v>
      </c>
      <c r="G2115">
        <v>119</v>
      </c>
      <c r="H2115">
        <v>2.98</v>
      </c>
      <c r="I2115">
        <v>96</v>
      </c>
      <c r="J2115">
        <v>2.42</v>
      </c>
      <c r="K2115">
        <v>6796</v>
      </c>
      <c r="L2115">
        <v>3051</v>
      </c>
      <c r="M2115">
        <v>3746</v>
      </c>
      <c r="N2115">
        <v>617</v>
      </c>
      <c r="O2115">
        <v>2.62</v>
      </c>
      <c r="P2115">
        <v>119.76</v>
      </c>
      <c r="Q2115">
        <v>3.27</v>
      </c>
      <c r="R2115">
        <v>2.89</v>
      </c>
      <c r="S2115">
        <v>931</v>
      </c>
      <c r="T2115">
        <v>34111</v>
      </c>
      <c r="U2115">
        <v>38540</v>
      </c>
      <c r="V2115">
        <v>168</v>
      </c>
      <c r="W2115">
        <v>83.18</v>
      </c>
      <c r="X2115" s="10">
        <v>0.69131437646611271</v>
      </c>
      <c r="Y2115" s="9">
        <v>120500</v>
      </c>
      <c r="Z2115" s="9">
        <v>89500</v>
      </c>
      <c r="AA2115" s="9">
        <v>102500</v>
      </c>
      <c r="AB2115">
        <v>0.41935483870967744</v>
      </c>
      <c r="AC2115" s="11">
        <v>-479.73881633787164</v>
      </c>
      <c r="AD2115" s="9">
        <v>118552.03389830509</v>
      </c>
      <c r="AE2115" s="8">
        <v>-8.0717488789237665E-2</v>
      </c>
    </row>
    <row r="2116" spans="1:31" x14ac:dyDescent="0.35">
      <c r="A2116" s="6" t="s">
        <v>2137</v>
      </c>
      <c r="B2116" s="7">
        <v>8</v>
      </c>
      <c r="C2116" s="7">
        <v>5</v>
      </c>
      <c r="D2116" s="7">
        <v>5</v>
      </c>
      <c r="E2116" s="7">
        <v>0</v>
      </c>
      <c r="F2116">
        <v>403</v>
      </c>
      <c r="G2116">
        <v>4</v>
      </c>
      <c r="H2116">
        <v>0.97</v>
      </c>
      <c r="I2116">
        <v>16</v>
      </c>
      <c r="J2116">
        <v>4.09</v>
      </c>
      <c r="K2116">
        <v>1346</v>
      </c>
      <c r="L2116">
        <v>703</v>
      </c>
      <c r="M2116">
        <v>643</v>
      </c>
      <c r="N2116">
        <v>27.6</v>
      </c>
      <c r="O2116">
        <v>2.63</v>
      </c>
      <c r="P2116">
        <v>28.16</v>
      </c>
      <c r="Q2116">
        <v>0.9</v>
      </c>
      <c r="R2116">
        <v>1.1499999999999999</v>
      </c>
      <c r="S2116">
        <v>163</v>
      </c>
      <c r="T2116">
        <v>5092</v>
      </c>
      <c r="U2116">
        <v>3996</v>
      </c>
      <c r="V2116">
        <v>29</v>
      </c>
      <c r="W2116">
        <v>28.6</v>
      </c>
      <c r="X2116" s="10">
        <v>0.79362897673187349</v>
      </c>
      <c r="Y2116" s="9">
        <v>6330</v>
      </c>
      <c r="Z2116" s="9">
        <v>4510</v>
      </c>
      <c r="AA2116" s="9">
        <v>6110</v>
      </c>
      <c r="AB2116">
        <v>0.87912087912087911</v>
      </c>
      <c r="AC2116" s="11">
        <v>27.145318143928868</v>
      </c>
      <c r="AD2116" s="9">
        <v>4648.0677966101694</v>
      </c>
      <c r="AE2116" s="8">
        <v>0.3139784946236559</v>
      </c>
    </row>
    <row r="2117" spans="1:31" x14ac:dyDescent="0.35">
      <c r="A2117" s="6" t="s">
        <v>2138</v>
      </c>
      <c r="B2117" s="7">
        <v>13</v>
      </c>
      <c r="C2117" s="7">
        <v>3</v>
      </c>
      <c r="D2117" s="7">
        <v>0</v>
      </c>
      <c r="E2117" s="7">
        <v>2</v>
      </c>
      <c r="F2117">
        <v>10724</v>
      </c>
      <c r="G2117">
        <v>172</v>
      </c>
      <c r="H2117">
        <v>1.6</v>
      </c>
      <c r="I2117">
        <v>309</v>
      </c>
      <c r="J2117">
        <v>2.88</v>
      </c>
      <c r="K2117">
        <v>7626</v>
      </c>
      <c r="L2117">
        <v>3120</v>
      </c>
      <c r="M2117">
        <v>4506</v>
      </c>
      <c r="N2117">
        <v>3901.63</v>
      </c>
      <c r="O2117">
        <v>7.08</v>
      </c>
      <c r="P2117">
        <v>9.9</v>
      </c>
      <c r="Q2117">
        <v>0.71</v>
      </c>
      <c r="R2117">
        <v>0.28000000000000003</v>
      </c>
      <c r="S2117">
        <v>1399</v>
      </c>
      <c r="T2117">
        <v>19378</v>
      </c>
      <c r="U2117">
        <v>48597</v>
      </c>
      <c r="V2117">
        <v>275</v>
      </c>
      <c r="W2117">
        <v>12.53</v>
      </c>
      <c r="X2117" s="10">
        <v>4.2301642976459011E-2</v>
      </c>
      <c r="Y2117" s="9">
        <v>17050</v>
      </c>
      <c r="Z2117" s="9">
        <v>13750</v>
      </c>
      <c r="AA2117" s="9">
        <v>15400</v>
      </c>
      <c r="AB2117">
        <v>0.5</v>
      </c>
      <c r="AC2117" s="11">
        <v>8.1203111975548747</v>
      </c>
      <c r="AD2117" s="9">
        <v>15696.497175141243</v>
      </c>
      <c r="AE2117" s="8">
        <v>0.12</v>
      </c>
    </row>
    <row r="2118" spans="1:31" x14ac:dyDescent="0.35">
      <c r="A2118" s="6" t="s">
        <v>2139</v>
      </c>
      <c r="B2118" s="7">
        <v>4</v>
      </c>
      <c r="C2118" s="7">
        <v>3</v>
      </c>
      <c r="D2118" s="7">
        <v>4</v>
      </c>
      <c r="E2118" s="7">
        <v>7</v>
      </c>
      <c r="F2118">
        <v>52</v>
      </c>
      <c r="G2118">
        <v>17</v>
      </c>
      <c r="H2118">
        <v>31.75</v>
      </c>
      <c r="I2118">
        <v>-18</v>
      </c>
      <c r="J2118">
        <v>-34.57</v>
      </c>
      <c r="K2118">
        <v>2107</v>
      </c>
      <c r="L2118">
        <v>51</v>
      </c>
      <c r="M2118">
        <v>2056</v>
      </c>
      <c r="N2118">
        <v>3353.69</v>
      </c>
      <c r="O2118">
        <v>-0.88</v>
      </c>
      <c r="P2118">
        <v>0</v>
      </c>
      <c r="Q2118">
        <v>0.61</v>
      </c>
      <c r="R2118">
        <v>20.93</v>
      </c>
      <c r="S2118">
        <v>-163</v>
      </c>
      <c r="T2118">
        <v>16235</v>
      </c>
      <c r="U2118">
        <v>472</v>
      </c>
      <c r="V2118">
        <v>17</v>
      </c>
      <c r="W2118">
        <v>74.77</v>
      </c>
      <c r="X2118" s="10">
        <v>2.7310114858079142E-2</v>
      </c>
      <c r="Y2118" s="9">
        <v>11000</v>
      </c>
      <c r="Z2118" s="9">
        <v>9550</v>
      </c>
      <c r="AA2118" s="9">
        <v>10800</v>
      </c>
      <c r="AB2118">
        <v>0.86206896551724133</v>
      </c>
      <c r="AC2118" s="11">
        <v>2.3837176993609348</v>
      </c>
      <c r="AD2118" s="9">
        <v>10506.129943502825</v>
      </c>
      <c r="AE2118" s="8">
        <v>0.13089005235602094</v>
      </c>
    </row>
    <row r="2119" spans="1:31" x14ac:dyDescent="0.35">
      <c r="A2119" s="6" t="s">
        <v>2140</v>
      </c>
      <c r="B2119" s="7">
        <v>3</v>
      </c>
      <c r="C2119" s="7">
        <v>3</v>
      </c>
      <c r="D2119" s="7">
        <v>6</v>
      </c>
      <c r="E2119" s="7">
        <v>6</v>
      </c>
      <c r="F2119">
        <v>216</v>
      </c>
      <c r="G2119">
        <v>61</v>
      </c>
      <c r="H2119">
        <v>28.28</v>
      </c>
      <c r="I2119">
        <v>50</v>
      </c>
      <c r="J2119">
        <v>23.1</v>
      </c>
      <c r="K2119">
        <v>295</v>
      </c>
      <c r="L2119">
        <v>51</v>
      </c>
      <c r="M2119">
        <v>244</v>
      </c>
      <c r="N2119">
        <v>879.8</v>
      </c>
      <c r="O2119">
        <v>34.049999999999997</v>
      </c>
      <c r="P2119">
        <v>0</v>
      </c>
      <c r="Q2119">
        <v>0</v>
      </c>
      <c r="R2119">
        <v>0</v>
      </c>
      <c r="S2119">
        <v>1461</v>
      </c>
      <c r="T2119">
        <v>4806</v>
      </c>
      <c r="U2119">
        <v>5920</v>
      </c>
      <c r="V2119">
        <v>0</v>
      </c>
      <c r="W2119">
        <v>0</v>
      </c>
      <c r="X2119" s="10">
        <v>0.34015655566598452</v>
      </c>
      <c r="Y2119" s="9">
        <v>94700</v>
      </c>
      <c r="Z2119" s="9">
        <v>40750</v>
      </c>
      <c r="AA2119" s="9">
        <v>76000</v>
      </c>
      <c r="AB2119">
        <v>0.65338276181649679</v>
      </c>
      <c r="AC2119" s="11">
        <v>511.86857460405668</v>
      </c>
      <c r="AD2119" s="9">
        <v>58628.841807909601</v>
      </c>
      <c r="AE2119" s="8">
        <v>0.86503067484662577</v>
      </c>
    </row>
    <row r="2120" spans="1:31" x14ac:dyDescent="0.35">
      <c r="A2120" s="6" t="s">
        <v>2141</v>
      </c>
      <c r="B2120" s="7">
        <v>1</v>
      </c>
      <c r="C2120" s="7">
        <v>8</v>
      </c>
      <c r="D2120" s="7">
        <v>6</v>
      </c>
      <c r="E2120" s="7">
        <v>3</v>
      </c>
      <c r="F2120">
        <v>140</v>
      </c>
      <c r="G2120">
        <v>-7</v>
      </c>
      <c r="H2120">
        <v>-4.78</v>
      </c>
      <c r="I2120">
        <v>12</v>
      </c>
      <c r="J2120">
        <v>8.75</v>
      </c>
      <c r="K2120">
        <v>165</v>
      </c>
      <c r="L2120">
        <v>85</v>
      </c>
      <c r="M2120">
        <v>80</v>
      </c>
      <c r="N2120">
        <v>5.83</v>
      </c>
      <c r="O2120">
        <v>22.04</v>
      </c>
      <c r="P2120">
        <v>6.43</v>
      </c>
      <c r="Q2120">
        <v>1.42</v>
      </c>
      <c r="R2120">
        <v>0.56000000000000005</v>
      </c>
      <c r="S2120">
        <v>96</v>
      </c>
      <c r="T2120">
        <v>436</v>
      </c>
      <c r="U2120">
        <v>1103</v>
      </c>
      <c r="V2120">
        <v>-3</v>
      </c>
      <c r="W2120">
        <v>-41.26</v>
      </c>
      <c r="X2120" s="10">
        <v>0.78786071623945941</v>
      </c>
      <c r="Y2120" s="9">
        <v>860</v>
      </c>
      <c r="Z2120" s="9">
        <v>499</v>
      </c>
      <c r="AA2120" s="9">
        <v>739</v>
      </c>
      <c r="AB2120">
        <v>0.66481994459833793</v>
      </c>
      <c r="AC2120" s="11">
        <v>5.655626562934148</v>
      </c>
      <c r="AD2120" s="9">
        <v>491.60338983050849</v>
      </c>
      <c r="AE2120" s="8">
        <v>0.48096192384769537</v>
      </c>
    </row>
    <row r="2121" spans="1:31" x14ac:dyDescent="0.35">
      <c r="A2121" s="6" t="s">
        <v>2142</v>
      </c>
      <c r="B2121" s="7">
        <v>8</v>
      </c>
      <c r="C2121" s="7">
        <v>2</v>
      </c>
      <c r="D2121" s="7">
        <v>0</v>
      </c>
      <c r="E2121" s="7">
        <v>8</v>
      </c>
      <c r="F2121">
        <v>11223</v>
      </c>
      <c r="G2121">
        <v>320</v>
      </c>
      <c r="H2121">
        <v>2.85</v>
      </c>
      <c r="I2121">
        <v>217</v>
      </c>
      <c r="J2121">
        <v>1.94</v>
      </c>
      <c r="K2121">
        <v>7532</v>
      </c>
      <c r="L2121">
        <v>4055</v>
      </c>
      <c r="M2121">
        <v>3477</v>
      </c>
      <c r="N2121">
        <v>112.01</v>
      </c>
      <c r="O2121">
        <v>6.28</v>
      </c>
      <c r="P2121">
        <v>16.97</v>
      </c>
      <c r="Q2121">
        <v>1.1299999999999999</v>
      </c>
      <c r="R2121">
        <v>0.33</v>
      </c>
      <c r="S2121">
        <v>660</v>
      </c>
      <c r="T2121">
        <v>9953</v>
      </c>
      <c r="U2121">
        <v>34102</v>
      </c>
      <c r="V2121">
        <v>592</v>
      </c>
      <c r="W2121">
        <v>8.48</v>
      </c>
      <c r="X2121" s="10">
        <v>0.53236179415702245</v>
      </c>
      <c r="Y2121" s="9">
        <v>12050</v>
      </c>
      <c r="Z2121" s="9">
        <v>10000</v>
      </c>
      <c r="AA2121" s="9">
        <v>10050</v>
      </c>
      <c r="AB2121">
        <v>2.4390243902439025E-2</v>
      </c>
      <c r="AC2121" s="11">
        <v>-27.468741317032507</v>
      </c>
      <c r="AD2121" s="9">
        <v>12069.463276836157</v>
      </c>
      <c r="AE2121" s="8">
        <v>-9.8654708520179366E-2</v>
      </c>
    </row>
    <row r="2122" spans="1:31" x14ac:dyDescent="0.35">
      <c r="A2122" s="6" t="s">
        <v>2143</v>
      </c>
      <c r="B2122" s="7">
        <v>4</v>
      </c>
      <c r="C2122" s="7">
        <v>9</v>
      </c>
      <c r="D2122" s="7">
        <v>1</v>
      </c>
      <c r="E2122" s="7">
        <v>4</v>
      </c>
      <c r="F2122">
        <v>597</v>
      </c>
      <c r="G2122">
        <v>25</v>
      </c>
      <c r="H2122">
        <v>4.17</v>
      </c>
      <c r="I2122">
        <v>9</v>
      </c>
      <c r="J2122">
        <v>1.53</v>
      </c>
      <c r="K2122">
        <v>944</v>
      </c>
      <c r="L2122">
        <v>389</v>
      </c>
      <c r="M2122">
        <v>555</v>
      </c>
      <c r="N2122">
        <v>982.44</v>
      </c>
      <c r="O2122">
        <v>1.63</v>
      </c>
      <c r="P2122">
        <v>192.05</v>
      </c>
      <c r="Q2122">
        <v>4.0199999999999996</v>
      </c>
      <c r="R2122">
        <v>2.96</v>
      </c>
      <c r="S2122">
        <v>88</v>
      </c>
      <c r="T2122">
        <v>4202</v>
      </c>
      <c r="U2122">
        <v>5715</v>
      </c>
      <c r="V2122">
        <v>68</v>
      </c>
      <c r="W2122">
        <v>28.9</v>
      </c>
      <c r="X2122" s="10">
        <v>0.3721349558553757</v>
      </c>
      <c r="Y2122" s="9">
        <v>19300</v>
      </c>
      <c r="Z2122" s="9">
        <v>15450</v>
      </c>
      <c r="AA2122" s="9">
        <v>18700</v>
      </c>
      <c r="AB2122">
        <v>0.8441558441558441</v>
      </c>
      <c r="AC2122" s="11">
        <v>36.985273687135319</v>
      </c>
      <c r="AD2122" s="9">
        <v>16133.615819209041</v>
      </c>
      <c r="AE2122" s="8">
        <v>0.14723926380368099</v>
      </c>
    </row>
    <row r="2123" spans="1:31" x14ac:dyDescent="0.35">
      <c r="A2123" s="6" t="s">
        <v>2144</v>
      </c>
      <c r="B2123" s="7">
        <v>1</v>
      </c>
      <c r="C2123" s="7">
        <v>10</v>
      </c>
      <c r="D2123" s="7">
        <v>5</v>
      </c>
      <c r="E2123" s="7">
        <v>2</v>
      </c>
      <c r="F2123">
        <v>5725</v>
      </c>
      <c r="G2123">
        <v>215</v>
      </c>
      <c r="H2123">
        <v>3.75</v>
      </c>
      <c r="I2123">
        <v>140</v>
      </c>
      <c r="J2123">
        <v>2.44</v>
      </c>
      <c r="K2123">
        <v>5755</v>
      </c>
      <c r="L2123">
        <v>1744</v>
      </c>
      <c r="M2123">
        <v>4011</v>
      </c>
      <c r="N2123">
        <v>1059.5</v>
      </c>
      <c r="O2123">
        <v>3.44</v>
      </c>
      <c r="P2123">
        <v>8.82</v>
      </c>
      <c r="Q2123">
        <v>0.31</v>
      </c>
      <c r="R2123">
        <v>0.22</v>
      </c>
      <c r="S2123">
        <v>2018</v>
      </c>
      <c r="T2123">
        <v>57303</v>
      </c>
      <c r="U2123">
        <v>82746</v>
      </c>
      <c r="V2123">
        <v>344</v>
      </c>
      <c r="W2123">
        <v>6.35</v>
      </c>
      <c r="X2123" s="10">
        <v>0.70768450823601314</v>
      </c>
      <c r="Y2123" s="9">
        <v>19950</v>
      </c>
      <c r="Z2123" s="9">
        <v>16800</v>
      </c>
      <c r="AA2123" s="9">
        <v>19500</v>
      </c>
      <c r="AB2123">
        <v>0.8571428571428571</v>
      </c>
      <c r="AC2123" s="11">
        <v>44.174770769658245</v>
      </c>
      <c r="AD2123" s="9">
        <v>16838.502824858755</v>
      </c>
      <c r="AE2123" s="8">
        <v>8.9385474860335198E-2</v>
      </c>
    </row>
    <row r="2124" spans="1:31" x14ac:dyDescent="0.35">
      <c r="A2124" s="6" t="s">
        <v>2145</v>
      </c>
      <c r="B2124" s="7">
        <v>15</v>
      </c>
      <c r="C2124" s="7">
        <v>1</v>
      </c>
      <c r="D2124" s="7">
        <v>1</v>
      </c>
      <c r="E2124" s="7">
        <v>1</v>
      </c>
      <c r="F2124">
        <v>1565</v>
      </c>
      <c r="G2124">
        <v>211</v>
      </c>
      <c r="H2124">
        <v>13.47</v>
      </c>
      <c r="I2124">
        <v>175</v>
      </c>
      <c r="J2124">
        <v>11.16</v>
      </c>
      <c r="K2124">
        <v>1857</v>
      </c>
      <c r="L2124">
        <v>479</v>
      </c>
      <c r="M2124">
        <v>1378</v>
      </c>
      <c r="N2124">
        <v>2338.69</v>
      </c>
      <c r="O2124">
        <v>13.86</v>
      </c>
      <c r="P2124">
        <v>33.770000000000003</v>
      </c>
      <c r="Q2124">
        <v>4.53</v>
      </c>
      <c r="R2124">
        <v>3.77</v>
      </c>
      <c r="S2124">
        <v>1608</v>
      </c>
      <c r="T2124">
        <v>11982</v>
      </c>
      <c r="U2124">
        <v>14415</v>
      </c>
      <c r="V2124">
        <v>286</v>
      </c>
      <c r="W2124">
        <v>21.51</v>
      </c>
      <c r="X2124" s="10">
        <v>5.3557611939080721E-2</v>
      </c>
      <c r="Y2124" s="9">
        <v>61400</v>
      </c>
      <c r="Z2124" s="9">
        <v>51500</v>
      </c>
      <c r="AA2124" s="9">
        <v>57100</v>
      </c>
      <c r="AB2124">
        <v>0.56565656565656564</v>
      </c>
      <c r="AC2124" s="11">
        <v>31.794943039733258</v>
      </c>
      <c r="AD2124" s="9">
        <v>55768.587570621472</v>
      </c>
      <c r="AE2124" s="8">
        <v>7.1294559099437146E-2</v>
      </c>
    </row>
    <row r="2125" spans="1:31" x14ac:dyDescent="0.35">
      <c r="A2125" s="6" t="s">
        <v>2146</v>
      </c>
      <c r="B2125" s="7">
        <v>3</v>
      </c>
      <c r="C2125" s="7">
        <v>4</v>
      </c>
      <c r="D2125" s="7">
        <v>6</v>
      </c>
      <c r="E2125" s="7">
        <v>5</v>
      </c>
      <c r="F2125">
        <v>6952</v>
      </c>
      <c r="G2125">
        <v>511</v>
      </c>
      <c r="H2125">
        <v>7.35</v>
      </c>
      <c r="I2125">
        <v>406</v>
      </c>
      <c r="J2125">
        <v>5.84</v>
      </c>
      <c r="K2125">
        <v>6991</v>
      </c>
      <c r="L2125">
        <v>2222</v>
      </c>
      <c r="M2125">
        <v>4768</v>
      </c>
      <c r="N2125">
        <v>1140.03</v>
      </c>
      <c r="O2125">
        <v>8.6300000000000008</v>
      </c>
      <c r="P2125">
        <v>24.32</v>
      </c>
      <c r="Q2125">
        <v>2.19</v>
      </c>
      <c r="R2125">
        <v>1.42</v>
      </c>
      <c r="S2125">
        <v>1032</v>
      </c>
      <c r="T2125">
        <v>11479</v>
      </c>
      <c r="U2125">
        <v>17654</v>
      </c>
      <c r="V2125">
        <v>849</v>
      </c>
      <c r="W2125">
        <v>12.08</v>
      </c>
      <c r="X2125" s="10">
        <v>0.4072698884711306</v>
      </c>
      <c r="Y2125" s="9">
        <v>27100</v>
      </c>
      <c r="Z2125" s="9">
        <v>24850</v>
      </c>
      <c r="AA2125" s="9">
        <v>25200</v>
      </c>
      <c r="AB2125">
        <v>0.15555555555555556</v>
      </c>
      <c r="AC2125" s="11">
        <v>-22.736871353153649</v>
      </c>
      <c r="AD2125" s="9">
        <v>26571.807909604518</v>
      </c>
      <c r="AE2125" s="8">
        <v>-3.4482758620689655E-2</v>
      </c>
    </row>
    <row r="2126" spans="1:31" x14ac:dyDescent="0.35">
      <c r="A2126" s="6" t="s">
        <v>2147</v>
      </c>
      <c r="B2126" s="7">
        <v>5</v>
      </c>
      <c r="C2126" s="7">
        <v>7</v>
      </c>
      <c r="D2126" s="7">
        <v>2</v>
      </c>
      <c r="E2126" s="7">
        <v>4</v>
      </c>
      <c r="F2126">
        <v>1932</v>
      </c>
      <c r="G2126">
        <v>12</v>
      </c>
      <c r="H2126">
        <v>0.6</v>
      </c>
      <c r="I2126">
        <v>18</v>
      </c>
      <c r="J2126">
        <v>0.93</v>
      </c>
      <c r="K2126">
        <v>691</v>
      </c>
      <c r="L2126">
        <v>30</v>
      </c>
      <c r="M2126">
        <v>662</v>
      </c>
      <c r="N2126">
        <v>4356.5600000000004</v>
      </c>
      <c r="O2126">
        <v>2.73</v>
      </c>
      <c r="P2126">
        <v>17.600000000000001</v>
      </c>
      <c r="Q2126">
        <v>0.49</v>
      </c>
      <c r="R2126">
        <v>0.16</v>
      </c>
      <c r="S2126">
        <v>123</v>
      </c>
      <c r="T2126">
        <v>4407</v>
      </c>
      <c r="U2126">
        <v>13288</v>
      </c>
      <c r="V2126">
        <v>16</v>
      </c>
      <c r="W2126">
        <v>20.6</v>
      </c>
      <c r="X2126" s="10">
        <v>0.79124792986718784</v>
      </c>
      <c r="Y2126" s="9">
        <v>2695</v>
      </c>
      <c r="Z2126" s="9">
        <v>2095</v>
      </c>
      <c r="AA2126" s="9">
        <v>2560</v>
      </c>
      <c r="AB2126">
        <v>0.77500000000000002</v>
      </c>
      <c r="AC2126" s="11">
        <v>6.4554042789663786</v>
      </c>
      <c r="AD2126" s="9">
        <v>2151.443502824859</v>
      </c>
      <c r="AE2126" s="8">
        <v>0.1743119266055046</v>
      </c>
    </row>
    <row r="2127" spans="1:31" x14ac:dyDescent="0.35">
      <c r="A2127" s="6" t="s">
        <v>2148</v>
      </c>
      <c r="B2127" s="7">
        <v>3</v>
      </c>
      <c r="C2127" s="7">
        <v>0</v>
      </c>
      <c r="D2127" s="7">
        <v>4</v>
      </c>
      <c r="E2127" s="7">
        <v>11</v>
      </c>
      <c r="F2127">
        <v>624</v>
      </c>
      <c r="G2127">
        <v>27</v>
      </c>
      <c r="H2127">
        <v>4.3600000000000003</v>
      </c>
      <c r="I2127">
        <v>15</v>
      </c>
      <c r="J2127">
        <v>2.4700000000000002</v>
      </c>
      <c r="K2127">
        <v>703</v>
      </c>
      <c r="L2127">
        <v>304</v>
      </c>
      <c r="M2127">
        <v>399</v>
      </c>
      <c r="N2127">
        <v>1194.72</v>
      </c>
      <c r="O2127">
        <v>3.89</v>
      </c>
      <c r="P2127">
        <v>13.9</v>
      </c>
      <c r="Q2127">
        <v>0.54</v>
      </c>
      <c r="R2127">
        <v>0.34</v>
      </c>
      <c r="S2127">
        <v>250</v>
      </c>
      <c r="T2127">
        <v>6411</v>
      </c>
      <c r="U2127">
        <v>10128</v>
      </c>
      <c r="V2127">
        <v>61</v>
      </c>
      <c r="W2127">
        <v>6.63</v>
      </c>
      <c r="X2127" s="10">
        <v>0.85935733105024115</v>
      </c>
      <c r="Y2127" s="9">
        <v>4245</v>
      </c>
      <c r="Z2127" s="9">
        <v>3445</v>
      </c>
      <c r="AA2127" s="9">
        <v>4105</v>
      </c>
      <c r="AB2127">
        <v>0.82499999999999996</v>
      </c>
      <c r="AC2127" s="11">
        <v>12.647957766046124</v>
      </c>
      <c r="AD2127" s="9">
        <v>3319.2372881355932</v>
      </c>
      <c r="AE2127" s="8">
        <v>0.17285714285714285</v>
      </c>
    </row>
    <row r="2128" spans="1:31" x14ac:dyDescent="0.35">
      <c r="A2128" s="6" t="s">
        <v>2149</v>
      </c>
      <c r="B2128" s="7">
        <v>2</v>
      </c>
      <c r="C2128" s="7">
        <v>10</v>
      </c>
      <c r="D2128" s="7">
        <v>3</v>
      </c>
      <c r="E2128" s="7">
        <v>3</v>
      </c>
      <c r="F2128">
        <v>38087</v>
      </c>
      <c r="G2128">
        <v>447</v>
      </c>
      <c r="H2128">
        <v>1.17</v>
      </c>
      <c r="I2128">
        <v>316</v>
      </c>
      <c r="J2128">
        <v>0.83</v>
      </c>
      <c r="K2128">
        <v>77072</v>
      </c>
      <c r="L2128">
        <v>73056</v>
      </c>
      <c r="M2128">
        <v>4016</v>
      </c>
      <c r="N2128">
        <v>23.27</v>
      </c>
      <c r="O2128">
        <v>9.1199999999999992</v>
      </c>
      <c r="P2128">
        <v>7.51</v>
      </c>
      <c r="Q2128">
        <v>0.65</v>
      </c>
      <c r="R2128">
        <v>0.06</v>
      </c>
      <c r="S2128">
        <v>491</v>
      </c>
      <c r="T2128">
        <v>5640</v>
      </c>
      <c r="U2128">
        <v>58448</v>
      </c>
      <c r="V2128">
        <v>0</v>
      </c>
      <c r="W2128">
        <v>0</v>
      </c>
      <c r="X2128" s="10">
        <v>0.33132631590755185</v>
      </c>
      <c r="Y2128" s="9">
        <v>4240</v>
      </c>
      <c r="Z2128" s="9">
        <v>3685</v>
      </c>
      <c r="AA2128" s="9">
        <v>4170</v>
      </c>
      <c r="AB2128">
        <v>0.87387387387387383</v>
      </c>
      <c r="AC2128" s="11">
        <v>4.8632953598221729</v>
      </c>
      <c r="AD2128" s="9">
        <v>3923.8361581920904</v>
      </c>
      <c r="AE2128" s="8">
        <v>0.11946308724832215</v>
      </c>
    </row>
    <row r="2129" spans="1:31" x14ac:dyDescent="0.35">
      <c r="A2129" s="6" t="s">
        <v>2150</v>
      </c>
      <c r="B2129" s="7">
        <v>0</v>
      </c>
      <c r="C2129" s="7">
        <v>0</v>
      </c>
      <c r="D2129" s="7">
        <v>0</v>
      </c>
      <c r="E2129" s="7">
        <v>18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 s="10">
        <v>0.38443550505890295</v>
      </c>
      <c r="Y2129" s="9">
        <v>10500</v>
      </c>
      <c r="Z2129" s="9">
        <v>6100</v>
      </c>
      <c r="AA2129" s="9">
        <v>7130</v>
      </c>
      <c r="AB2129">
        <v>0.2340909090909091</v>
      </c>
      <c r="AC2129" s="11">
        <v>41.180605723812178</v>
      </c>
      <c r="AD2129" s="9">
        <v>5599.1581920903955</v>
      </c>
      <c r="AE2129" s="8">
        <v>0.15559157212317667</v>
      </c>
    </row>
    <row r="2130" spans="1:31" x14ac:dyDescent="0.35">
      <c r="A2130" s="6" t="s">
        <v>2151</v>
      </c>
      <c r="B2130" s="7">
        <v>0</v>
      </c>
      <c r="C2130" s="7">
        <v>0</v>
      </c>
      <c r="D2130" s="7">
        <v>0</v>
      </c>
      <c r="E2130" s="7">
        <v>18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 s="10">
        <v>0.56213205683198109</v>
      </c>
      <c r="Y2130" s="9">
        <v>3690</v>
      </c>
      <c r="Z2130" s="9">
        <v>2270</v>
      </c>
      <c r="AA2130" s="9">
        <v>2850</v>
      </c>
      <c r="AB2130">
        <v>0.40845070422535212</v>
      </c>
      <c r="AC2130" s="11">
        <v>12.342734092803559</v>
      </c>
      <c r="AD2130" s="9">
        <v>2268.129943502825</v>
      </c>
      <c r="AE2130" s="8">
        <v>0.25550660792951541</v>
      </c>
    </row>
    <row r="2131" spans="1:31" x14ac:dyDescent="0.35">
      <c r="A2131" s="6" t="s">
        <v>2152</v>
      </c>
      <c r="B2131" s="7">
        <v>11</v>
      </c>
      <c r="C2131" s="7">
        <v>0</v>
      </c>
      <c r="D2131" s="7">
        <v>2</v>
      </c>
      <c r="E2131" s="7">
        <v>5</v>
      </c>
      <c r="F2131">
        <v>7893</v>
      </c>
      <c r="G2131">
        <v>159</v>
      </c>
      <c r="H2131">
        <v>2.0099999999999998</v>
      </c>
      <c r="I2131">
        <v>165</v>
      </c>
      <c r="J2131">
        <v>2.09</v>
      </c>
      <c r="K2131">
        <v>6278</v>
      </c>
      <c r="L2131">
        <v>4739</v>
      </c>
      <c r="M2131">
        <v>1539</v>
      </c>
      <c r="N2131">
        <v>269.74</v>
      </c>
      <c r="O2131">
        <v>11.21</v>
      </c>
      <c r="P2131">
        <v>14.37</v>
      </c>
      <c r="Q2131">
        <v>1.58</v>
      </c>
      <c r="R2131">
        <v>0.3</v>
      </c>
      <c r="S2131">
        <v>198</v>
      </c>
      <c r="T2131">
        <v>1806</v>
      </c>
      <c r="U2131">
        <v>9451</v>
      </c>
      <c r="V2131">
        <v>278</v>
      </c>
      <c r="W2131">
        <v>19.61</v>
      </c>
      <c r="X2131" s="10">
        <v>0.68732418593806965</v>
      </c>
      <c r="Y2131" s="9">
        <v>3675</v>
      </c>
      <c r="Z2131" s="9">
        <v>2535</v>
      </c>
      <c r="AA2131" s="9">
        <v>3655</v>
      </c>
      <c r="AB2131">
        <v>0.98245614035087714</v>
      </c>
      <c r="AC2131" s="11">
        <v>16.234231731036395</v>
      </c>
      <c r="AD2131" s="9">
        <v>2485.5225988700563</v>
      </c>
      <c r="AE2131" s="8">
        <v>0.3171171171171171</v>
      </c>
    </row>
    <row r="2132" spans="1:31" x14ac:dyDescent="0.35">
      <c r="A2132" s="6" t="s">
        <v>2153</v>
      </c>
      <c r="B2132" s="7">
        <v>2</v>
      </c>
      <c r="C2132" s="7">
        <v>1</v>
      </c>
      <c r="D2132" s="7">
        <v>11</v>
      </c>
      <c r="E2132" s="7">
        <v>4</v>
      </c>
      <c r="F2132">
        <v>1350</v>
      </c>
      <c r="G2132">
        <v>-95</v>
      </c>
      <c r="H2132">
        <v>-7.06</v>
      </c>
      <c r="I2132">
        <v>-136</v>
      </c>
      <c r="J2132">
        <v>-10.1</v>
      </c>
      <c r="K2132">
        <v>1388</v>
      </c>
      <c r="L2132">
        <v>954</v>
      </c>
      <c r="M2132">
        <v>434</v>
      </c>
      <c r="N2132">
        <v>652.52</v>
      </c>
      <c r="O2132">
        <v>-27.11</v>
      </c>
      <c r="P2132">
        <v>0</v>
      </c>
      <c r="Q2132">
        <v>1.63</v>
      </c>
      <c r="R2132">
        <v>0.44</v>
      </c>
      <c r="S2132">
        <v>-1068</v>
      </c>
      <c r="T2132">
        <v>2866</v>
      </c>
      <c r="U2132">
        <v>10581</v>
      </c>
      <c r="V2132">
        <v>-83</v>
      </c>
      <c r="W2132">
        <v>-13.91</v>
      </c>
      <c r="X2132" s="10">
        <v>0.17057038848493625</v>
      </c>
      <c r="Y2132" s="9">
        <v>4890</v>
      </c>
      <c r="Z2132" s="9">
        <v>4180</v>
      </c>
      <c r="AA2132" s="9">
        <v>4340</v>
      </c>
      <c r="AB2132">
        <v>0.22535211267605634</v>
      </c>
      <c r="AC2132" s="11">
        <v>-3.4931925534870798</v>
      </c>
      <c r="AD2132" s="9">
        <v>4642.5423728813557</v>
      </c>
      <c r="AE2132" s="8">
        <v>-6.2634989200863925E-2</v>
      </c>
    </row>
    <row r="2134" spans="1:31" x14ac:dyDescent="0.35">
      <c r="AE2134" s="13"/>
    </row>
  </sheetData>
  <mergeCells count="1">
    <mergeCell ref="AL7:AO7"/>
  </mergeCells>
  <phoneticPr fontId="4" type="noConversion"/>
  <conditionalFormatting sqref="AQ9">
    <cfRule type="cellIs" dxfId="0" priority="1" operator="equal"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STOCK_MATRIX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ceoMECG</dc:creator>
  <cp:lastModifiedBy>Registered User</cp:lastModifiedBy>
  <dcterms:created xsi:type="dcterms:W3CDTF">2015-10-10T03:58:23Z</dcterms:created>
  <dcterms:modified xsi:type="dcterms:W3CDTF">2017-08-10T07:58:15Z</dcterms:modified>
</cp:coreProperties>
</file>