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315" windowHeight="82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6" i="1" l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L5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5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6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I33" i="1"/>
  <c r="I34" i="1"/>
  <c r="I35" i="1"/>
  <c r="I36" i="1"/>
  <c r="I37" i="1"/>
  <c r="I38" i="1"/>
  <c r="I39" i="1"/>
  <c r="I40" i="1"/>
  <c r="I41" i="1"/>
  <c r="I42" i="1"/>
  <c r="I43" i="1"/>
  <c r="I44" i="1"/>
  <c r="D3" i="1"/>
  <c r="K4" i="1"/>
  <c r="L4" i="1"/>
  <c r="J4" i="1"/>
  <c r="H4" i="1"/>
  <c r="I4" i="1"/>
  <c r="G4" i="1"/>
</calcChain>
</file>

<file path=xl/sharedStrings.xml><?xml version="1.0" encoding="utf-8"?>
<sst xmlns="http://schemas.openxmlformats.org/spreadsheetml/2006/main" count="5" uniqueCount="5">
  <si>
    <t>일자</t>
  </si>
  <si>
    <t>종가</t>
  </si>
  <si>
    <t>외인</t>
  </si>
  <si>
    <t>기관</t>
  </si>
  <si>
    <t>개인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</si>
</sst>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Arial"/>
      <family val="2"/>
    </font>
    <font>
      <sz val="8"/>
      <color rgb="FF666666"/>
      <name val="Tahoma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8F8F8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FFFFFF"/>
      </right>
      <top/>
      <bottom style="medium">
        <color rgb="FFD7D7D7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D7D7D7"/>
      </bottom>
      <diagonal/>
    </border>
    <border>
      <left style="medium">
        <color rgb="FFD7D7D7"/>
      </left>
      <right style="medium">
        <color rgb="FFD7D7D7"/>
      </right>
      <top/>
      <bottom/>
      <diagonal/>
    </border>
    <border>
      <left/>
      <right style="medium">
        <color rgb="FFD7D7D7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D7D7D7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2" fillId="0" borderId="5" xfId="0" applyNumberFormat="1" applyFont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44"/>
  <sheetViews>
    <sheetView tabSelected="1" topLeftCell="A28" workbookViewId="0">
      <selection activeCell="I39" sqref="I39"/>
    </sheetView>
  </sheetViews>
  <sheetFormatPr defaultRowHeight="16.5" x14ac:dyDescent="0.3"/>
  <cols>
    <col min="9" max="9" width="10.5" customWidth="1"/>
    <col min="10" max="10" width="12.375" customWidth="1"/>
  </cols>
  <sheetData>
    <row r="3" spans="2:12" x14ac:dyDescent="0.3">
      <c r="D3">
        <f>CORREL(C5:C44,D5:D44)</f>
        <v>-0.15136311919380857</v>
      </c>
    </row>
    <row r="4" spans="2:12" ht="17.25" thickBot="1" x14ac:dyDescent="0.35">
      <c r="B4" s="1" t="s">
        <v>0</v>
      </c>
      <c r="C4" s="10" t="s">
        <v>1</v>
      </c>
      <c r="D4" s="9" t="s">
        <v>2</v>
      </c>
      <c r="E4" s="3" t="s">
        <v>3</v>
      </c>
      <c r="F4" s="2" t="s">
        <v>4</v>
      </c>
      <c r="G4" t="str">
        <f>D4&amp;"_누적"</f>
        <v>외인_누적</v>
      </c>
      <c r="H4" t="str">
        <f t="shared" ref="H4:I4" si="0">E4&amp;"_누적"</f>
        <v>기관_누적</v>
      </c>
      <c r="I4" t="str">
        <f t="shared" si="0"/>
        <v>개인_누적</v>
      </c>
      <c r="J4" t="str">
        <f>"ADJ_"&amp;D4&amp;"_누적"</f>
        <v>ADJ_외인_누적</v>
      </c>
      <c r="K4" t="str">
        <f t="shared" ref="K4:L4" si="1">"ADJ_"&amp;E4&amp;"_누적"</f>
        <v>ADJ_기관_누적</v>
      </c>
      <c r="L4" t="str">
        <f t="shared" si="1"/>
        <v>ADJ_개인_누적</v>
      </c>
    </row>
    <row r="5" spans="2:12" x14ac:dyDescent="0.3">
      <c r="B5" s="7">
        <v>42902</v>
      </c>
      <c r="C5" s="8">
        <v>15755</v>
      </c>
      <c r="D5" s="8">
        <v>100760</v>
      </c>
      <c r="E5" s="8">
        <v>407768</v>
      </c>
      <c r="F5" s="8">
        <v>-490816</v>
      </c>
      <c r="G5" s="8">
        <v>100760</v>
      </c>
      <c r="H5" s="8">
        <v>407768</v>
      </c>
      <c r="I5" s="8">
        <v>-490816</v>
      </c>
      <c r="J5">
        <f>CORREL(C5:$C$44,G5:$G$44)</f>
        <v>-0.21918972311994636</v>
      </c>
      <c r="K5">
        <f>CORREL($C5:C$44,$H5:H$44)</f>
        <v>0.22991775043630744</v>
      </c>
      <c r="L5">
        <f>CORREL($C5:C$44,$I5:I$44)</f>
        <v>-0.31257031376966016</v>
      </c>
    </row>
    <row r="6" spans="2:12" x14ac:dyDescent="0.3">
      <c r="B6" s="7">
        <v>42905</v>
      </c>
      <c r="C6" s="8">
        <v>15925</v>
      </c>
      <c r="D6" s="8">
        <v>337877</v>
      </c>
      <c r="E6" s="8">
        <v>1131280</v>
      </c>
      <c r="F6" s="8">
        <v>-1502805</v>
      </c>
      <c r="G6" s="5">
        <f>D6+G5</f>
        <v>438637</v>
      </c>
      <c r="H6" s="5">
        <f t="shared" ref="H6:I21" si="2">H5+E6</f>
        <v>1539048</v>
      </c>
      <c r="I6" s="5">
        <f t="shared" si="2"/>
        <v>-1993621</v>
      </c>
      <c r="J6">
        <f>CORREL(C6:$C$44,G6:$G$44)</f>
        <v>-0.26329186637619212</v>
      </c>
      <c r="K6">
        <f>CORREL($C6:C$44,$H6:H$44)</f>
        <v>0.23534181358442516</v>
      </c>
      <c r="L6">
        <f>CORREL($C6:C$44,$I6:I$44)</f>
        <v>-0.30819485469896069</v>
      </c>
    </row>
    <row r="7" spans="2:12" x14ac:dyDescent="0.3">
      <c r="B7" s="7">
        <v>42906</v>
      </c>
      <c r="C7" s="8">
        <v>15990</v>
      </c>
      <c r="D7" s="8">
        <v>201292</v>
      </c>
      <c r="E7" s="8">
        <v>398304</v>
      </c>
      <c r="F7" s="8">
        <v>-476101</v>
      </c>
      <c r="G7" s="5">
        <f t="shared" ref="G7:G44" si="3">D7+G6</f>
        <v>639929</v>
      </c>
      <c r="H7" s="5">
        <f t="shared" si="2"/>
        <v>1937352</v>
      </c>
      <c r="I7" s="5">
        <f t="shared" si="2"/>
        <v>-2469722</v>
      </c>
      <c r="J7">
        <f>CORREL(C7:$C$44,G7:$G$44)</f>
        <v>-0.27350836022888636</v>
      </c>
      <c r="K7">
        <f>CORREL($C7:C$44,$H7:H$44)</f>
        <v>0.24964681419963416</v>
      </c>
      <c r="L7">
        <f>CORREL($C7:C$44,$I7:I$44)</f>
        <v>-0.31595549480042157</v>
      </c>
    </row>
    <row r="8" spans="2:12" x14ac:dyDescent="0.3">
      <c r="B8" s="7">
        <v>42907</v>
      </c>
      <c r="C8" s="8">
        <v>15795</v>
      </c>
      <c r="D8" s="8">
        <v>-455497</v>
      </c>
      <c r="E8" s="8">
        <v>-1187854</v>
      </c>
      <c r="F8" s="8">
        <v>1428643</v>
      </c>
      <c r="G8" s="5">
        <f t="shared" si="3"/>
        <v>184432</v>
      </c>
      <c r="H8" s="5">
        <f t="shared" si="2"/>
        <v>749498</v>
      </c>
      <c r="I8" s="5">
        <f t="shared" si="2"/>
        <v>-1041079</v>
      </c>
      <c r="J8">
        <f>CORREL(C8:$C$44,G8:$G$44)</f>
        <v>-0.26951094075876253</v>
      </c>
      <c r="K8">
        <f>CORREL($C8:C$44,$H8:H$44)</f>
        <v>0.26699810365189947</v>
      </c>
      <c r="L8">
        <f>CORREL($C8:C$44,$I8:I$44)</f>
        <v>-0.32709300105775302</v>
      </c>
    </row>
    <row r="9" spans="2:12" x14ac:dyDescent="0.3">
      <c r="B9" s="7">
        <v>42908</v>
      </c>
      <c r="C9" s="8">
        <v>16000</v>
      </c>
      <c r="D9" s="8">
        <v>440591</v>
      </c>
      <c r="E9" s="8">
        <v>2444372</v>
      </c>
      <c r="F9" s="8">
        <v>-2726039</v>
      </c>
      <c r="G9" s="5">
        <f t="shared" si="3"/>
        <v>625023</v>
      </c>
      <c r="H9" s="5">
        <f t="shared" si="2"/>
        <v>3193870</v>
      </c>
      <c r="I9" s="5">
        <f t="shared" si="2"/>
        <v>-3767118</v>
      </c>
      <c r="J9">
        <f>CORREL(C9:$C$44,G9:$G$44)</f>
        <v>-0.31350942603686471</v>
      </c>
      <c r="K9">
        <f>CORREL($C9:C$44,$H9:H$44)</f>
        <v>0.28080703228061715</v>
      </c>
      <c r="L9">
        <f>CORREL($C9:C$44,$I9:I$44)</f>
        <v>-0.33047795938142693</v>
      </c>
    </row>
    <row r="10" spans="2:12" x14ac:dyDescent="0.3">
      <c r="B10" s="4">
        <v>42909</v>
      </c>
      <c r="C10" s="6">
        <v>16080</v>
      </c>
      <c r="D10" s="6">
        <v>304530</v>
      </c>
      <c r="E10" s="6">
        <v>691684</v>
      </c>
      <c r="F10" s="6">
        <v>-866979</v>
      </c>
      <c r="G10" s="5">
        <f t="shared" si="3"/>
        <v>929553</v>
      </c>
      <c r="H10" s="5">
        <f t="shared" si="2"/>
        <v>3885554</v>
      </c>
      <c r="I10" s="5">
        <f t="shared" si="2"/>
        <v>-4634097</v>
      </c>
      <c r="J10">
        <f>CORREL(C10:$C$44,G10:$G$44)</f>
        <v>-0.31221024037209033</v>
      </c>
      <c r="K10">
        <f>CORREL($C10:C$44,$H10:H$44)</f>
        <v>0.31662895917339623</v>
      </c>
      <c r="L10">
        <f>CORREL($C10:C$44,$I10:I$44)</f>
        <v>-0.35777433480252985</v>
      </c>
    </row>
    <row r="11" spans="2:12" x14ac:dyDescent="0.3">
      <c r="B11" s="4">
        <v>42912</v>
      </c>
      <c r="C11" s="6">
        <v>16250</v>
      </c>
      <c r="D11" s="6">
        <v>411087</v>
      </c>
      <c r="E11" s="6">
        <v>190480</v>
      </c>
      <c r="F11" s="6">
        <v>-567590</v>
      </c>
      <c r="G11" s="5">
        <f t="shared" si="3"/>
        <v>1340640</v>
      </c>
      <c r="H11" s="5">
        <f t="shared" si="2"/>
        <v>4076034</v>
      </c>
      <c r="I11" s="5">
        <f t="shared" si="2"/>
        <v>-5201687</v>
      </c>
      <c r="J11">
        <f>CORREL(C11:$C$44,G11:$G$44)</f>
        <v>-0.29163653554554247</v>
      </c>
      <c r="K11">
        <f>CORREL($C11:C$44,$H11:H$44)</f>
        <v>0.35837038987497599</v>
      </c>
      <c r="L11">
        <f>CORREL($C11:C$44,$I11:I$44)</f>
        <v>-0.39199748690211705</v>
      </c>
    </row>
    <row r="12" spans="2:12" x14ac:dyDescent="0.3">
      <c r="B12" s="4">
        <v>42913</v>
      </c>
      <c r="C12" s="6">
        <v>16245</v>
      </c>
      <c r="D12" s="6">
        <v>-166499</v>
      </c>
      <c r="E12" s="6">
        <v>-198203</v>
      </c>
      <c r="F12" s="6">
        <v>329993</v>
      </c>
      <c r="G12" s="5">
        <f t="shared" si="3"/>
        <v>1174141</v>
      </c>
      <c r="H12" s="5">
        <f t="shared" si="2"/>
        <v>3877831</v>
      </c>
      <c r="I12" s="5">
        <f t="shared" si="2"/>
        <v>-4871694</v>
      </c>
      <c r="J12">
        <f>CORREL(C12:$C$44,G12:$G$44)</f>
        <v>-0.26446741735990131</v>
      </c>
      <c r="K12">
        <f>CORREL($C12:C$44,$H12:H$44)</f>
        <v>0.39040014947749624</v>
      </c>
      <c r="L12">
        <f>CORREL($C12:C$44,$I12:I$44)</f>
        <v>-0.42062048146729825</v>
      </c>
    </row>
    <row r="13" spans="2:12" x14ac:dyDescent="0.3">
      <c r="B13" s="4">
        <v>42914</v>
      </c>
      <c r="C13" s="6">
        <v>16160</v>
      </c>
      <c r="D13" s="6">
        <v>21522</v>
      </c>
      <c r="E13" s="6">
        <v>-531298</v>
      </c>
      <c r="F13" s="6">
        <v>492561</v>
      </c>
      <c r="G13" s="5">
        <f t="shared" si="3"/>
        <v>1195663</v>
      </c>
      <c r="H13" s="5">
        <f t="shared" si="2"/>
        <v>3346533</v>
      </c>
      <c r="I13" s="5">
        <f t="shared" si="2"/>
        <v>-4379133</v>
      </c>
      <c r="J13">
        <f>CORREL(C13:$C$44,G13:$G$44)</f>
        <v>-0.23683402274165785</v>
      </c>
      <c r="K13">
        <f>CORREL($C13:C$44,$H13:H$44)</f>
        <v>0.42465125454043579</v>
      </c>
      <c r="L13">
        <f>CORREL($C13:C$44,$I13:I$44)</f>
        <v>-0.4497581379184728</v>
      </c>
    </row>
    <row r="14" spans="2:12" x14ac:dyDescent="0.3">
      <c r="B14" s="4">
        <v>42915</v>
      </c>
      <c r="C14" s="6">
        <v>16360</v>
      </c>
      <c r="D14" s="6">
        <v>414320</v>
      </c>
      <c r="E14" s="6">
        <v>6240</v>
      </c>
      <c r="F14" s="6">
        <v>-813600</v>
      </c>
      <c r="G14" s="5">
        <f t="shared" si="3"/>
        <v>1609983</v>
      </c>
      <c r="H14" s="5">
        <f t="shared" si="2"/>
        <v>3352773</v>
      </c>
      <c r="I14" s="5">
        <f t="shared" si="2"/>
        <v>-5192733</v>
      </c>
      <c r="J14">
        <f>CORREL(C14:$C$44,G14:$G$44)</f>
        <v>-0.19406199792336776</v>
      </c>
      <c r="K14">
        <f>CORREL($C14:C$44,$H14:H$44)</f>
        <v>0.46609451802538376</v>
      </c>
      <c r="L14">
        <f>CORREL($C14:C$44,$I14:I$44)</f>
        <v>-0.48528510644356754</v>
      </c>
    </row>
    <row r="15" spans="2:12" x14ac:dyDescent="0.3">
      <c r="B15" s="7">
        <v>42916</v>
      </c>
      <c r="C15" s="8">
        <v>16275</v>
      </c>
      <c r="D15" s="8">
        <v>-498061</v>
      </c>
      <c r="E15" s="8">
        <v>-947415</v>
      </c>
      <c r="F15" s="8">
        <v>989395</v>
      </c>
      <c r="G15" s="5">
        <f t="shared" si="3"/>
        <v>1111922</v>
      </c>
      <c r="H15" s="5">
        <f t="shared" si="2"/>
        <v>2405358</v>
      </c>
      <c r="I15" s="5">
        <f t="shared" si="2"/>
        <v>-4203338</v>
      </c>
      <c r="J15">
        <f>CORREL(C15:$C$44,G15:$G$44)</f>
        <v>-0.16090117175090574</v>
      </c>
      <c r="K15">
        <f>CORREL($C15:C$44,$H15:H$44)</f>
        <v>0.49179208026574872</v>
      </c>
      <c r="L15">
        <f>CORREL($C15:C$44,$I15:I$44)</f>
        <v>-0.51298340447578195</v>
      </c>
    </row>
    <row r="16" spans="2:12" x14ac:dyDescent="0.3">
      <c r="B16" s="7">
        <v>42919</v>
      </c>
      <c r="C16" s="8">
        <v>16325</v>
      </c>
      <c r="D16" s="8">
        <v>26069</v>
      </c>
      <c r="E16" s="8">
        <v>-853735</v>
      </c>
      <c r="F16" s="8">
        <v>790165</v>
      </c>
      <c r="G16" s="5">
        <f t="shared" si="3"/>
        <v>1137991</v>
      </c>
      <c r="H16" s="5">
        <f t="shared" si="2"/>
        <v>1551623</v>
      </c>
      <c r="I16" s="5">
        <f t="shared" si="2"/>
        <v>-3413173</v>
      </c>
      <c r="J16">
        <f>CORREL(C16:$C$44,G16:$G$44)</f>
        <v>-0.11862555864888256</v>
      </c>
      <c r="K16">
        <f>CORREL($C16:C$44,$H16:H$44)</f>
        <v>0.51912390799459607</v>
      </c>
      <c r="L16">
        <f>CORREL($C16:C$44,$I16:I$44)</f>
        <v>-0.54290737333888306</v>
      </c>
    </row>
    <row r="17" spans="2:12" x14ac:dyDescent="0.3">
      <c r="B17" s="7">
        <v>42920</v>
      </c>
      <c r="C17" s="8">
        <v>16160</v>
      </c>
      <c r="D17" s="8">
        <v>-473213</v>
      </c>
      <c r="E17" s="8">
        <v>-739392</v>
      </c>
      <c r="F17" s="8">
        <v>1208065</v>
      </c>
      <c r="G17" s="5">
        <f t="shared" si="3"/>
        <v>664778</v>
      </c>
      <c r="H17" s="5">
        <f t="shared" si="2"/>
        <v>812231</v>
      </c>
      <c r="I17" s="5">
        <f t="shared" si="2"/>
        <v>-2205108</v>
      </c>
      <c r="J17">
        <f>CORREL(C17:$C$44,G17:$G$44)</f>
        <v>-7.361831979885812E-2</v>
      </c>
      <c r="K17">
        <f>CORREL($C17:C$44,$H17:H$44)</f>
        <v>0.53693942594787769</v>
      </c>
      <c r="L17">
        <f>CORREL($C17:C$44,$I17:I$44)</f>
        <v>-0.56398309418141923</v>
      </c>
    </row>
    <row r="18" spans="2:12" x14ac:dyDescent="0.3">
      <c r="B18" s="7">
        <v>42921</v>
      </c>
      <c r="C18" s="8">
        <v>16280</v>
      </c>
      <c r="D18" s="8">
        <v>-91165</v>
      </c>
      <c r="E18" s="8">
        <v>1019964</v>
      </c>
      <c r="F18" s="8">
        <v>-727779</v>
      </c>
      <c r="G18" s="5">
        <f t="shared" si="3"/>
        <v>573613</v>
      </c>
      <c r="H18" s="5">
        <f t="shared" si="2"/>
        <v>1832195</v>
      </c>
      <c r="I18" s="5">
        <f t="shared" si="2"/>
        <v>-2932887</v>
      </c>
      <c r="J18">
        <f>CORREL(C18:$C$44,G18:$G$44)</f>
        <v>-3.6868570369661E-2</v>
      </c>
      <c r="K18">
        <f>CORREL($C18:C$44,$H18:H$44)</f>
        <v>0.5620757884908415</v>
      </c>
      <c r="L18">
        <f>CORREL($C18:C$44,$I18:I$44)</f>
        <v>-0.58912832802143145</v>
      </c>
    </row>
    <row r="19" spans="2:12" x14ac:dyDescent="0.3">
      <c r="B19" s="7">
        <v>42922</v>
      </c>
      <c r="C19" s="8">
        <v>16270</v>
      </c>
      <c r="D19" s="8">
        <v>121220</v>
      </c>
      <c r="E19" s="8">
        <v>-356506</v>
      </c>
      <c r="F19" s="8">
        <v>219438</v>
      </c>
      <c r="G19" s="5">
        <f t="shared" si="3"/>
        <v>694833</v>
      </c>
      <c r="H19" s="5">
        <f t="shared" si="2"/>
        <v>1475689</v>
      </c>
      <c r="I19" s="5">
        <f t="shared" si="2"/>
        <v>-2713449</v>
      </c>
      <c r="J19">
        <f>CORREL(C19:$C$44,G19:$G$44)</f>
        <v>-1.2747603613566822E-2</v>
      </c>
      <c r="K19">
        <f>CORREL($C19:C$44,$H19:H$44)</f>
        <v>0.59193082167816269</v>
      </c>
      <c r="L19">
        <f>CORREL($C19:C$44,$I19:I$44)</f>
        <v>-0.6150838790545986</v>
      </c>
    </row>
    <row r="20" spans="2:12" x14ac:dyDescent="0.3">
      <c r="B20" s="4">
        <v>42923</v>
      </c>
      <c r="C20" s="6">
        <v>16155</v>
      </c>
      <c r="D20" s="6">
        <v>-150099</v>
      </c>
      <c r="E20" s="6">
        <v>-1213512</v>
      </c>
      <c r="F20" s="6">
        <v>1264714</v>
      </c>
      <c r="G20" s="5">
        <f t="shared" si="3"/>
        <v>544734</v>
      </c>
      <c r="H20" s="5">
        <f t="shared" si="2"/>
        <v>262177</v>
      </c>
      <c r="I20" s="5">
        <f t="shared" si="2"/>
        <v>-1448735</v>
      </c>
      <c r="J20">
        <f>CORREL(C20:$C$44,G20:$G$44)</f>
        <v>2.79344151922582E-2</v>
      </c>
      <c r="K20">
        <f>CORREL($C20:C$44,$H20:H$44)</f>
        <v>0.62249520699489891</v>
      </c>
      <c r="L20">
        <f>CORREL($C20:C$44,$I20:I$44)</f>
        <v>-0.64303637313682571</v>
      </c>
    </row>
    <row r="21" spans="2:12" x14ac:dyDescent="0.3">
      <c r="B21" s="4">
        <v>42926</v>
      </c>
      <c r="C21" s="6">
        <v>16245</v>
      </c>
      <c r="D21" s="6">
        <v>-179343</v>
      </c>
      <c r="E21" s="6">
        <v>2058189</v>
      </c>
      <c r="F21" s="6">
        <v>-1815165</v>
      </c>
      <c r="G21" s="5">
        <f t="shared" si="3"/>
        <v>365391</v>
      </c>
      <c r="H21" s="5">
        <f t="shared" si="2"/>
        <v>2320366</v>
      </c>
      <c r="I21" s="5">
        <f t="shared" si="2"/>
        <v>-3263900</v>
      </c>
      <c r="J21">
        <f>CORREL(C21:$C$44,G21:$G$44)</f>
        <v>6.7745715583185317E-2</v>
      </c>
      <c r="K21">
        <f>CORREL($C21:C$44,$H21:H$44)</f>
        <v>0.65398362268875954</v>
      </c>
      <c r="L21">
        <f>CORREL($C21:C$44,$I21:I$44)</f>
        <v>-0.67176591668461882</v>
      </c>
    </row>
    <row r="22" spans="2:12" x14ac:dyDescent="0.3">
      <c r="B22" s="4">
        <v>42927</v>
      </c>
      <c r="C22" s="6">
        <v>16440</v>
      </c>
      <c r="D22" s="6">
        <v>189765</v>
      </c>
      <c r="E22" s="6">
        <v>2252212</v>
      </c>
      <c r="F22" s="6">
        <v>-2355135</v>
      </c>
      <c r="G22" s="5">
        <f t="shared" si="3"/>
        <v>555156</v>
      </c>
      <c r="H22" s="5">
        <f t="shared" ref="H22:H44" si="4">H21+E22</f>
        <v>4572578</v>
      </c>
      <c r="I22" s="5">
        <f t="shared" ref="I22:I44" si="5">I21+F22</f>
        <v>-5619035</v>
      </c>
      <c r="J22">
        <f>CORREL(C22:$C$44,G22:$G$44)</f>
        <v>8.3320540122076805E-2</v>
      </c>
      <c r="K22">
        <f>CORREL($C22:C$44,$H22:H$44)</f>
        <v>0.71181901828686978</v>
      </c>
      <c r="L22">
        <f>CORREL($C22:C$44,$I22:I$44)</f>
        <v>-0.72047506281395235</v>
      </c>
    </row>
    <row r="23" spans="2:12" x14ac:dyDescent="0.3">
      <c r="B23" s="4">
        <v>42928</v>
      </c>
      <c r="C23" s="6">
        <v>16420</v>
      </c>
      <c r="D23" s="6">
        <v>62739</v>
      </c>
      <c r="E23" s="6">
        <v>-453099</v>
      </c>
      <c r="F23" s="6">
        <v>357233</v>
      </c>
      <c r="G23" s="5">
        <f t="shared" si="3"/>
        <v>617895</v>
      </c>
      <c r="H23" s="5">
        <f t="shared" si="4"/>
        <v>4119479</v>
      </c>
      <c r="I23" s="5">
        <f t="shared" si="5"/>
        <v>-5261802</v>
      </c>
      <c r="J23">
        <f>CORREL(C23:$C$44,G23:$G$44)</f>
        <v>0.10980687029233036</v>
      </c>
      <c r="K23">
        <f>CORREL($C23:C$44,$H23:H$44)</f>
        <v>0.7826628482055813</v>
      </c>
      <c r="L23">
        <f>CORREL($C23:C$44,$I23:I$44)</f>
        <v>-0.78004454019999281</v>
      </c>
    </row>
    <row r="24" spans="2:12" x14ac:dyDescent="0.3">
      <c r="B24" s="4">
        <v>42929</v>
      </c>
      <c r="C24" s="6">
        <v>16780</v>
      </c>
      <c r="D24" s="6">
        <v>815709</v>
      </c>
      <c r="E24" s="6">
        <v>579080</v>
      </c>
      <c r="F24" s="6">
        <v>-1404420</v>
      </c>
      <c r="G24" s="5">
        <f t="shared" si="3"/>
        <v>1433604</v>
      </c>
      <c r="H24" s="5">
        <f t="shared" si="4"/>
        <v>4698559</v>
      </c>
      <c r="I24" s="5">
        <f t="shared" si="5"/>
        <v>-6666222</v>
      </c>
      <c r="J24">
        <f>CORREL(C24:$C$44,G24:$G$44)</f>
        <v>0.14918745217281879</v>
      </c>
      <c r="K24">
        <f>CORREL($C24:C$44,$H24:H$44)</f>
        <v>0.86332791634369155</v>
      </c>
      <c r="L24">
        <f>CORREL($C24:C$44,$I24:I$44)</f>
        <v>-0.84837884162819233</v>
      </c>
    </row>
    <row r="25" spans="2:12" x14ac:dyDescent="0.3">
      <c r="B25" s="7">
        <v>42930</v>
      </c>
      <c r="C25" s="8">
        <v>16810</v>
      </c>
      <c r="D25" s="8">
        <v>-348867</v>
      </c>
      <c r="E25" s="8">
        <v>-1062042</v>
      </c>
      <c r="F25" s="8">
        <v>787264</v>
      </c>
      <c r="G25" s="5">
        <f t="shared" si="3"/>
        <v>1084737</v>
      </c>
      <c r="H25" s="5">
        <f t="shared" si="4"/>
        <v>3636517</v>
      </c>
      <c r="I25" s="5">
        <f t="shared" si="5"/>
        <v>-5878958</v>
      </c>
      <c r="J25">
        <f>CORREL(C25:$C$44,G25:$G$44)</f>
        <v>0.18416798928088757</v>
      </c>
      <c r="K25">
        <f>CORREL($C25:C$44,$H25:H$44)</f>
        <v>0.89834121220438778</v>
      </c>
      <c r="L25">
        <f>CORREL($C25:C$44,$I25:I$44)</f>
        <v>-0.88301953284971457</v>
      </c>
    </row>
    <row r="26" spans="2:12" x14ac:dyDescent="0.3">
      <c r="B26" s="7">
        <v>42933</v>
      </c>
      <c r="C26" s="8">
        <v>16960</v>
      </c>
      <c r="D26" s="8">
        <v>-575074</v>
      </c>
      <c r="E26" s="8">
        <v>433085</v>
      </c>
      <c r="F26" s="8">
        <v>-119935</v>
      </c>
      <c r="G26" s="5">
        <f t="shared" si="3"/>
        <v>509663</v>
      </c>
      <c r="H26" s="5">
        <f t="shared" si="4"/>
        <v>4069602</v>
      </c>
      <c r="I26" s="5">
        <f t="shared" si="5"/>
        <v>-5998893</v>
      </c>
      <c r="J26">
        <f>CORREL(C26:$C$44,G26:$G$44)</f>
        <v>0.21385267043833928</v>
      </c>
      <c r="K26">
        <f>CORREL($C26:C$44,$H26:H$44)</f>
        <v>0.9229662452741193</v>
      </c>
      <c r="L26">
        <f>CORREL($C26:C$44,$I26:I$44)</f>
        <v>-0.91161278778935717</v>
      </c>
    </row>
    <row r="27" spans="2:12" x14ac:dyDescent="0.3">
      <c r="B27" s="7">
        <v>42934</v>
      </c>
      <c r="C27" s="8">
        <v>16970</v>
      </c>
      <c r="D27" s="8">
        <v>67938</v>
      </c>
      <c r="E27" s="8">
        <v>-216734</v>
      </c>
      <c r="F27" s="8">
        <v>49055</v>
      </c>
      <c r="G27" s="5">
        <f t="shared" si="3"/>
        <v>577601</v>
      </c>
      <c r="H27" s="5">
        <f t="shared" si="4"/>
        <v>3852868</v>
      </c>
      <c r="I27" s="5">
        <f t="shared" si="5"/>
        <v>-5949838</v>
      </c>
      <c r="J27">
        <f>CORREL(C27:$C$44,G27:$G$44)</f>
        <v>0.18744284618543836</v>
      </c>
      <c r="K27">
        <f>CORREL($C27:C$44,$H27:H$44)</f>
        <v>0.93937265645421175</v>
      </c>
      <c r="L27">
        <f>CORREL($C27:C$44,$I27:I$44)</f>
        <v>-0.92831777382188052</v>
      </c>
    </row>
    <row r="28" spans="2:12" x14ac:dyDescent="0.3">
      <c r="B28" s="7">
        <v>42935</v>
      </c>
      <c r="C28" s="8">
        <v>16995</v>
      </c>
      <c r="D28" s="8">
        <v>-190055</v>
      </c>
      <c r="E28" s="8">
        <v>-884976</v>
      </c>
      <c r="F28" s="8">
        <v>952289</v>
      </c>
      <c r="G28" s="5">
        <f t="shared" si="3"/>
        <v>387546</v>
      </c>
      <c r="H28" s="5">
        <f t="shared" si="4"/>
        <v>2967892</v>
      </c>
      <c r="I28" s="5">
        <f t="shared" si="5"/>
        <v>-4997549</v>
      </c>
      <c r="J28">
        <f>CORREL(C28:$C$44,G28:$G$44)</f>
        <v>0.14743958299957963</v>
      </c>
      <c r="K28">
        <f>CORREL($C28:C$44,$H28:H$44)</f>
        <v>0.95839623932200546</v>
      </c>
      <c r="L28">
        <f>CORREL($C28:C$44,$I28:I$44)</f>
        <v>-0.95018764553358959</v>
      </c>
    </row>
    <row r="29" spans="2:12" x14ac:dyDescent="0.3">
      <c r="B29" s="7">
        <v>42936</v>
      </c>
      <c r="C29" s="8">
        <v>17170</v>
      </c>
      <c r="D29" s="8">
        <v>109243</v>
      </c>
      <c r="E29" s="8">
        <v>904606</v>
      </c>
      <c r="F29" s="8">
        <v>-788165</v>
      </c>
      <c r="G29" s="5">
        <f t="shared" si="3"/>
        <v>496789</v>
      </c>
      <c r="H29" s="5">
        <f t="shared" si="4"/>
        <v>3872498</v>
      </c>
      <c r="I29" s="5">
        <f t="shared" si="5"/>
        <v>-5785714</v>
      </c>
      <c r="J29">
        <f>CORREL(C29:$C$44,G29:$G$44)</f>
        <v>0.10426621641524174</v>
      </c>
      <c r="K29">
        <f>CORREL($C29:C$44,$H29:H$44)</f>
        <v>0.97102187931431749</v>
      </c>
      <c r="L29">
        <f>CORREL($C29:C$44,$I29:I$44)</f>
        <v>-0.96603684229500009</v>
      </c>
    </row>
    <row r="30" spans="2:12" x14ac:dyDescent="0.3">
      <c r="B30" s="4">
        <v>42937</v>
      </c>
      <c r="C30" s="6">
        <v>17295</v>
      </c>
      <c r="D30" s="6">
        <v>112942</v>
      </c>
      <c r="E30" s="6">
        <v>-656301</v>
      </c>
      <c r="F30" s="6">
        <v>374152</v>
      </c>
      <c r="G30" s="5">
        <f t="shared" si="3"/>
        <v>609731</v>
      </c>
      <c r="H30" s="5">
        <f t="shared" si="4"/>
        <v>3216197</v>
      </c>
      <c r="I30" s="5">
        <f t="shared" si="5"/>
        <v>-5411562</v>
      </c>
      <c r="J30">
        <f>CORREL(C30:$C$44,G30:$G$44)</f>
        <v>-3.2981414461766778E-2</v>
      </c>
      <c r="K30">
        <f>CORREL($C30:C$44,$H30:H$44)</f>
        <v>0.98163232280360491</v>
      </c>
      <c r="L30">
        <f>CORREL($C30:C$44,$I30:I$44)</f>
        <v>-0.97881758255580997</v>
      </c>
    </row>
    <row r="31" spans="2:12" x14ac:dyDescent="0.3">
      <c r="B31" s="4">
        <v>42940</v>
      </c>
      <c r="C31" s="6">
        <v>17320</v>
      </c>
      <c r="D31" s="6">
        <v>-721308</v>
      </c>
      <c r="E31" s="6">
        <v>-211915</v>
      </c>
      <c r="F31" s="6">
        <v>894258</v>
      </c>
      <c r="G31" s="5">
        <f t="shared" si="3"/>
        <v>-111577</v>
      </c>
      <c r="H31" s="5">
        <f t="shared" si="4"/>
        <v>3004282</v>
      </c>
      <c r="I31" s="5">
        <f t="shared" si="5"/>
        <v>-4517304</v>
      </c>
      <c r="J31">
        <f>CORREL(C31:$C$44,G31:$G$44)</f>
        <v>-0.53035734470364571</v>
      </c>
      <c r="K31">
        <f>CORREL($C31:C$44,$H31:H$44)</f>
        <v>0.98178835578680901</v>
      </c>
      <c r="L31">
        <f>CORREL($C31:C$44,$I31:I$44)</f>
        <v>-0.98381466285530417</v>
      </c>
    </row>
    <row r="32" spans="2:12" x14ac:dyDescent="0.3">
      <c r="B32" s="4">
        <v>42941</v>
      </c>
      <c r="C32" s="6">
        <v>17215</v>
      </c>
      <c r="D32" s="6">
        <v>-280623</v>
      </c>
      <c r="E32" s="6">
        <v>-1040236</v>
      </c>
      <c r="F32" s="6">
        <v>1493579</v>
      </c>
      <c r="G32" s="5">
        <f t="shared" si="3"/>
        <v>-392200</v>
      </c>
      <c r="H32" s="5">
        <f t="shared" si="4"/>
        <v>1964046</v>
      </c>
      <c r="I32" s="5">
        <f t="shared" si="5"/>
        <v>-3023725</v>
      </c>
      <c r="J32">
        <f>CORREL(C32:$C$44,G32:$G$44)</f>
        <v>-0.51388439897379512</v>
      </c>
      <c r="K32">
        <f>CORREL($C32:C$44,$H32:H$44)</f>
        <v>0.98036793123797894</v>
      </c>
      <c r="L32">
        <f>CORREL($C32:C$44,$I32:I$44)</f>
        <v>-0.98424978503569294</v>
      </c>
    </row>
    <row r="33" spans="2:12" x14ac:dyDescent="0.3">
      <c r="B33" s="4">
        <v>42942</v>
      </c>
      <c r="C33" s="6">
        <v>17080</v>
      </c>
      <c r="D33" s="6">
        <v>337697</v>
      </c>
      <c r="E33" s="6">
        <v>-1799862</v>
      </c>
      <c r="F33" s="6">
        <v>1265194</v>
      </c>
      <c r="G33" s="5">
        <f t="shared" si="3"/>
        <v>-54503</v>
      </c>
      <c r="H33" s="5">
        <f t="shared" si="4"/>
        <v>164184</v>
      </c>
      <c r="I33" s="5">
        <f t="shared" si="5"/>
        <v>-1758531</v>
      </c>
      <c r="J33">
        <f>CORREL(C33:$C$44,G33:$G$44)</f>
        <v>-0.29752503535219943</v>
      </c>
      <c r="K33">
        <f>CORREL($C33:C$44,$H33:H$44)</f>
        <v>0.98021192835732118</v>
      </c>
      <c r="L33">
        <f>CORREL($C33:C$44,$I33:I$44)</f>
        <v>-0.98291984140984756</v>
      </c>
    </row>
    <row r="34" spans="2:12" x14ac:dyDescent="0.3">
      <c r="B34" s="4">
        <v>42943</v>
      </c>
      <c r="C34" s="6">
        <v>17175</v>
      </c>
      <c r="D34" s="6">
        <v>186342</v>
      </c>
      <c r="E34" s="6">
        <v>-336531</v>
      </c>
      <c r="F34" s="6">
        <v>160867</v>
      </c>
      <c r="G34" s="5">
        <f t="shared" si="3"/>
        <v>131839</v>
      </c>
      <c r="H34" s="5">
        <f t="shared" si="4"/>
        <v>-172347</v>
      </c>
      <c r="I34" s="5">
        <f t="shared" si="5"/>
        <v>-1597664</v>
      </c>
      <c r="J34">
        <f>CORREL(C34:$C$44,G34:$G$44)</f>
        <v>-0.23414588961502769</v>
      </c>
      <c r="K34">
        <f>CORREL($C34:C$44,$H34:H$44)</f>
        <v>0.97671043976801486</v>
      </c>
      <c r="L34">
        <f>CORREL($C34:C$44,$I34:I$44)</f>
        <v>-0.9826025119917724</v>
      </c>
    </row>
    <row r="35" spans="2:12" x14ac:dyDescent="0.3">
      <c r="B35" s="7">
        <v>42944</v>
      </c>
      <c r="C35" s="8">
        <v>16515</v>
      </c>
      <c r="D35" s="8">
        <v>-287690</v>
      </c>
      <c r="E35" s="8">
        <v>-3932008</v>
      </c>
      <c r="F35" s="8">
        <v>4372268</v>
      </c>
      <c r="G35" s="5">
        <f t="shared" si="3"/>
        <v>-155851</v>
      </c>
      <c r="H35" s="5">
        <f t="shared" si="4"/>
        <v>-4104355</v>
      </c>
      <c r="I35" s="5">
        <f t="shared" si="5"/>
        <v>2774604</v>
      </c>
      <c r="J35">
        <f>CORREL(C35:$C$44,G35:$G$44)</f>
        <v>-0.65790495182211983</v>
      </c>
      <c r="K35">
        <f>CORREL($C35:C$44,$H35:H$44)</f>
        <v>0.96788476194750728</v>
      </c>
      <c r="L35">
        <f>CORREL($C35:C$44,$I35:I$44)</f>
        <v>-0.97203286799873967</v>
      </c>
    </row>
    <row r="36" spans="2:12" x14ac:dyDescent="0.3">
      <c r="B36" s="7">
        <v>42947</v>
      </c>
      <c r="C36" s="8">
        <v>16525</v>
      </c>
      <c r="D36" s="8">
        <v>60334</v>
      </c>
      <c r="E36" s="8">
        <v>975523</v>
      </c>
      <c r="F36" s="8">
        <v>-447512</v>
      </c>
      <c r="G36" s="5">
        <f t="shared" si="3"/>
        <v>-95517</v>
      </c>
      <c r="H36" s="5">
        <f t="shared" si="4"/>
        <v>-3128832</v>
      </c>
      <c r="I36" s="5">
        <f t="shared" si="5"/>
        <v>2327092</v>
      </c>
      <c r="J36">
        <f>CORREL(C36:$C$44,G36:$G$44)</f>
        <v>-0.74092450088954487</v>
      </c>
      <c r="K36">
        <f>CORREL($C36:C$44,$H36:H$44)</f>
        <v>0.96795799385066261</v>
      </c>
      <c r="L36">
        <f>CORREL($C36:C$44,$I36:I$44)</f>
        <v>-0.97469096316989101</v>
      </c>
    </row>
    <row r="37" spans="2:12" x14ac:dyDescent="0.3">
      <c r="B37" s="7">
        <v>42948</v>
      </c>
      <c r="C37" s="8">
        <v>16800</v>
      </c>
      <c r="D37" s="8">
        <v>102064</v>
      </c>
      <c r="E37" s="8">
        <v>1015292</v>
      </c>
      <c r="F37" s="8">
        <v>-1173500</v>
      </c>
      <c r="G37" s="5">
        <f t="shared" si="3"/>
        <v>6547</v>
      </c>
      <c r="H37" s="5">
        <f t="shared" si="4"/>
        <v>-2113540</v>
      </c>
      <c r="I37" s="5">
        <f t="shared" si="5"/>
        <v>1153592</v>
      </c>
      <c r="J37">
        <f>CORREL(C37:$C$44,G37:$G$44)</f>
        <v>-0.80211353735373525</v>
      </c>
      <c r="K37">
        <f>CORREL($C37:C$44,$H37:H$44)</f>
        <v>0.98391358015829788</v>
      </c>
      <c r="L37">
        <f>CORREL($C37:C$44,$I37:I$44)</f>
        <v>-0.9864928797084842</v>
      </c>
    </row>
    <row r="38" spans="2:12" x14ac:dyDescent="0.3">
      <c r="B38" s="7">
        <v>42949</v>
      </c>
      <c r="C38" s="8">
        <v>16870</v>
      </c>
      <c r="D38" s="8">
        <v>-107393</v>
      </c>
      <c r="E38" s="8">
        <v>-362684</v>
      </c>
      <c r="F38" s="8">
        <v>389321</v>
      </c>
      <c r="G38" s="5">
        <f t="shared" si="3"/>
        <v>-100846</v>
      </c>
      <c r="H38" s="5">
        <f t="shared" si="4"/>
        <v>-2476224</v>
      </c>
      <c r="I38" s="5">
        <f t="shared" si="5"/>
        <v>1542913</v>
      </c>
      <c r="J38">
        <f>CORREL(C38:$C$44,G38:$G$44)</f>
        <v>-0.835102438219398</v>
      </c>
      <c r="K38">
        <f>CORREL($C38:C$44,$H38:H$44)</f>
        <v>0.98239468116034367</v>
      </c>
      <c r="L38">
        <f>CORREL($C38:C$44,$I38:I$44)</f>
        <v>-0.98626618293403556</v>
      </c>
    </row>
    <row r="39" spans="2:12" x14ac:dyDescent="0.3">
      <c r="B39" s="7">
        <v>42950</v>
      </c>
      <c r="C39" s="8">
        <v>16295</v>
      </c>
      <c r="D39" s="8">
        <v>224057</v>
      </c>
      <c r="E39" s="8">
        <v>-4341442</v>
      </c>
      <c r="F39" s="8">
        <v>3921850</v>
      </c>
      <c r="G39" s="5">
        <f t="shared" si="3"/>
        <v>123211</v>
      </c>
      <c r="H39" s="5">
        <f t="shared" si="4"/>
        <v>-6817666</v>
      </c>
      <c r="I39" s="5">
        <f t="shared" si="5"/>
        <v>5464763</v>
      </c>
      <c r="J39">
        <f>CORREL(C39:$C$44,G39:$G$44)</f>
        <v>-0.62838334126789197</v>
      </c>
      <c r="K39">
        <f>CORREL($C39:C$44,$H39:H$44)</f>
        <v>0.96974106650630898</v>
      </c>
      <c r="L39">
        <f>CORREL($C39:C$44,$I39:I$44)</f>
        <v>-0.97772037247962695</v>
      </c>
    </row>
    <row r="40" spans="2:12" x14ac:dyDescent="0.3">
      <c r="B40" s="4">
        <v>42951</v>
      </c>
      <c r="C40" s="6">
        <v>16445</v>
      </c>
      <c r="D40" s="6">
        <v>-69024</v>
      </c>
      <c r="E40" s="6">
        <v>1635321</v>
      </c>
      <c r="F40" s="6">
        <v>-1383404</v>
      </c>
      <c r="G40" s="5">
        <f t="shared" si="3"/>
        <v>54187</v>
      </c>
      <c r="H40" s="5">
        <f t="shared" si="4"/>
        <v>-5182345</v>
      </c>
      <c r="I40" s="5">
        <f t="shared" si="5"/>
        <v>4081359</v>
      </c>
      <c r="J40">
        <f>CORREL(C40:$C$44,G40:$G$44)</f>
        <v>-0.83909936408022223</v>
      </c>
      <c r="K40">
        <f>CORREL($C40:C$44,$H40:H$44)</f>
        <v>0.98967054690155687</v>
      </c>
      <c r="L40">
        <f>CORREL($C40:C$44,$I40:I$44)</f>
        <v>-0.98824996418846145</v>
      </c>
    </row>
    <row r="41" spans="2:12" x14ac:dyDescent="0.3">
      <c r="B41" s="4">
        <v>42954</v>
      </c>
      <c r="C41" s="6">
        <v>16465</v>
      </c>
      <c r="D41" s="6">
        <v>-55960</v>
      </c>
      <c r="E41" s="6">
        <v>359264</v>
      </c>
      <c r="F41" s="6">
        <v>-243054</v>
      </c>
      <c r="G41" s="5">
        <f t="shared" si="3"/>
        <v>-1773</v>
      </c>
      <c r="H41" s="5">
        <f t="shared" si="4"/>
        <v>-4823081</v>
      </c>
      <c r="I41" s="5">
        <f t="shared" si="5"/>
        <v>3838305</v>
      </c>
      <c r="J41">
        <f>CORREL(C41:$C$44,G41:$G$44)</f>
        <v>-0.93903291000918365</v>
      </c>
      <c r="K41">
        <f>CORREL($C41:C$44,$H41:H$44)</f>
        <v>0.99344197130250222</v>
      </c>
      <c r="L41">
        <f>CORREL($C41:C$44,$I41:I$44)</f>
        <v>-0.99019194054861259</v>
      </c>
    </row>
    <row r="42" spans="2:12" x14ac:dyDescent="0.3">
      <c r="B42" s="4">
        <v>42955</v>
      </c>
      <c r="C42" s="6">
        <v>16405</v>
      </c>
      <c r="D42" s="6">
        <v>26743</v>
      </c>
      <c r="E42" s="6">
        <v>22904</v>
      </c>
      <c r="F42" s="6">
        <v>-48036</v>
      </c>
      <c r="G42" s="5">
        <f t="shared" si="3"/>
        <v>24970</v>
      </c>
      <c r="H42" s="5">
        <f t="shared" si="4"/>
        <v>-4800177</v>
      </c>
      <c r="I42" s="5">
        <f t="shared" si="5"/>
        <v>3790269</v>
      </c>
      <c r="J42">
        <f>CORREL(C42:$C$44,G42:$G$44)</f>
        <v>-0.8979986247345173</v>
      </c>
      <c r="K42">
        <f>CORREL($C42:C$44,$H42:H$44)</f>
        <v>0.99753628229619384</v>
      </c>
      <c r="L42">
        <f>CORREL($C42:C$44,$I42:I$44)</f>
        <v>-0.99448335547700983</v>
      </c>
    </row>
    <row r="43" spans="2:12" x14ac:dyDescent="0.3">
      <c r="B43" s="4">
        <v>42956</v>
      </c>
      <c r="C43" s="6">
        <v>16020</v>
      </c>
      <c r="D43" s="6">
        <v>29258</v>
      </c>
      <c r="E43" s="6">
        <v>-2835604</v>
      </c>
      <c r="F43" s="6">
        <v>2605046</v>
      </c>
      <c r="G43" s="5">
        <f t="shared" si="3"/>
        <v>54228</v>
      </c>
      <c r="H43" s="5">
        <f t="shared" si="4"/>
        <v>-7635781</v>
      </c>
      <c r="I43" s="5">
        <f t="shared" si="5"/>
        <v>6395315</v>
      </c>
      <c r="J43">
        <f>CORREL(C43:$C$44,G43:$G$44)</f>
        <v>-1</v>
      </c>
      <c r="K43">
        <f>CORREL($C43:C$44,$H43:H$44)</f>
        <v>1</v>
      </c>
      <c r="L43">
        <f>CORREL($C43:C$44,$I43:I$44)</f>
        <v>-1</v>
      </c>
    </row>
    <row r="44" spans="2:12" x14ac:dyDescent="0.3">
      <c r="B44" s="4">
        <v>42957</v>
      </c>
      <c r="C44" s="6">
        <v>15855</v>
      </c>
      <c r="D44" s="6">
        <v>68768</v>
      </c>
      <c r="E44" s="6">
        <v>-1616780</v>
      </c>
      <c r="F44" s="6">
        <v>1693206</v>
      </c>
      <c r="G44" s="5">
        <f t="shared" si="3"/>
        <v>122996</v>
      </c>
      <c r="H44" s="5">
        <f t="shared" si="4"/>
        <v>-9252561</v>
      </c>
      <c r="I44" s="5">
        <f t="shared" si="5"/>
        <v>8088521</v>
      </c>
      <c r="J44" t="e">
        <f>CORREL(C44:$C$44,G44:$G$44)</f>
        <v>#DIV/0!</v>
      </c>
      <c r="K44" t="e">
        <f>CORREL($C44:C$44,$H44:H$44)</f>
        <v>#DIV/0!</v>
      </c>
      <c r="L44" t="e">
        <f>CORREL($C44:C$44,$I44:I$44)</f>
        <v>#DIV/0!</v>
      </c>
    </row>
  </sheetData>
  <sortState ref="B5:F44">
    <sortCondition ref="B5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2017-08-11T00:56:27Z</dcterms:created>
  <dcterms:modified xsi:type="dcterms:W3CDTF">2017-08-11T01:25:34Z</dcterms:modified>
</cp:coreProperties>
</file>